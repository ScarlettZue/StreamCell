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17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correounivalleeduco-my.sharepoint.com/personal/valentina_nitola_correounivalle_edu_co/Documents/"/>
    </mc:Choice>
  </mc:AlternateContent>
  <xr:revisionPtr revIDLastSave="1014" documentId="109_{E82034AE-DED2-274A-B6CD-3B6CF7790FB1}" xr6:coauthVersionLast="47" xr6:coauthVersionMax="47" xr10:uidLastSave="{600080C2-D89B-4482-9940-D93B445F447B}"/>
  <bookViews>
    <workbookView xWindow="0" yWindow="0" windowWidth="28800" windowHeight="18000" firstSheet="3" activeTab="3" xr2:uid="{00000000-000D-0000-FFFF-FFFF00000000}"/>
  </bookViews>
  <sheets>
    <sheet name="Registro" sheetId="1" r:id="rId1"/>
    <sheet name="Ventas" sheetId="22" r:id="rId2"/>
    <sheet name="Gastos" sheetId="3" r:id="rId3"/>
    <sheet name="P&amp;G JULIO" sheetId="29" r:id="rId4"/>
    <sheet name="Netflix" sheetId="17" r:id="rId5"/>
    <sheet name="PrimeVideo" sheetId="19" r:id="rId6"/>
    <sheet name="DisneyP" sheetId="18" r:id="rId7"/>
    <sheet name="MAX" sheetId="23" r:id="rId8"/>
    <sheet name="Spotify" sheetId="5" r:id="rId9"/>
    <sheet name="P&amp;G ENERO" sheetId="21" r:id="rId10"/>
    <sheet name="P&amp;G FEBRERO" sheetId="24" r:id="rId11"/>
    <sheet name="P&amp;G MARZO" sheetId="25" r:id="rId12"/>
    <sheet name="P&amp;G ABRIL" sheetId="26" r:id="rId13"/>
    <sheet name="P&amp;G MAYO" sheetId="27" r:id="rId14"/>
    <sheet name="P&amp;G JUNIO" sheetId="28" r:id="rId15"/>
    <sheet name="P&amp;G AGOSTO" sheetId="30" r:id="rId16"/>
    <sheet name="P&amp;G SEPTIEMBRE" sheetId="31" r:id="rId17"/>
    <sheet name="P&amp;G OCTUBRE" sheetId="32" r:id="rId18"/>
    <sheet name="P&amp;G NOVIEMBRE" sheetId="33" r:id="rId19"/>
    <sheet name="P&amp;G DICIEMBRE" sheetId="34" r:id="rId20"/>
    <sheet name="Hoja1" sheetId="35" r:id="rId21"/>
    <sheet name="Hoja2" sheetId="36" r:id="rId22"/>
    <sheet name="Listado Precios" sheetId="8" r:id="rId23"/>
    <sheet name="Productos" sheetId="9" r:id="rId24"/>
  </sheets>
  <definedNames>
    <definedName name="_xlnm._FilterDatabase" localSheetId="1" hidden="1">Ventas!$B$1:$B$2364</definedName>
  </definedNames>
  <calcPr calcId="191028"/>
  <pivotCaches>
    <pivotCache cacheId="1329" r:id="rId25"/>
    <pivotCache cacheId="1333" r:id="rId26"/>
    <pivotCache cacheId="1338" r:id="rId2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96" i="1" l="1"/>
  <c r="I596" i="1"/>
  <c r="H597" i="1"/>
  <c r="I597" i="1"/>
  <c r="H598" i="1"/>
  <c r="I598" i="1"/>
  <c r="H599" i="1"/>
  <c r="I599" i="1"/>
  <c r="H600" i="1"/>
  <c r="I600" i="1"/>
  <c r="H601" i="1"/>
  <c r="I601" i="1"/>
  <c r="H602" i="1"/>
  <c r="I602" i="1"/>
  <c r="H603" i="1"/>
  <c r="I603" i="1"/>
  <c r="H604" i="1"/>
  <c r="I604" i="1"/>
  <c r="H605" i="1"/>
  <c r="I605" i="1"/>
  <c r="H606" i="1"/>
  <c r="I606" i="1"/>
  <c r="H607" i="1"/>
  <c r="I607" i="1"/>
  <c r="B29" i="29"/>
  <c r="H541" i="1"/>
  <c r="I541" i="1"/>
  <c r="H542" i="1"/>
  <c r="I542" i="1"/>
  <c r="H543" i="1"/>
  <c r="I543" i="1"/>
  <c r="H544" i="1"/>
  <c r="I544" i="1"/>
  <c r="H545" i="1"/>
  <c r="I545" i="1"/>
  <c r="H546" i="1"/>
  <c r="I546" i="1"/>
  <c r="H547" i="1"/>
  <c r="I547" i="1"/>
  <c r="H548" i="1"/>
  <c r="I548" i="1"/>
  <c r="H549" i="1"/>
  <c r="I549" i="1"/>
  <c r="H550" i="1"/>
  <c r="I550" i="1"/>
  <c r="H551" i="1"/>
  <c r="I551" i="1"/>
  <c r="H552" i="1"/>
  <c r="I552" i="1"/>
  <c r="H553" i="1"/>
  <c r="I553" i="1"/>
  <c r="H554" i="1"/>
  <c r="I554" i="1"/>
  <c r="H555" i="1"/>
  <c r="I555" i="1"/>
  <c r="H556" i="1"/>
  <c r="I556" i="1"/>
  <c r="H557" i="1"/>
  <c r="I557" i="1"/>
  <c r="H558" i="1"/>
  <c r="I558" i="1"/>
  <c r="H559" i="1"/>
  <c r="I559" i="1"/>
  <c r="H560" i="1"/>
  <c r="I560" i="1"/>
  <c r="H561" i="1"/>
  <c r="I561" i="1"/>
  <c r="H562" i="1"/>
  <c r="I562" i="1"/>
  <c r="H563" i="1"/>
  <c r="I563" i="1"/>
  <c r="H564" i="1"/>
  <c r="I564" i="1"/>
  <c r="H565" i="1"/>
  <c r="I565" i="1"/>
  <c r="H566" i="1"/>
  <c r="I566" i="1"/>
  <c r="H567" i="1"/>
  <c r="I567" i="1"/>
  <c r="H568" i="1"/>
  <c r="I568" i="1"/>
  <c r="H569" i="1"/>
  <c r="I569" i="1"/>
  <c r="H570" i="1"/>
  <c r="I570" i="1"/>
  <c r="H571" i="1"/>
  <c r="I571" i="1"/>
  <c r="H572" i="1"/>
  <c r="I572" i="1"/>
  <c r="H573" i="1"/>
  <c r="I573" i="1"/>
  <c r="H575" i="1"/>
  <c r="I575" i="1"/>
  <c r="H576" i="1"/>
  <c r="I576" i="1"/>
  <c r="H577" i="1"/>
  <c r="I577" i="1"/>
  <c r="H579" i="1"/>
  <c r="I579" i="1"/>
  <c r="H580" i="1"/>
  <c r="I580" i="1"/>
  <c r="H581" i="1"/>
  <c r="I581" i="1"/>
  <c r="H582" i="1"/>
  <c r="I582" i="1"/>
  <c r="H583" i="1"/>
  <c r="I583" i="1"/>
  <c r="H584" i="1"/>
  <c r="I584" i="1"/>
  <c r="H585" i="1"/>
  <c r="I585" i="1"/>
  <c r="H586" i="1"/>
  <c r="I586" i="1"/>
  <c r="H587" i="1"/>
  <c r="I587" i="1"/>
  <c r="H588" i="1"/>
  <c r="I588" i="1"/>
  <c r="H589" i="1"/>
  <c r="I589" i="1"/>
  <c r="H590" i="1"/>
  <c r="I590" i="1"/>
  <c r="H591" i="1"/>
  <c r="I591" i="1"/>
  <c r="H593" i="1"/>
  <c r="I593" i="1"/>
  <c r="H594" i="1"/>
  <c r="I594" i="1"/>
  <c r="C660" i="22"/>
  <c r="E660" i="22"/>
  <c r="B23" i="29"/>
  <c r="D23" i="29" s="1"/>
  <c r="B22" i="29"/>
  <c r="D22" i="29" s="1"/>
  <c r="B20" i="29"/>
  <c r="D20" i="29" s="1"/>
  <c r="B19" i="29"/>
  <c r="D19" i="29" s="1"/>
  <c r="B18" i="29"/>
  <c r="D18" i="29"/>
  <c r="B17" i="29"/>
  <c r="D17" i="29" s="1"/>
  <c r="H17" i="29" s="1"/>
  <c r="E641" i="22"/>
  <c r="B15" i="28"/>
  <c r="D15" i="28" s="1"/>
  <c r="B14" i="28"/>
  <c r="D14" i="28" s="1"/>
  <c r="B13" i="28"/>
  <c r="D13" i="28" s="1"/>
  <c r="B6" i="28"/>
  <c r="D6" i="28" s="1"/>
  <c r="B3" i="28"/>
  <c r="D3" i="28" s="1"/>
  <c r="B31" i="27"/>
  <c r="D31" i="27" s="1"/>
  <c r="B30" i="27"/>
  <c r="D30" i="27" s="1"/>
  <c r="B29" i="27"/>
  <c r="D29" i="27" s="1"/>
  <c r="B20" i="27"/>
  <c r="D20" i="27" s="1"/>
  <c r="B19" i="27"/>
  <c r="D19" i="27" s="1"/>
  <c r="B18" i="27"/>
  <c r="D18" i="27" s="1"/>
  <c r="B12" i="27"/>
  <c r="D12" i="27" s="1"/>
  <c r="B9" i="27"/>
  <c r="D9" i="27" s="1"/>
  <c r="B5" i="27"/>
  <c r="D5" i="27" s="1"/>
  <c r="B4" i="27"/>
  <c r="D4" i="27" s="1"/>
  <c r="B3" i="27"/>
  <c r="D3" i="27" s="1"/>
  <c r="B2" i="27"/>
  <c r="D2" i="27" s="1"/>
  <c r="B27" i="21"/>
  <c r="D27" i="21" s="1"/>
  <c r="B24" i="21"/>
  <c r="D24" i="21" s="1"/>
  <c r="B17" i="21"/>
  <c r="D17" i="21" s="1"/>
  <c r="B16" i="21"/>
  <c r="D16" i="21" s="1"/>
  <c r="B15" i="21"/>
  <c r="D15" i="21" s="1"/>
  <c r="B13" i="21"/>
  <c r="D13" i="21" s="1"/>
  <c r="B11" i="21"/>
  <c r="D11" i="21" s="1"/>
  <c r="B7" i="21"/>
  <c r="D7" i="21" s="1"/>
  <c r="B6" i="21"/>
  <c r="D6" i="21" s="1"/>
  <c r="B18" i="24"/>
  <c r="D18" i="24" s="1"/>
  <c r="B16" i="26"/>
  <c r="D16" i="26" s="1"/>
  <c r="B19" i="26"/>
  <c r="D19" i="26" s="1"/>
  <c r="B20" i="26"/>
  <c r="D20" i="26" s="1"/>
  <c r="B21" i="26"/>
  <c r="D21" i="26"/>
  <c r="B22" i="26"/>
  <c r="D22" i="26" s="1"/>
  <c r="B23" i="26"/>
  <c r="D23" i="26" s="1"/>
  <c r="B24" i="26"/>
  <c r="D24" i="26" s="1"/>
  <c r="B25" i="26"/>
  <c r="D25" i="26" s="1"/>
  <c r="B27" i="26"/>
  <c r="D27" i="26" s="1"/>
  <c r="B29" i="26"/>
  <c r="D29" i="26" s="1"/>
  <c r="P14" i="28"/>
  <c r="D579" i="22"/>
  <c r="C579" i="22"/>
  <c r="C557" i="22"/>
  <c r="M523" i="1"/>
  <c r="M524" i="1"/>
  <c r="M525" i="1"/>
  <c r="M526" i="1"/>
  <c r="M527" i="1"/>
  <c r="M528" i="1"/>
  <c r="M529" i="1"/>
  <c r="M530" i="1"/>
  <c r="D5" i="28"/>
  <c r="D7" i="28"/>
  <c r="D8" i="28"/>
  <c r="D26" i="28"/>
  <c r="D27" i="28"/>
  <c r="D28" i="28"/>
  <c r="R16" i="27"/>
  <c r="S18" i="27"/>
  <c r="S20" i="27"/>
  <c r="T16" i="27"/>
  <c r="M138" i="1"/>
  <c r="M139" i="1"/>
  <c r="M147" i="1"/>
  <c r="M149" i="1"/>
  <c r="M85" i="1"/>
  <c r="M76" i="1"/>
  <c r="M84" i="1"/>
  <c r="M75" i="1"/>
  <c r="M141" i="1"/>
  <c r="M142" i="1"/>
  <c r="M54" i="1"/>
  <c r="M46" i="1"/>
  <c r="M27" i="1"/>
  <c r="M26" i="1"/>
  <c r="D458" i="22"/>
  <c r="C458" i="22"/>
  <c r="P14" i="26"/>
  <c r="D2" i="26"/>
  <c r="C287" i="22"/>
  <c r="E287" i="22"/>
  <c r="D263" i="22"/>
  <c r="E263" i="22"/>
  <c r="C263" i="22"/>
  <c r="D262" i="22"/>
  <c r="E262" i="22"/>
  <c r="C262" i="22"/>
  <c r="E238" i="22"/>
  <c r="D3" i="25"/>
  <c r="D6" i="25"/>
  <c r="D7" i="25"/>
  <c r="D13" i="25"/>
  <c r="D21" i="25"/>
  <c r="D22" i="25"/>
  <c r="D23" i="25"/>
  <c r="D24" i="25"/>
  <c r="E189" i="22"/>
  <c r="D135" i="22"/>
  <c r="E135" i="22"/>
  <c r="D134" i="22"/>
  <c r="E134" i="22"/>
  <c r="D133" i="22"/>
  <c r="E133" i="22"/>
  <c r="C135" i="22"/>
  <c r="C134" i="22"/>
  <c r="C133" i="22"/>
  <c r="D5" i="24"/>
  <c r="D16" i="24"/>
  <c r="D20" i="24"/>
  <c r="D24" i="24"/>
  <c r="D26" i="24"/>
  <c r="D9" i="35"/>
  <c r="D3" i="35"/>
  <c r="D4" i="35"/>
  <c r="D6" i="35"/>
  <c r="J4" i="35"/>
  <c r="J3" i="35"/>
  <c r="G11" i="35"/>
  <c r="G12" i="35"/>
  <c r="G13" i="35"/>
  <c r="G10" i="35"/>
  <c r="G9" i="35"/>
  <c r="G7" i="35"/>
  <c r="G4" i="35"/>
  <c r="G3" i="35"/>
  <c r="D78" i="22"/>
  <c r="C78" i="22"/>
  <c r="D28" i="21"/>
  <c r="D23" i="21"/>
  <c r="D8" i="21"/>
  <c r="E3" i="22"/>
  <c r="E4" i="22"/>
  <c r="E5" i="22"/>
  <c r="E6" i="22"/>
  <c r="E7" i="22"/>
  <c r="E8" i="22"/>
  <c r="E9" i="22"/>
  <c r="E10" i="22"/>
  <c r="E11" i="22"/>
  <c r="E12" i="22"/>
  <c r="E13" i="22"/>
  <c r="E14" i="22"/>
  <c r="E15" i="22"/>
  <c r="E16" i="22"/>
  <c r="E17" i="22"/>
  <c r="E18" i="22"/>
  <c r="E19" i="22"/>
  <c r="E20" i="22"/>
  <c r="E21" i="22"/>
  <c r="E22" i="22"/>
  <c r="E23" i="22"/>
  <c r="E24" i="22"/>
  <c r="E25" i="22"/>
  <c r="E26" i="22"/>
  <c r="E27" i="22"/>
  <c r="E28" i="22"/>
  <c r="E29" i="22"/>
  <c r="E30" i="22"/>
  <c r="E31" i="22"/>
  <c r="E32" i="22"/>
  <c r="E33" i="22"/>
  <c r="E34" i="22"/>
  <c r="E35" i="22"/>
  <c r="E36" i="22"/>
  <c r="E37" i="22"/>
  <c r="E38" i="22"/>
  <c r="E39" i="22"/>
  <c r="E40" i="22"/>
  <c r="E41" i="22"/>
  <c r="E42" i="22"/>
  <c r="E43" i="22"/>
  <c r="E44" i="22"/>
  <c r="E45" i="22"/>
  <c r="E46" i="22"/>
  <c r="E47" i="22"/>
  <c r="E48" i="22"/>
  <c r="E49" i="22"/>
  <c r="E50" i="22"/>
  <c r="E51" i="22"/>
  <c r="E52" i="22"/>
  <c r="E53" i="22"/>
  <c r="E54" i="22"/>
  <c r="E58" i="22"/>
  <c r="E57" i="22"/>
  <c r="E56" i="22"/>
  <c r="E55" i="22"/>
  <c r="E59" i="22"/>
  <c r="E60" i="22"/>
  <c r="E61" i="22"/>
  <c r="E62" i="22"/>
  <c r="E63" i="22"/>
  <c r="E64" i="22"/>
  <c r="E65" i="22"/>
  <c r="E66" i="22"/>
  <c r="E67" i="22"/>
  <c r="E68" i="22"/>
  <c r="E69" i="22"/>
  <c r="E70" i="22"/>
  <c r="E71" i="22"/>
  <c r="E72" i="22"/>
  <c r="E73" i="22"/>
  <c r="E74" i="22"/>
  <c r="E75" i="22"/>
  <c r="E76" i="22"/>
  <c r="E77" i="22"/>
  <c r="E79" i="22"/>
  <c r="E80" i="22"/>
  <c r="E81" i="22"/>
  <c r="E82" i="22"/>
  <c r="E83" i="22"/>
  <c r="E84" i="22"/>
  <c r="E85" i="22"/>
  <c r="E87" i="22"/>
  <c r="E86" i="22"/>
  <c r="E88" i="22"/>
  <c r="E89" i="22"/>
  <c r="E90" i="22"/>
  <c r="E91" i="22"/>
  <c r="E92" i="22"/>
  <c r="E93" i="22"/>
  <c r="E94" i="22"/>
  <c r="E95" i="22"/>
  <c r="E96" i="22"/>
  <c r="E97" i="22"/>
  <c r="E98" i="22"/>
  <c r="E99" i="22"/>
  <c r="E100" i="22"/>
  <c r="E101" i="22"/>
  <c r="E102" i="22"/>
  <c r="E103" i="22"/>
  <c r="E104" i="22"/>
  <c r="E105" i="22"/>
  <c r="E106" i="22"/>
  <c r="E107" i="22"/>
  <c r="E108" i="22"/>
  <c r="E109" i="22"/>
  <c r="E110" i="22"/>
  <c r="E111" i="22"/>
  <c r="E112" i="22"/>
  <c r="E113" i="22"/>
  <c r="E114" i="22"/>
  <c r="E115" i="22"/>
  <c r="E116" i="22"/>
  <c r="E117" i="22"/>
  <c r="E118" i="22"/>
  <c r="E119" i="22"/>
  <c r="E120" i="22"/>
  <c r="E121" i="22"/>
  <c r="E122" i="22"/>
  <c r="E123" i="22"/>
  <c r="E124" i="22"/>
  <c r="E125" i="22"/>
  <c r="E126" i="22"/>
  <c r="E127" i="22"/>
  <c r="E128" i="22"/>
  <c r="E129" i="22"/>
  <c r="E130" i="22"/>
  <c r="E131" i="22"/>
  <c r="E132" i="22"/>
  <c r="E136" i="22"/>
  <c r="E137" i="22"/>
  <c r="E138" i="22"/>
  <c r="E139" i="22"/>
  <c r="E140" i="22"/>
  <c r="E141" i="22"/>
  <c r="E142" i="22"/>
  <c r="E143" i="22"/>
  <c r="E144" i="22"/>
  <c r="E145" i="22"/>
  <c r="E146" i="22"/>
  <c r="E147" i="22"/>
  <c r="E148" i="22"/>
  <c r="E149" i="22"/>
  <c r="E150" i="22"/>
  <c r="E151" i="22"/>
  <c r="E152" i="22"/>
  <c r="E153" i="22"/>
  <c r="E154" i="22"/>
  <c r="E155" i="22"/>
  <c r="E156" i="22"/>
  <c r="E157" i="22"/>
  <c r="E158" i="22"/>
  <c r="E159" i="22"/>
  <c r="E161" i="22"/>
  <c r="E162" i="22"/>
  <c r="E163" i="22"/>
  <c r="E164" i="22"/>
  <c r="E165" i="22"/>
  <c r="E166" i="22"/>
  <c r="E167" i="22"/>
  <c r="E168" i="22"/>
  <c r="E169" i="22"/>
  <c r="E176" i="22"/>
  <c r="E175" i="22"/>
  <c r="E174" i="22"/>
  <c r="E173" i="22"/>
  <c r="E172" i="22"/>
  <c r="E171" i="22"/>
  <c r="E170" i="22"/>
  <c r="E160" i="22"/>
  <c r="E177" i="22"/>
  <c r="E178" i="22"/>
  <c r="E179" i="22"/>
  <c r="E180" i="22"/>
  <c r="E181" i="22"/>
  <c r="E182" i="22"/>
  <c r="E183" i="22"/>
  <c r="E184" i="22"/>
  <c r="E185" i="22"/>
  <c r="E186" i="22"/>
  <c r="E187" i="22"/>
  <c r="E188" i="22"/>
  <c r="E190" i="22"/>
  <c r="E191" i="22"/>
  <c r="E192" i="22"/>
  <c r="E193" i="22"/>
  <c r="E194" i="22"/>
  <c r="E195" i="22"/>
  <c r="E196" i="22"/>
  <c r="E197" i="22"/>
  <c r="E198" i="22"/>
  <c r="E199" i="22"/>
  <c r="E200" i="22"/>
  <c r="E201" i="22"/>
  <c r="E202" i="22"/>
  <c r="E203" i="22"/>
  <c r="E204" i="22"/>
  <c r="E205" i="22"/>
  <c r="E206" i="22"/>
  <c r="E207" i="22"/>
  <c r="E208" i="22"/>
  <c r="E209" i="22"/>
  <c r="E210" i="22"/>
  <c r="E211" i="22"/>
  <c r="E212" i="22"/>
  <c r="E213" i="22"/>
  <c r="E214" i="22"/>
  <c r="E215" i="22"/>
  <c r="E216" i="22"/>
  <c r="E217" i="22"/>
  <c r="E218" i="22"/>
  <c r="E219" i="22"/>
  <c r="E220" i="22"/>
  <c r="E221" i="22"/>
  <c r="E222" i="22"/>
  <c r="E223" i="22"/>
  <c r="E224" i="22"/>
  <c r="E225" i="22"/>
  <c r="E226" i="22"/>
  <c r="E227" i="22"/>
  <c r="E228" i="22"/>
  <c r="E229" i="22"/>
  <c r="E230" i="22"/>
  <c r="E231" i="22"/>
  <c r="E232" i="22"/>
  <c r="E233" i="22"/>
  <c r="E234" i="22"/>
  <c r="E235" i="22"/>
  <c r="E236" i="22"/>
  <c r="E237" i="22"/>
  <c r="E239" i="22"/>
  <c r="E240" i="22"/>
  <c r="E241" i="22"/>
  <c r="E242" i="22"/>
  <c r="E243" i="22"/>
  <c r="E244" i="22"/>
  <c r="E245" i="22"/>
  <c r="E246" i="22"/>
  <c r="E247" i="22"/>
  <c r="E248" i="22"/>
  <c r="E249" i="22"/>
  <c r="E250" i="22"/>
  <c r="E251" i="22"/>
  <c r="E252" i="22"/>
  <c r="E253" i="22"/>
  <c r="E254" i="22"/>
  <c r="E255" i="22"/>
  <c r="E256" i="22"/>
  <c r="E257" i="22"/>
  <c r="E258" i="22"/>
  <c r="E259" i="22"/>
  <c r="E260" i="22"/>
  <c r="E261" i="22"/>
  <c r="E264" i="22"/>
  <c r="E265" i="22"/>
  <c r="E266" i="22"/>
  <c r="E267" i="22"/>
  <c r="E268" i="22"/>
  <c r="E269" i="22"/>
  <c r="E270" i="22"/>
  <c r="E271" i="22"/>
  <c r="E272" i="22"/>
  <c r="E273" i="22"/>
  <c r="E274" i="22"/>
  <c r="E275" i="22"/>
  <c r="E276" i="22"/>
  <c r="E277" i="22"/>
  <c r="E278" i="22"/>
  <c r="E279" i="22"/>
  <c r="E280" i="22"/>
  <c r="E281" i="22"/>
  <c r="E282" i="22"/>
  <c r="E283" i="22"/>
  <c r="E284" i="22"/>
  <c r="E285" i="22"/>
  <c r="E286" i="22"/>
  <c r="E288" i="22"/>
  <c r="E289" i="22"/>
  <c r="E290" i="22"/>
  <c r="E291" i="22"/>
  <c r="E292" i="22"/>
  <c r="E293" i="22"/>
  <c r="E294" i="22"/>
  <c r="E295" i="22"/>
  <c r="E296" i="22"/>
  <c r="E297" i="22"/>
  <c r="E298" i="22"/>
  <c r="E299" i="22"/>
  <c r="E300" i="22"/>
  <c r="E301" i="22"/>
  <c r="E302" i="22"/>
  <c r="E303" i="22"/>
  <c r="E304" i="22"/>
  <c r="E305" i="22"/>
  <c r="E306" i="22"/>
  <c r="E307" i="22"/>
  <c r="E308" i="22"/>
  <c r="E309" i="22"/>
  <c r="E310" i="22"/>
  <c r="E311" i="22"/>
  <c r="E312" i="22"/>
  <c r="E313" i="22"/>
  <c r="E314" i="22"/>
  <c r="E315" i="22"/>
  <c r="E316" i="22"/>
  <c r="E317" i="22"/>
  <c r="E318" i="22"/>
  <c r="E319" i="22"/>
  <c r="E320" i="22"/>
  <c r="E321" i="22"/>
  <c r="E322" i="22"/>
  <c r="E323" i="22"/>
  <c r="E324" i="22"/>
  <c r="E325" i="22"/>
  <c r="E326" i="22"/>
  <c r="E327" i="22"/>
  <c r="E328" i="22"/>
  <c r="E329" i="22"/>
  <c r="E330" i="22"/>
  <c r="E331" i="22"/>
  <c r="E332" i="22"/>
  <c r="E333" i="22"/>
  <c r="E334" i="22"/>
  <c r="E335" i="22"/>
  <c r="E336" i="22"/>
  <c r="E337" i="22"/>
  <c r="E338" i="22"/>
  <c r="E339" i="22"/>
  <c r="E340" i="22"/>
  <c r="E341" i="22"/>
  <c r="E342" i="22"/>
  <c r="E343" i="22"/>
  <c r="E344" i="22"/>
  <c r="E345" i="22"/>
  <c r="E346" i="22"/>
  <c r="E347" i="22"/>
  <c r="E348" i="22"/>
  <c r="E349" i="22"/>
  <c r="E350" i="22"/>
  <c r="E351" i="22"/>
  <c r="E352" i="22"/>
  <c r="E353" i="22"/>
  <c r="E354" i="22"/>
  <c r="E355" i="22"/>
  <c r="E356" i="22"/>
  <c r="E357" i="22"/>
  <c r="E358" i="22"/>
  <c r="E359" i="22"/>
  <c r="E360" i="22"/>
  <c r="E361" i="22"/>
  <c r="E362" i="22"/>
  <c r="E363" i="22"/>
  <c r="E364" i="22"/>
  <c r="E365" i="22"/>
  <c r="E366" i="22"/>
  <c r="E367" i="22"/>
  <c r="E368" i="22"/>
  <c r="E369" i="22"/>
  <c r="E370" i="22"/>
  <c r="E371" i="22"/>
  <c r="E372" i="22"/>
  <c r="E373" i="22"/>
  <c r="E374" i="22"/>
  <c r="E375" i="22"/>
  <c r="E376" i="22"/>
  <c r="E377" i="22"/>
  <c r="E378" i="22"/>
  <c r="E379" i="22"/>
  <c r="E380" i="22"/>
  <c r="E381" i="22"/>
  <c r="E382" i="22"/>
  <c r="E383" i="22"/>
  <c r="E384" i="22"/>
  <c r="E385" i="22"/>
  <c r="E386" i="22"/>
  <c r="E387" i="22"/>
  <c r="E388" i="22"/>
  <c r="E389" i="22"/>
  <c r="E390" i="22"/>
  <c r="E391" i="22"/>
  <c r="E392" i="22"/>
  <c r="E393" i="22"/>
  <c r="E394" i="22"/>
  <c r="E395" i="22"/>
  <c r="E396" i="22"/>
  <c r="E397" i="22"/>
  <c r="E398" i="22"/>
  <c r="E399" i="22"/>
  <c r="E400" i="22"/>
  <c r="E401" i="22"/>
  <c r="E402" i="22"/>
  <c r="E403" i="22"/>
  <c r="E404" i="22"/>
  <c r="E405" i="22"/>
  <c r="E406" i="22"/>
  <c r="E407" i="22"/>
  <c r="E408" i="22"/>
  <c r="E409" i="22"/>
  <c r="E410" i="22"/>
  <c r="E411" i="22"/>
  <c r="E412" i="22"/>
  <c r="E413" i="22"/>
  <c r="E414" i="22"/>
  <c r="E415" i="22"/>
  <c r="E416" i="22"/>
  <c r="E417" i="22"/>
  <c r="E418" i="22"/>
  <c r="E419" i="22"/>
  <c r="E420" i="22"/>
  <c r="E421" i="22"/>
  <c r="E422" i="22"/>
  <c r="E423" i="22"/>
  <c r="E424" i="22"/>
  <c r="E425" i="22"/>
  <c r="E426" i="22"/>
  <c r="E427" i="22"/>
  <c r="E428" i="22"/>
  <c r="E429" i="22"/>
  <c r="E430" i="22"/>
  <c r="E431" i="22"/>
  <c r="E432" i="22"/>
  <c r="E433" i="22"/>
  <c r="E434" i="22"/>
  <c r="E435" i="22"/>
  <c r="E436" i="22"/>
  <c r="E437" i="22"/>
  <c r="E438" i="22"/>
  <c r="E439" i="22"/>
  <c r="E440" i="22"/>
  <c r="E441" i="22"/>
  <c r="E442" i="22"/>
  <c r="E449" i="22"/>
  <c r="E450" i="22"/>
  <c r="E451" i="22"/>
  <c r="E452" i="22"/>
  <c r="E443" i="22"/>
  <c r="E444" i="22"/>
  <c r="E445" i="22"/>
  <c r="E446" i="22"/>
  <c r="E447" i="22"/>
  <c r="E448" i="22"/>
  <c r="E453" i="22"/>
  <c r="E454" i="22"/>
  <c r="E455" i="22"/>
  <c r="E456" i="22"/>
  <c r="E457" i="22"/>
  <c r="E458" i="22"/>
  <c r="E459" i="22"/>
  <c r="E460" i="22"/>
  <c r="E461" i="22"/>
  <c r="E462" i="22"/>
  <c r="E463" i="22"/>
  <c r="E464" i="22"/>
  <c r="E465" i="22"/>
  <c r="E466" i="22"/>
  <c r="E467" i="22"/>
  <c r="E468" i="22"/>
  <c r="E469" i="22"/>
  <c r="E470" i="22"/>
  <c r="E471" i="22"/>
  <c r="E472" i="22"/>
  <c r="E473" i="22"/>
  <c r="E474" i="22"/>
  <c r="E475" i="22"/>
  <c r="E476" i="22"/>
  <c r="E477" i="22"/>
  <c r="E478" i="22"/>
  <c r="E479" i="22"/>
  <c r="E480" i="22"/>
  <c r="E481" i="22"/>
  <c r="E482" i="22"/>
  <c r="E483" i="22"/>
  <c r="E484" i="22"/>
  <c r="E485" i="22"/>
  <c r="E486" i="22"/>
  <c r="E487" i="22"/>
  <c r="E488" i="22"/>
  <c r="E489" i="22"/>
  <c r="E490" i="22"/>
  <c r="E491" i="22"/>
  <c r="E492" i="22"/>
  <c r="E493" i="22"/>
  <c r="E494" i="22"/>
  <c r="E495" i="22"/>
  <c r="E496" i="22"/>
  <c r="E497" i="22"/>
  <c r="E498" i="22"/>
  <c r="E499" i="22"/>
  <c r="E500" i="22"/>
  <c r="E501" i="22"/>
  <c r="E502" i="22"/>
  <c r="E503" i="22"/>
  <c r="E504" i="22"/>
  <c r="E505" i="22"/>
  <c r="E506" i="22"/>
  <c r="E507" i="22"/>
  <c r="E508" i="22"/>
  <c r="E509" i="22"/>
  <c r="E510" i="22"/>
  <c r="E511" i="22"/>
  <c r="E512" i="22"/>
  <c r="E513" i="22"/>
  <c r="E514" i="22"/>
  <c r="E515" i="22"/>
  <c r="E516" i="22"/>
  <c r="E517" i="22"/>
  <c r="E518" i="22"/>
  <c r="E519" i="22"/>
  <c r="E520" i="22"/>
  <c r="E521" i="22"/>
  <c r="E522" i="22"/>
  <c r="E523" i="22"/>
  <c r="E524" i="22"/>
  <c r="E525" i="22"/>
  <c r="E526" i="22"/>
  <c r="E527" i="22"/>
  <c r="E528" i="22"/>
  <c r="E529" i="22"/>
  <c r="E530" i="22"/>
  <c r="E531" i="22"/>
  <c r="E532" i="22"/>
  <c r="E533" i="22"/>
  <c r="E534" i="22"/>
  <c r="E535" i="22"/>
  <c r="E536" i="22"/>
  <c r="E537" i="22"/>
  <c r="E538" i="22"/>
  <c r="E539" i="22"/>
  <c r="E540" i="22"/>
  <c r="E541" i="22"/>
  <c r="E542" i="22"/>
  <c r="E543" i="22"/>
  <c r="E544" i="22"/>
  <c r="E545" i="22"/>
  <c r="E546" i="22"/>
  <c r="E547" i="22"/>
  <c r="E548" i="22"/>
  <c r="E549" i="22"/>
  <c r="E550" i="22"/>
  <c r="E551" i="22"/>
  <c r="E552" i="22"/>
  <c r="E553" i="22"/>
  <c r="E554" i="22"/>
  <c r="E555" i="22"/>
  <c r="E556" i="22"/>
  <c r="E557" i="22"/>
  <c r="E558" i="22"/>
  <c r="E559" i="22"/>
  <c r="E560" i="22"/>
  <c r="E561" i="22"/>
  <c r="E562" i="22"/>
  <c r="E563" i="22"/>
  <c r="E564" i="22"/>
  <c r="E565" i="22"/>
  <c r="E566" i="22"/>
  <c r="E567" i="22"/>
  <c r="E568" i="22"/>
  <c r="E569" i="22"/>
  <c r="E570" i="22"/>
  <c r="E571" i="22"/>
  <c r="E572" i="22"/>
  <c r="E573" i="22"/>
  <c r="E574" i="22"/>
  <c r="E575" i="22"/>
  <c r="E576" i="22"/>
  <c r="E577" i="22"/>
  <c r="E578" i="22"/>
  <c r="E579" i="22"/>
  <c r="E580" i="22"/>
  <c r="E581" i="22"/>
  <c r="E582" i="22"/>
  <c r="E583" i="22"/>
  <c r="E584" i="22"/>
  <c r="E585" i="22"/>
  <c r="E586" i="22"/>
  <c r="E587" i="22"/>
  <c r="E588" i="22"/>
  <c r="E589" i="22"/>
  <c r="E590" i="22"/>
  <c r="E591" i="22"/>
  <c r="E592" i="22"/>
  <c r="E593" i="22"/>
  <c r="E594" i="22"/>
  <c r="E595" i="22"/>
  <c r="E596" i="22"/>
  <c r="E597" i="22"/>
  <c r="E598" i="22"/>
  <c r="E599" i="22"/>
  <c r="E600" i="22"/>
  <c r="E601" i="22"/>
  <c r="E602" i="22"/>
  <c r="E603" i="22"/>
  <c r="E604" i="22"/>
  <c r="E605" i="22"/>
  <c r="E606" i="22"/>
  <c r="E607" i="22"/>
  <c r="E608" i="22"/>
  <c r="E609" i="22"/>
  <c r="E610" i="22"/>
  <c r="E611" i="22"/>
  <c r="E612" i="22"/>
  <c r="E613" i="22"/>
  <c r="E614" i="22"/>
  <c r="E615" i="22"/>
  <c r="E616" i="22"/>
  <c r="E617" i="22"/>
  <c r="E618" i="22"/>
  <c r="E619" i="22"/>
  <c r="E620" i="22"/>
  <c r="E621" i="22"/>
  <c r="E622" i="22"/>
  <c r="E623" i="22"/>
  <c r="E624" i="22"/>
  <c r="E625" i="22"/>
  <c r="E626" i="22"/>
  <c r="E627" i="22"/>
  <c r="E628" i="22"/>
  <c r="E629" i="22"/>
  <c r="E630" i="22"/>
  <c r="E631" i="22"/>
  <c r="E632" i="22"/>
  <c r="E633" i="22"/>
  <c r="E634" i="22"/>
  <c r="E635" i="22"/>
  <c r="E636" i="22"/>
  <c r="E637" i="22"/>
  <c r="E638" i="22"/>
  <c r="E639" i="22"/>
  <c r="E640" i="22"/>
  <c r="E642" i="22"/>
  <c r="E643" i="22"/>
  <c r="E644" i="22"/>
  <c r="E645" i="22"/>
  <c r="E646" i="22"/>
  <c r="E647" i="22"/>
  <c r="E648" i="22"/>
  <c r="E649" i="22"/>
  <c r="E650" i="22"/>
  <c r="E651" i="22"/>
  <c r="E652" i="22"/>
  <c r="E653" i="22"/>
  <c r="E654" i="22"/>
  <c r="E655" i="22"/>
  <c r="E656" i="22"/>
  <c r="E657" i="22"/>
  <c r="E658" i="22"/>
  <c r="E659" i="22"/>
  <c r="E661" i="22"/>
  <c r="E662" i="22"/>
  <c r="E663" i="22"/>
  <c r="E664" i="22"/>
  <c r="E665" i="22"/>
  <c r="E666" i="22"/>
  <c r="E667" i="22"/>
  <c r="E668" i="22"/>
  <c r="E669" i="22"/>
  <c r="E670" i="22"/>
  <c r="E671" i="22"/>
  <c r="E672" i="22"/>
  <c r="E673" i="22"/>
  <c r="E674" i="22"/>
  <c r="E675" i="22"/>
  <c r="E676" i="22"/>
  <c r="E677" i="22"/>
  <c r="E678" i="22"/>
  <c r="E679" i="22"/>
  <c r="E680" i="22"/>
  <c r="E681" i="22"/>
  <c r="E682" i="22"/>
  <c r="E683" i="22"/>
  <c r="E684" i="22"/>
  <c r="E685" i="22"/>
  <c r="E686" i="22"/>
  <c r="E687" i="22"/>
  <c r="E688" i="22"/>
  <c r="E689" i="22"/>
  <c r="E690" i="22"/>
  <c r="E691" i="22"/>
  <c r="E692" i="22"/>
  <c r="E693" i="22"/>
  <c r="E694" i="22"/>
  <c r="E695" i="22"/>
  <c r="E696" i="22"/>
  <c r="E697" i="22"/>
  <c r="E698" i="22"/>
  <c r="E699" i="22"/>
  <c r="E700" i="22"/>
  <c r="E701" i="22"/>
  <c r="E702" i="22"/>
  <c r="E703" i="22"/>
  <c r="E704" i="22"/>
  <c r="E705" i="22"/>
  <c r="E706" i="22"/>
  <c r="E707" i="22"/>
  <c r="E708" i="22"/>
  <c r="E709" i="22"/>
  <c r="E710" i="22"/>
  <c r="E711" i="22"/>
  <c r="E712" i="22"/>
  <c r="E713" i="22"/>
  <c r="E714" i="22"/>
  <c r="E715" i="22"/>
  <c r="E716" i="22"/>
  <c r="E717" i="22"/>
  <c r="E718" i="22"/>
  <c r="E719" i="22"/>
  <c r="E720" i="22"/>
  <c r="E721" i="22"/>
  <c r="E722" i="22"/>
  <c r="E723" i="22"/>
  <c r="E724" i="22"/>
  <c r="E725" i="22"/>
  <c r="E726" i="22"/>
  <c r="E727" i="22"/>
  <c r="E728" i="22"/>
  <c r="E729" i="22"/>
  <c r="E730" i="22"/>
  <c r="E731" i="22"/>
  <c r="E732" i="22"/>
  <c r="E733" i="22"/>
  <c r="E734" i="22"/>
  <c r="E735" i="22"/>
  <c r="E736" i="22"/>
  <c r="E737" i="22"/>
  <c r="E738" i="22"/>
  <c r="E739" i="22"/>
  <c r="E740" i="22"/>
  <c r="E741" i="22"/>
  <c r="E742" i="22"/>
  <c r="E743" i="22"/>
  <c r="E744" i="22"/>
  <c r="E745" i="22"/>
  <c r="E746" i="22"/>
  <c r="E747" i="22"/>
  <c r="E748" i="22"/>
  <c r="E749" i="22"/>
  <c r="E750" i="22"/>
  <c r="E751" i="22"/>
  <c r="E752" i="22"/>
  <c r="E753" i="22"/>
  <c r="E754" i="22"/>
  <c r="E755" i="22"/>
  <c r="E756" i="22"/>
  <c r="E757" i="22"/>
  <c r="E758" i="22"/>
  <c r="E759" i="22"/>
  <c r="E760" i="22"/>
  <c r="E761" i="22"/>
  <c r="E762" i="22"/>
  <c r="E763" i="22"/>
  <c r="E764" i="22"/>
  <c r="E765" i="22"/>
  <c r="E766" i="22"/>
  <c r="E767" i="22"/>
  <c r="E768" i="22"/>
  <c r="E769" i="22"/>
  <c r="E770" i="22"/>
  <c r="E771" i="22"/>
  <c r="E772" i="22"/>
  <c r="E773" i="22"/>
  <c r="E774" i="22"/>
  <c r="E775" i="22"/>
  <c r="E776" i="22"/>
  <c r="E777" i="22"/>
  <c r="E778" i="22"/>
  <c r="E779" i="22"/>
  <c r="E780" i="22"/>
  <c r="E781" i="22"/>
  <c r="E782" i="22"/>
  <c r="E783" i="22"/>
  <c r="E784" i="22"/>
  <c r="E785" i="22"/>
  <c r="E786" i="22"/>
  <c r="E787" i="22"/>
  <c r="E788" i="22"/>
  <c r="E789" i="22"/>
  <c r="E790" i="22"/>
  <c r="E791" i="22"/>
  <c r="E792" i="22"/>
  <c r="E793" i="22"/>
  <c r="E794" i="22"/>
  <c r="E795" i="22"/>
  <c r="E796" i="22"/>
  <c r="E797" i="22"/>
  <c r="E798" i="22"/>
  <c r="E799" i="22"/>
  <c r="E800" i="22"/>
  <c r="E801" i="22"/>
  <c r="E802" i="22"/>
  <c r="E803" i="22"/>
  <c r="E804" i="22"/>
  <c r="E805" i="22"/>
  <c r="E806" i="22"/>
  <c r="E807" i="22"/>
  <c r="E808" i="22"/>
  <c r="E809" i="22"/>
  <c r="E810" i="22"/>
  <c r="E811" i="22"/>
  <c r="E812" i="22"/>
  <c r="E813" i="22"/>
  <c r="E814" i="22"/>
  <c r="E815" i="22"/>
  <c r="E816" i="22"/>
  <c r="E817" i="22"/>
  <c r="E818" i="22"/>
  <c r="E819" i="22"/>
  <c r="E820" i="22"/>
  <c r="E821" i="22"/>
  <c r="E822" i="22"/>
  <c r="E823" i="22"/>
  <c r="E824" i="22"/>
  <c r="E825" i="22"/>
  <c r="E826" i="22"/>
  <c r="E827" i="22"/>
  <c r="E828" i="22"/>
  <c r="E829" i="22"/>
  <c r="E830" i="22"/>
  <c r="E831" i="22"/>
  <c r="E832" i="22"/>
  <c r="E833" i="22"/>
  <c r="E834" i="22"/>
  <c r="E835" i="22"/>
  <c r="E836" i="22"/>
  <c r="E837" i="22"/>
  <c r="E838" i="22"/>
  <c r="E839" i="22"/>
  <c r="E840" i="22"/>
  <c r="E841" i="22"/>
  <c r="E842" i="22"/>
  <c r="E843" i="22"/>
  <c r="E844" i="22"/>
  <c r="E845" i="22"/>
  <c r="E846" i="22"/>
  <c r="E847" i="22"/>
  <c r="E848" i="22"/>
  <c r="E849" i="22"/>
  <c r="E850" i="22"/>
  <c r="E851" i="22"/>
  <c r="E852" i="22"/>
  <c r="E853" i="22"/>
  <c r="E854" i="22"/>
  <c r="E855" i="22"/>
  <c r="E856" i="22"/>
  <c r="E857" i="22"/>
  <c r="E858" i="22"/>
  <c r="E859" i="22"/>
  <c r="E860" i="22"/>
  <c r="E861" i="22"/>
  <c r="E862" i="22"/>
  <c r="E863" i="22"/>
  <c r="E864" i="22"/>
  <c r="E865" i="22"/>
  <c r="E866" i="22"/>
  <c r="E867" i="22"/>
  <c r="E868" i="22"/>
  <c r="E869" i="22"/>
  <c r="E870" i="22"/>
  <c r="E871" i="22"/>
  <c r="E872" i="22"/>
  <c r="E873" i="22"/>
  <c r="E874" i="22"/>
  <c r="E875" i="22"/>
  <c r="E876" i="22"/>
  <c r="E877" i="22"/>
  <c r="E878" i="22"/>
  <c r="E879" i="22"/>
  <c r="E880" i="22"/>
  <c r="E881" i="22"/>
  <c r="E882" i="22"/>
  <c r="E883" i="22"/>
  <c r="E884" i="22"/>
  <c r="E885" i="22"/>
  <c r="E886" i="22"/>
  <c r="E887" i="22"/>
  <c r="E888" i="22"/>
  <c r="E889" i="22"/>
  <c r="E890" i="22"/>
  <c r="E891" i="22"/>
  <c r="E892" i="22"/>
  <c r="E893" i="22"/>
  <c r="E894" i="22"/>
  <c r="E895" i="22"/>
  <c r="E896" i="22"/>
  <c r="E897" i="22"/>
  <c r="E898" i="22"/>
  <c r="E899" i="22"/>
  <c r="E900" i="22"/>
  <c r="E901" i="22"/>
  <c r="E902" i="22"/>
  <c r="E903" i="22"/>
  <c r="E904" i="22"/>
  <c r="E905" i="22"/>
  <c r="E906" i="22"/>
  <c r="E907" i="22"/>
  <c r="E908" i="22"/>
  <c r="E909" i="22"/>
  <c r="E910" i="22"/>
  <c r="E911" i="22"/>
  <c r="E912" i="22"/>
  <c r="E913" i="22"/>
  <c r="E914" i="22"/>
  <c r="E915" i="22"/>
  <c r="E916" i="22"/>
  <c r="E917" i="22"/>
  <c r="E918" i="22"/>
  <c r="E919" i="22"/>
  <c r="E920" i="22"/>
  <c r="E921" i="22"/>
  <c r="E922" i="22"/>
  <c r="E923" i="22"/>
  <c r="E924" i="22"/>
  <c r="E925" i="22"/>
  <c r="E926" i="22"/>
  <c r="E927" i="22"/>
  <c r="E928" i="22"/>
  <c r="E929" i="22"/>
  <c r="E930" i="22"/>
  <c r="E931" i="22"/>
  <c r="E932" i="22"/>
  <c r="E933" i="22"/>
  <c r="E934" i="22"/>
  <c r="E935" i="22"/>
  <c r="E936" i="22"/>
  <c r="E937" i="22"/>
  <c r="E938" i="22"/>
  <c r="E939" i="22"/>
  <c r="E940" i="22"/>
  <c r="E941" i="22"/>
  <c r="E942" i="22"/>
  <c r="E943" i="22"/>
  <c r="E944" i="22"/>
  <c r="E945" i="22"/>
  <c r="E946" i="22"/>
  <c r="E947" i="22"/>
  <c r="E948" i="22"/>
  <c r="E949" i="22"/>
  <c r="E950" i="22"/>
  <c r="E951" i="22"/>
  <c r="E952" i="22"/>
  <c r="E953" i="22"/>
  <c r="E954" i="22"/>
  <c r="E955" i="22"/>
  <c r="E956" i="22"/>
  <c r="E957" i="22"/>
  <c r="E958" i="22"/>
  <c r="E959" i="22"/>
  <c r="E960" i="22"/>
  <c r="E961" i="22"/>
  <c r="E962" i="22"/>
  <c r="E963" i="22"/>
  <c r="E964" i="22"/>
  <c r="E965" i="22"/>
  <c r="E966" i="22"/>
  <c r="E967" i="22"/>
  <c r="E968" i="22"/>
  <c r="E969" i="22"/>
  <c r="E970" i="22"/>
  <c r="E971" i="22"/>
  <c r="E972" i="22"/>
  <c r="E973" i="22"/>
  <c r="E974" i="22"/>
  <c r="E975" i="22"/>
  <c r="E976" i="22"/>
  <c r="E977" i="22"/>
  <c r="E978" i="22"/>
  <c r="E979" i="22"/>
  <c r="E980" i="22"/>
  <c r="E981" i="22"/>
  <c r="E982" i="22"/>
  <c r="E983" i="22"/>
  <c r="E984" i="22"/>
  <c r="E985" i="22"/>
  <c r="E986" i="22"/>
  <c r="E987" i="22"/>
  <c r="E988" i="22"/>
  <c r="E989" i="22"/>
  <c r="E990" i="22"/>
  <c r="E991" i="22"/>
  <c r="E992" i="22"/>
  <c r="E993" i="22"/>
  <c r="E994" i="22"/>
  <c r="E995" i="22"/>
  <c r="E996" i="22"/>
  <c r="E997" i="22"/>
  <c r="E998" i="22"/>
  <c r="E999" i="22"/>
  <c r="E1000" i="22"/>
  <c r="E1001" i="22"/>
  <c r="E1002" i="22"/>
  <c r="E1003" i="22"/>
  <c r="E1004" i="22"/>
  <c r="E1005" i="22"/>
  <c r="E1006" i="22"/>
  <c r="E1007" i="22"/>
  <c r="E1008" i="22"/>
  <c r="E1009" i="22"/>
  <c r="E1010" i="22"/>
  <c r="E1011" i="22"/>
  <c r="E1012" i="22"/>
  <c r="E1013" i="22"/>
  <c r="E1014" i="22"/>
  <c r="E1015" i="22"/>
  <c r="E1016" i="22"/>
  <c r="E1017" i="22"/>
  <c r="E1018" i="22"/>
  <c r="E1019" i="22"/>
  <c r="E1020" i="22"/>
  <c r="E1021" i="22"/>
  <c r="E1022" i="22"/>
  <c r="E1023" i="22"/>
  <c r="E1024" i="22"/>
  <c r="E1025" i="22"/>
  <c r="E1026" i="22"/>
  <c r="E1027" i="22"/>
  <c r="E1028" i="22"/>
  <c r="E1029" i="22"/>
  <c r="E1030" i="22"/>
  <c r="E1031" i="22"/>
  <c r="E1032" i="22"/>
  <c r="E1033" i="22"/>
  <c r="E1034" i="22"/>
  <c r="E1035" i="22"/>
  <c r="E1036" i="22"/>
  <c r="E1037" i="22"/>
  <c r="E1038" i="22"/>
  <c r="E1039" i="22"/>
  <c r="E1040" i="22"/>
  <c r="E1041" i="22"/>
  <c r="E1042" i="22"/>
  <c r="E1043" i="22"/>
  <c r="E1044" i="22"/>
  <c r="E1045" i="22"/>
  <c r="E1046" i="22"/>
  <c r="E1047" i="22"/>
  <c r="E1048" i="22"/>
  <c r="E1049" i="22"/>
  <c r="E1050" i="22"/>
  <c r="E1051" i="22"/>
  <c r="E1052" i="22"/>
  <c r="E1053" i="22"/>
  <c r="E1054" i="22"/>
  <c r="E1055" i="22"/>
  <c r="E1056" i="22"/>
  <c r="E1057" i="22"/>
  <c r="E1058" i="22"/>
  <c r="E1059" i="22"/>
  <c r="E1060" i="22"/>
  <c r="E1061" i="22"/>
  <c r="E1062" i="22"/>
  <c r="E1063" i="22"/>
  <c r="E1064" i="22"/>
  <c r="E1065" i="22"/>
  <c r="E1066" i="22"/>
  <c r="E1067" i="22"/>
  <c r="E1068" i="22"/>
  <c r="E1069" i="22"/>
  <c r="E1070" i="22"/>
  <c r="E1071" i="22"/>
  <c r="E1072" i="22"/>
  <c r="E1073" i="22"/>
  <c r="E1074" i="22"/>
  <c r="E1075" i="22"/>
  <c r="E1076" i="22"/>
  <c r="E1077" i="22"/>
  <c r="E1078" i="22"/>
  <c r="E1079" i="22"/>
  <c r="E1080" i="22"/>
  <c r="E1081" i="22"/>
  <c r="E1082" i="22"/>
  <c r="E1083" i="22"/>
  <c r="E1084" i="22"/>
  <c r="E1085" i="22"/>
  <c r="E1086" i="22"/>
  <c r="E1087" i="22"/>
  <c r="E1088" i="22"/>
  <c r="E1089" i="22"/>
  <c r="E1090" i="22"/>
  <c r="E1091" i="22"/>
  <c r="E1092" i="22"/>
  <c r="E1093" i="22"/>
  <c r="E1094" i="22"/>
  <c r="E1095" i="22"/>
  <c r="E1096" i="22"/>
  <c r="E1097" i="22"/>
  <c r="E1098" i="22"/>
  <c r="E1099" i="22"/>
  <c r="E1100" i="22"/>
  <c r="E1101" i="22"/>
  <c r="E1102" i="22"/>
  <c r="E1103" i="22"/>
  <c r="E1104" i="22"/>
  <c r="E1105" i="22"/>
  <c r="E1106" i="22"/>
  <c r="E1107" i="22"/>
  <c r="E1108" i="22"/>
  <c r="E1109" i="22"/>
  <c r="E1110" i="22"/>
  <c r="E1111" i="22"/>
  <c r="E1112" i="22"/>
  <c r="E1113" i="22"/>
  <c r="E1114" i="22"/>
  <c r="E1115" i="22"/>
  <c r="E1116" i="22"/>
  <c r="E1117" i="22"/>
  <c r="E1118" i="22"/>
  <c r="E1119" i="22"/>
  <c r="E1120" i="22"/>
  <c r="E1121" i="22"/>
  <c r="E1122" i="22"/>
  <c r="E1123" i="22"/>
  <c r="E1124" i="22"/>
  <c r="E1125" i="22"/>
  <c r="E1126" i="22"/>
  <c r="E1127" i="22"/>
  <c r="E1128" i="22"/>
  <c r="E1129" i="22"/>
  <c r="E1130" i="22"/>
  <c r="E1131" i="22"/>
  <c r="E1132" i="22"/>
  <c r="E1133" i="22"/>
  <c r="E1134" i="22"/>
  <c r="E1135" i="22"/>
  <c r="E1136" i="22"/>
  <c r="E1137" i="22"/>
  <c r="E1138" i="22"/>
  <c r="E1139" i="22"/>
  <c r="E1140" i="22"/>
  <c r="E1141" i="22"/>
  <c r="E1142" i="22"/>
  <c r="E1143" i="22"/>
  <c r="E1144" i="22"/>
  <c r="E1145" i="22"/>
  <c r="E1146" i="22"/>
  <c r="E1147" i="22"/>
  <c r="E1148" i="22"/>
  <c r="E1149" i="22"/>
  <c r="E1150" i="22"/>
  <c r="E1151" i="22"/>
  <c r="E1152" i="22"/>
  <c r="E1153" i="22"/>
  <c r="E1154" i="22"/>
  <c r="E1155" i="22"/>
  <c r="E1156" i="22"/>
  <c r="E1157" i="22"/>
  <c r="E1158" i="22"/>
  <c r="E1159" i="22"/>
  <c r="E1160" i="22"/>
  <c r="E1161" i="22"/>
  <c r="E1162" i="22"/>
  <c r="E1163" i="22"/>
  <c r="E1164" i="22"/>
  <c r="E1165" i="22"/>
  <c r="E1166" i="22"/>
  <c r="E1167" i="22"/>
  <c r="E1168" i="22"/>
  <c r="E1169" i="22"/>
  <c r="E1170" i="22"/>
  <c r="E1171" i="22"/>
  <c r="E1172" i="22"/>
  <c r="E1173" i="22"/>
  <c r="E1174" i="22"/>
  <c r="E1175" i="22"/>
  <c r="E1176" i="22"/>
  <c r="E1177" i="22"/>
  <c r="E1178" i="22"/>
  <c r="E1179" i="22"/>
  <c r="E1180" i="22"/>
  <c r="E1181" i="22"/>
  <c r="E1182" i="22"/>
  <c r="E1183" i="22"/>
  <c r="E1184" i="22"/>
  <c r="E1185" i="22"/>
  <c r="E1186" i="22"/>
  <c r="E1187" i="22"/>
  <c r="E1188" i="22"/>
  <c r="E1189" i="22"/>
  <c r="E1190" i="22"/>
  <c r="E1191" i="22"/>
  <c r="E1192" i="22"/>
  <c r="E1193" i="22"/>
  <c r="E1194" i="22"/>
  <c r="E1195" i="22"/>
  <c r="E1196" i="22"/>
  <c r="E1197" i="22"/>
  <c r="E1198" i="22"/>
  <c r="E1199" i="22"/>
  <c r="E1200" i="22"/>
  <c r="E1201" i="22"/>
  <c r="E1202" i="22"/>
  <c r="E1203" i="22"/>
  <c r="E1204" i="22"/>
  <c r="E1205" i="22"/>
  <c r="E1206" i="22"/>
  <c r="E1207" i="22"/>
  <c r="E1208" i="22"/>
  <c r="E1209" i="22"/>
  <c r="E1210" i="22"/>
  <c r="E1211" i="22"/>
  <c r="E1212" i="22"/>
  <c r="E1213" i="22"/>
  <c r="E1214" i="22"/>
  <c r="E1215" i="22"/>
  <c r="E1216" i="22"/>
  <c r="E1217" i="22"/>
  <c r="E1218" i="22"/>
  <c r="E1219" i="22"/>
  <c r="E1220" i="22"/>
  <c r="E1221" i="22"/>
  <c r="E1222" i="22"/>
  <c r="E1223" i="22"/>
  <c r="E1224" i="22"/>
  <c r="E1225" i="22"/>
  <c r="E1226" i="22"/>
  <c r="E1227" i="22"/>
  <c r="E1228" i="22"/>
  <c r="E1229" i="22"/>
  <c r="E1230" i="22"/>
  <c r="E1231" i="22"/>
  <c r="E1232" i="22"/>
  <c r="E1233" i="22"/>
  <c r="E1234" i="22"/>
  <c r="E1235" i="22"/>
  <c r="E1236" i="22"/>
  <c r="E1237" i="22"/>
  <c r="E1238" i="22"/>
  <c r="E1239" i="22"/>
  <c r="E1240" i="22"/>
  <c r="E1241" i="22"/>
  <c r="E1242" i="22"/>
  <c r="E1243" i="22"/>
  <c r="E1244" i="22"/>
  <c r="E1245" i="22"/>
  <c r="E1246" i="22"/>
  <c r="E1247" i="22"/>
  <c r="E1248" i="22"/>
  <c r="E1249" i="22"/>
  <c r="E1250" i="22"/>
  <c r="E1251" i="22"/>
  <c r="E1252" i="22"/>
  <c r="E1253" i="22"/>
  <c r="E1254" i="22"/>
  <c r="E1255" i="22"/>
  <c r="E1256" i="22"/>
  <c r="E1257" i="22"/>
  <c r="E1258" i="22"/>
  <c r="E1259" i="22"/>
  <c r="E1260" i="22"/>
  <c r="E1261" i="22"/>
  <c r="E1262" i="22"/>
  <c r="E1263" i="22"/>
  <c r="E1264" i="22"/>
  <c r="E1265" i="22"/>
  <c r="E1266" i="22"/>
  <c r="E1267" i="22"/>
  <c r="E1268" i="22"/>
  <c r="E1269" i="22"/>
  <c r="E1270" i="22"/>
  <c r="E1271" i="22"/>
  <c r="E1272" i="22"/>
  <c r="E1273" i="22"/>
  <c r="E1274" i="22"/>
  <c r="E1275" i="22"/>
  <c r="E1276" i="22"/>
  <c r="E1277" i="22"/>
  <c r="E1278" i="22"/>
  <c r="E1279" i="22"/>
  <c r="E1280" i="22"/>
  <c r="E1281" i="22"/>
  <c r="E1282" i="22"/>
  <c r="E1283" i="22"/>
  <c r="E1284" i="22"/>
  <c r="E1285" i="22"/>
  <c r="E1286" i="22"/>
  <c r="E1287" i="22"/>
  <c r="E1288" i="22"/>
  <c r="E1289" i="22"/>
  <c r="E1290" i="22"/>
  <c r="E1291" i="22"/>
  <c r="E1292" i="22"/>
  <c r="E1293" i="22"/>
  <c r="E1294" i="22"/>
  <c r="E1295" i="22"/>
  <c r="E1296" i="22"/>
  <c r="E1297" i="22"/>
  <c r="E1298" i="22"/>
  <c r="E1299" i="22"/>
  <c r="E1300" i="22"/>
  <c r="E1301" i="22"/>
  <c r="E1302" i="22"/>
  <c r="E1303" i="22"/>
  <c r="E1304" i="22"/>
  <c r="E1305" i="22"/>
  <c r="E1306" i="22"/>
  <c r="E1307" i="22"/>
  <c r="E1308" i="22"/>
  <c r="E1309" i="22"/>
  <c r="E1310" i="22"/>
  <c r="E1311" i="22"/>
  <c r="E1312" i="22"/>
  <c r="E1313" i="22"/>
  <c r="E1314" i="22"/>
  <c r="E1315" i="22"/>
  <c r="E1316" i="22"/>
  <c r="E1317" i="22"/>
  <c r="E1318" i="22"/>
  <c r="E1319" i="22"/>
  <c r="E1320" i="22"/>
  <c r="E1321" i="22"/>
  <c r="E1322" i="22"/>
  <c r="E1323" i="22"/>
  <c r="E1324" i="22"/>
  <c r="E1325" i="22"/>
  <c r="E1326" i="22"/>
  <c r="E1327" i="22"/>
  <c r="E1328" i="22"/>
  <c r="E1329" i="22"/>
  <c r="E1330" i="22"/>
  <c r="E1331" i="22"/>
  <c r="E1332" i="22"/>
  <c r="E1333" i="22"/>
  <c r="E1334" i="22"/>
  <c r="E1335" i="22"/>
  <c r="E1336" i="22"/>
  <c r="E1337" i="22"/>
  <c r="E1338" i="22"/>
  <c r="E1339" i="22"/>
  <c r="E1340" i="22"/>
  <c r="E1341" i="22"/>
  <c r="E1342" i="22"/>
  <c r="E1343" i="22"/>
  <c r="E1344" i="22"/>
  <c r="E1345" i="22"/>
  <c r="E1346" i="22"/>
  <c r="E1347" i="22"/>
  <c r="E1348" i="22"/>
  <c r="E1349" i="22"/>
  <c r="E1350" i="22"/>
  <c r="E1351" i="22"/>
  <c r="E1352" i="22"/>
  <c r="E1353" i="22"/>
  <c r="E1354" i="22"/>
  <c r="E1355" i="22"/>
  <c r="E1356" i="22"/>
  <c r="E1357" i="22"/>
  <c r="E1358" i="22"/>
  <c r="E1359" i="22"/>
  <c r="E1360" i="22"/>
  <c r="E1361" i="22"/>
  <c r="E1362" i="22"/>
  <c r="E1363" i="22"/>
  <c r="E1364" i="22"/>
  <c r="E1365" i="22"/>
  <c r="E1366" i="22"/>
  <c r="E1367" i="22"/>
  <c r="E1368" i="22"/>
  <c r="E1369" i="22"/>
  <c r="E1370" i="22"/>
  <c r="E1371" i="22"/>
  <c r="E1372" i="22"/>
  <c r="E1373" i="22"/>
  <c r="E1374" i="22"/>
  <c r="E1375" i="22"/>
  <c r="E1376" i="22"/>
  <c r="E1377" i="22"/>
  <c r="E1378" i="22"/>
  <c r="E1379" i="22"/>
  <c r="E1380" i="22"/>
  <c r="E1381" i="22"/>
  <c r="E1382" i="22"/>
  <c r="E1383" i="22"/>
  <c r="E1384" i="22"/>
  <c r="E1385" i="22"/>
  <c r="E1386" i="22"/>
  <c r="E1387" i="22"/>
  <c r="E1388" i="22"/>
  <c r="E1389" i="22"/>
  <c r="E1390" i="22"/>
  <c r="E1391" i="22"/>
  <c r="E1392" i="22"/>
  <c r="E1393" i="22"/>
  <c r="E1394" i="22"/>
  <c r="E1395" i="22"/>
  <c r="E1396" i="22"/>
  <c r="E1397" i="22"/>
  <c r="E1398" i="22"/>
  <c r="E1399" i="22"/>
  <c r="E1400" i="22"/>
  <c r="E1401" i="22"/>
  <c r="E1402" i="22"/>
  <c r="E1403" i="22"/>
  <c r="E1404" i="22"/>
  <c r="E1405" i="22"/>
  <c r="E1406" i="22"/>
  <c r="E1407" i="22"/>
  <c r="E1408" i="22"/>
  <c r="E1409" i="22"/>
  <c r="E1410" i="22"/>
  <c r="E1411" i="22"/>
  <c r="E1412" i="22"/>
  <c r="E1413" i="22"/>
  <c r="E1414" i="22"/>
  <c r="E1415" i="22"/>
  <c r="E1416" i="22"/>
  <c r="E1417" i="22"/>
  <c r="E1418" i="22"/>
  <c r="E1419" i="22"/>
  <c r="E1420" i="22"/>
  <c r="E1421" i="22"/>
  <c r="E1422" i="22"/>
  <c r="E1423" i="22"/>
  <c r="E1424" i="22"/>
  <c r="E1425" i="22"/>
  <c r="E1426" i="22"/>
  <c r="E1427" i="22"/>
  <c r="E1428" i="22"/>
  <c r="E1429" i="22"/>
  <c r="E1430" i="22"/>
  <c r="E1431" i="22"/>
  <c r="E1432" i="22"/>
  <c r="E1433" i="22"/>
  <c r="E1434" i="22"/>
  <c r="E1435" i="22"/>
  <c r="E1436" i="22"/>
  <c r="E1437" i="22"/>
  <c r="E1438" i="22"/>
  <c r="E1439" i="22"/>
  <c r="E1440" i="22"/>
  <c r="E1441" i="22"/>
  <c r="E1442" i="22"/>
  <c r="E1443" i="22"/>
  <c r="E1444" i="22"/>
  <c r="E1445" i="22"/>
  <c r="E2" i="22"/>
  <c r="M111" i="1"/>
  <c r="M105" i="1"/>
  <c r="M99" i="1"/>
  <c r="M98" i="1"/>
  <c r="M90" i="1"/>
  <c r="M92" i="1"/>
  <c r="M82" i="1"/>
  <c r="M61" i="1"/>
  <c r="M53" i="1"/>
  <c r="M79" i="1"/>
  <c r="M43" i="1"/>
  <c r="M77" i="1"/>
  <c r="M59" i="1"/>
  <c r="M41" i="1"/>
  <c r="M64" i="1"/>
  <c r="M50" i="1"/>
  <c r="M108" i="1"/>
  <c r="M102" i="1"/>
  <c r="M97" i="1"/>
  <c r="M101" i="1"/>
  <c r="M106" i="1"/>
  <c r="M89" i="1"/>
  <c r="M78" i="1"/>
  <c r="M71" i="1"/>
  <c r="M35" i="1"/>
  <c r="M68" i="1"/>
  <c r="M32" i="1"/>
  <c r="M87" i="1"/>
  <c r="M103" i="1"/>
  <c r="M95" i="1"/>
  <c r="M81" i="1"/>
  <c r="I85" i="1" s="1"/>
  <c r="M63" i="1"/>
  <c r="M45" i="1"/>
  <c r="M114" i="1"/>
  <c r="M109" i="1"/>
  <c r="M94" i="1"/>
  <c r="M115" i="1"/>
  <c r="M86" i="1"/>
  <c r="H90" i="1" s="1"/>
  <c r="M80" i="1"/>
  <c r="M73" i="1"/>
  <c r="M60" i="1"/>
  <c r="M58" i="1"/>
  <c r="M112" i="1"/>
  <c r="M113" i="1"/>
  <c r="M110" i="1"/>
  <c r="M118" i="1"/>
  <c r="M74" i="1"/>
  <c r="M72" i="1"/>
  <c r="M48" i="1"/>
  <c r="M83" i="1"/>
  <c r="M117" i="1"/>
  <c r="M96" i="1"/>
  <c r="M119" i="1"/>
  <c r="M100" i="1"/>
  <c r="M55" i="1"/>
  <c r="M120" i="1"/>
  <c r="M104" i="1"/>
  <c r="H110" i="1" s="1"/>
  <c r="M121" i="1"/>
  <c r="M122" i="1"/>
  <c r="M116" i="1"/>
  <c r="M123" i="1"/>
  <c r="B21" i="33"/>
  <c r="D21" i="33"/>
  <c r="B12" i="33"/>
  <c r="D12" i="33"/>
  <c r="B11" i="33"/>
  <c r="D11" i="33"/>
  <c r="B10" i="33"/>
  <c r="D10" i="33"/>
  <c r="B9" i="33"/>
  <c r="D9" i="33"/>
  <c r="B29" i="32"/>
  <c r="D29" i="32"/>
  <c r="B26" i="31"/>
  <c r="D26" i="31"/>
  <c r="B24" i="31"/>
  <c r="D24" i="31"/>
  <c r="B23" i="31"/>
  <c r="D23" i="31"/>
  <c r="B18" i="31"/>
  <c r="D18" i="31"/>
  <c r="B17" i="31"/>
  <c r="D17" i="31"/>
  <c r="B16" i="31"/>
  <c r="D16" i="31"/>
  <c r="B15" i="31"/>
  <c r="D15" i="31"/>
  <c r="B12" i="31"/>
  <c r="D12" i="31"/>
  <c r="B10" i="31"/>
  <c r="D10" i="31"/>
  <c r="B9" i="31"/>
  <c r="D9" i="31"/>
  <c r="B8" i="31"/>
  <c r="D8" i="31"/>
  <c r="B3" i="31"/>
  <c r="D3" i="31"/>
  <c r="B2" i="31"/>
  <c r="B29" i="30"/>
  <c r="D29" i="30"/>
  <c r="B27" i="30"/>
  <c r="D27" i="30"/>
  <c r="B26" i="30"/>
  <c r="D26" i="30"/>
  <c r="B24" i="30"/>
  <c r="D24" i="30"/>
  <c r="B23" i="30"/>
  <c r="D23" i="30"/>
  <c r="B20" i="30"/>
  <c r="D20" i="30"/>
  <c r="B5" i="30"/>
  <c r="D5" i="30"/>
  <c r="D32" i="29"/>
  <c r="D30" i="29"/>
  <c r="D29" i="29"/>
  <c r="D14" i="29"/>
  <c r="D13" i="29"/>
  <c r="D5" i="29"/>
  <c r="D3" i="29"/>
  <c r="D11" i="27"/>
  <c r="D10" i="26"/>
  <c r="D32" i="34"/>
  <c r="M496" i="1"/>
  <c r="M498" i="1"/>
  <c r="M499" i="1"/>
  <c r="M501" i="1"/>
  <c r="M502" i="1"/>
  <c r="M500" i="1"/>
  <c r="M503" i="1"/>
  <c r="M508" i="1"/>
  <c r="M505" i="1"/>
  <c r="M504" i="1"/>
  <c r="M507" i="1"/>
  <c r="M497" i="1"/>
  <c r="H500" i="1" s="1"/>
  <c r="M512" i="1"/>
  <c r="M513" i="1"/>
  <c r="M514" i="1"/>
  <c r="M519" i="1"/>
  <c r="M515" i="1"/>
  <c r="M516" i="1"/>
  <c r="M517" i="1"/>
  <c r="M518" i="1"/>
  <c r="M510" i="1"/>
  <c r="H513" i="1" s="1"/>
  <c r="M521" i="1"/>
  <c r="H524" i="1" s="1"/>
  <c r="M522" i="1"/>
  <c r="H525" i="1" s="1"/>
  <c r="M506" i="1"/>
  <c r="M88" i="1"/>
  <c r="M65" i="1"/>
  <c r="M42" i="1"/>
  <c r="M40" i="1"/>
  <c r="M509" i="1"/>
  <c r="M511" i="1"/>
  <c r="I514" i="1" s="1"/>
  <c r="M520" i="1"/>
  <c r="H523" i="1" s="1"/>
  <c r="M531" i="1"/>
  <c r="M532" i="1"/>
  <c r="M533" i="1"/>
  <c r="M534" i="1"/>
  <c r="M535" i="1"/>
  <c r="H538" i="1" s="1"/>
  <c r="M536" i="1"/>
  <c r="H539" i="1" s="1"/>
  <c r="M537" i="1"/>
  <c r="H540" i="1" s="1"/>
  <c r="M592" i="1"/>
  <c r="M608" i="1"/>
  <c r="P15" i="33"/>
  <c r="O15" i="33"/>
  <c r="G31" i="33"/>
  <c r="M493" i="1"/>
  <c r="M494" i="1"/>
  <c r="M495" i="1"/>
  <c r="I498" i="1" s="1"/>
  <c r="M131" i="1"/>
  <c r="M126" i="1"/>
  <c r="M127" i="1"/>
  <c r="M124" i="1"/>
  <c r="M125" i="1"/>
  <c r="M137" i="1"/>
  <c r="M148" i="1"/>
  <c r="M151" i="1"/>
  <c r="M128" i="1"/>
  <c r="M129" i="1"/>
  <c r="M130" i="1"/>
  <c r="M132" i="1"/>
  <c r="M133" i="1"/>
  <c r="M134" i="1"/>
  <c r="M44" i="1"/>
  <c r="M70" i="1"/>
  <c r="M66" i="1"/>
  <c r="M57" i="1"/>
  <c r="M67" i="1"/>
  <c r="M39" i="1"/>
  <c r="M31" i="1"/>
  <c r="D27" i="32"/>
  <c r="D26" i="32"/>
  <c r="D24" i="32"/>
  <c r="D3" i="32"/>
  <c r="M143" i="1"/>
  <c r="M158" i="1"/>
  <c r="M160" i="1"/>
  <c r="M152" i="1"/>
  <c r="M167" i="1"/>
  <c r="M169" i="1"/>
  <c r="M146" i="1"/>
  <c r="M153" i="1"/>
  <c r="M155" i="1"/>
  <c r="M162" i="1"/>
  <c r="M164" i="1"/>
  <c r="M144" i="1"/>
  <c r="M145" i="1"/>
  <c r="I149" i="1" s="1"/>
  <c r="M150" i="1"/>
  <c r="M91" i="1"/>
  <c r="M56" i="1"/>
  <c r="M93" i="1"/>
  <c r="H97" i="1" s="1"/>
  <c r="M140" i="1"/>
  <c r="M156" i="1"/>
  <c r="M165" i="1"/>
  <c r="M154" i="1"/>
  <c r="M157" i="1"/>
  <c r="M159" i="1"/>
  <c r="M172" i="1"/>
  <c r="M173" i="1"/>
  <c r="M175" i="1"/>
  <c r="M176" i="1"/>
  <c r="M177" i="1"/>
  <c r="M179" i="1"/>
  <c r="M185" i="1"/>
  <c r="M187" i="1"/>
  <c r="M188" i="1"/>
  <c r="M186" i="1"/>
  <c r="M180" i="1"/>
  <c r="M182" i="1"/>
  <c r="M189" i="1"/>
  <c r="M178" i="1"/>
  <c r="M183" i="1"/>
  <c r="M190" i="1"/>
  <c r="M191" i="1"/>
  <c r="M174" i="1"/>
  <c r="H178" i="1" s="1"/>
  <c r="M184" i="1"/>
  <c r="M194" i="1"/>
  <c r="M163" i="1"/>
  <c r="M166" i="1"/>
  <c r="M171" i="1"/>
  <c r="M168" i="1"/>
  <c r="H172" i="1" s="1"/>
  <c r="M170" i="1"/>
  <c r="I174" i="1" s="1"/>
  <c r="M192" i="1"/>
  <c r="M199" i="1"/>
  <c r="M135" i="1"/>
  <c r="M136" i="1"/>
  <c r="M161" i="1"/>
  <c r="H165" i="1" s="1"/>
  <c r="M17" i="1"/>
  <c r="M62" i="1"/>
  <c r="M49" i="1"/>
  <c r="I44" i="1" s="1"/>
  <c r="M52" i="1"/>
  <c r="M36" i="1"/>
  <c r="M28" i="1"/>
  <c r="M30" i="1"/>
  <c r="M12" i="1"/>
  <c r="M5" i="1"/>
  <c r="M10" i="1"/>
  <c r="M7" i="1"/>
  <c r="M21" i="1"/>
  <c r="M19" i="1"/>
  <c r="M23" i="1"/>
  <c r="M25" i="1"/>
  <c r="M38" i="1"/>
  <c r="M29" i="1"/>
  <c r="M22" i="1"/>
  <c r="M8" i="1"/>
  <c r="M16" i="1"/>
  <c r="M4" i="1"/>
  <c r="M15" i="1"/>
  <c r="M6" i="1"/>
  <c r="M20" i="1"/>
  <c r="M14" i="1"/>
  <c r="M2" i="1"/>
  <c r="M3" i="1"/>
  <c r="M107" i="1"/>
  <c r="M9" i="1"/>
  <c r="H3" i="1" s="1"/>
  <c r="M69" i="1"/>
  <c r="M33" i="1"/>
  <c r="M13" i="1"/>
  <c r="M18" i="1"/>
  <c r="M34" i="1"/>
  <c r="H29" i="1" s="1"/>
  <c r="G14" i="31"/>
  <c r="D11" i="31"/>
  <c r="D27" i="31"/>
  <c r="D32" i="31"/>
  <c r="M453" i="1"/>
  <c r="M458" i="1"/>
  <c r="M457" i="1"/>
  <c r="M460" i="1"/>
  <c r="M461" i="1"/>
  <c r="M463" i="1"/>
  <c r="M464" i="1"/>
  <c r="M462" i="1"/>
  <c r="M466" i="1"/>
  <c r="M467" i="1"/>
  <c r="M469" i="1"/>
  <c r="M454" i="1"/>
  <c r="M455" i="1"/>
  <c r="M456" i="1"/>
  <c r="M468" i="1"/>
  <c r="M472" i="1"/>
  <c r="M473" i="1"/>
  <c r="M475" i="1"/>
  <c r="M474" i="1"/>
  <c r="M477" i="1"/>
  <c r="M476" i="1"/>
  <c r="M479" i="1"/>
  <c r="M471" i="1"/>
  <c r="I474" i="1" s="1"/>
  <c r="M465" i="1"/>
  <c r="M470" i="1"/>
  <c r="M459" i="1"/>
  <c r="I462" i="1" s="1"/>
  <c r="M480" i="1"/>
  <c r="M481" i="1"/>
  <c r="M482" i="1"/>
  <c r="M483" i="1"/>
  <c r="M484" i="1"/>
  <c r="M478" i="1"/>
  <c r="M485" i="1"/>
  <c r="M486" i="1"/>
  <c r="M488" i="1"/>
  <c r="M492" i="1"/>
  <c r="H495" i="1" s="1"/>
  <c r="M487" i="1"/>
  <c r="M489" i="1"/>
  <c r="M491" i="1"/>
  <c r="M490" i="1"/>
  <c r="M47" i="1"/>
  <c r="M24" i="1"/>
  <c r="M37" i="1"/>
  <c r="M11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R6" i="30"/>
  <c r="S6" i="30"/>
  <c r="D31" i="30"/>
  <c r="P27" i="30"/>
  <c r="S25" i="30"/>
  <c r="D25" i="30"/>
  <c r="D22" i="30"/>
  <c r="R17" i="30"/>
  <c r="D13" i="30"/>
  <c r="D6" i="30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3" i="1"/>
  <c r="M444" i="1"/>
  <c r="M442" i="1"/>
  <c r="M447" i="1"/>
  <c r="M448" i="1"/>
  <c r="M450" i="1"/>
  <c r="M452" i="1"/>
  <c r="H455" i="1" s="1"/>
  <c r="M451" i="1"/>
  <c r="I454" i="1" s="1"/>
  <c r="M449" i="1"/>
  <c r="M445" i="1"/>
  <c r="H448" i="1" s="1"/>
  <c r="M446" i="1"/>
  <c r="M193" i="1"/>
  <c r="M198" i="1"/>
  <c r="M195" i="1"/>
  <c r="M201" i="1"/>
  <c r="M206" i="1"/>
  <c r="M196" i="1"/>
  <c r="M197" i="1"/>
  <c r="M202" i="1"/>
  <c r="M207" i="1"/>
  <c r="M200" i="1"/>
  <c r="M205" i="1"/>
  <c r="M210" i="1"/>
  <c r="M203" i="1"/>
  <c r="M204" i="1"/>
  <c r="M208" i="1"/>
  <c r="M209" i="1"/>
  <c r="M212" i="1"/>
  <c r="M181" i="1"/>
  <c r="H185" i="1" s="1"/>
  <c r="M211" i="1"/>
  <c r="M215" i="1"/>
  <c r="M213" i="1"/>
  <c r="M214" i="1"/>
  <c r="M218" i="1"/>
  <c r="M219" i="1"/>
  <c r="M216" i="1"/>
  <c r="M217" i="1"/>
  <c r="M221" i="1"/>
  <c r="M220" i="1"/>
  <c r="M224" i="1"/>
  <c r="M51" i="1"/>
  <c r="M295" i="1"/>
  <c r="M296" i="1"/>
  <c r="M300" i="1"/>
  <c r="M297" i="1"/>
  <c r="M301" i="1"/>
  <c r="M298" i="1"/>
  <c r="M302" i="1"/>
  <c r="M299" i="1"/>
  <c r="M303" i="1"/>
  <c r="M307" i="1"/>
  <c r="M305" i="1"/>
  <c r="M306" i="1"/>
  <c r="M304" i="1"/>
  <c r="M308" i="1"/>
  <c r="M310" i="1"/>
  <c r="M311" i="1"/>
  <c r="M312" i="1"/>
  <c r="M314" i="1"/>
  <c r="M313" i="1"/>
  <c r="M315" i="1"/>
  <c r="M316" i="1"/>
  <c r="M309" i="1"/>
  <c r="M317" i="1"/>
  <c r="M319" i="1"/>
  <c r="M320" i="1"/>
  <c r="M322" i="1"/>
  <c r="M318" i="1"/>
  <c r="M321" i="1"/>
  <c r="M323" i="1"/>
  <c r="M324" i="1"/>
  <c r="M325" i="1"/>
  <c r="M327" i="1"/>
  <c r="M326" i="1"/>
  <c r="M329" i="1"/>
  <c r="M328" i="1"/>
  <c r="M223" i="1"/>
  <c r="M222" i="1"/>
  <c r="M227" i="1"/>
  <c r="M225" i="1"/>
  <c r="M229" i="1"/>
  <c r="M226" i="1"/>
  <c r="M230" i="1"/>
  <c r="M228" i="1"/>
  <c r="M232" i="1"/>
  <c r="M233" i="1"/>
  <c r="M231" i="1"/>
  <c r="M352" i="1"/>
  <c r="M353" i="1"/>
  <c r="M355" i="1"/>
  <c r="M354" i="1"/>
  <c r="M356" i="1"/>
  <c r="M357" i="1"/>
  <c r="M359" i="1"/>
  <c r="M358" i="1"/>
  <c r="M360" i="1"/>
  <c r="M361" i="1"/>
  <c r="M363" i="1"/>
  <c r="M364" i="1"/>
  <c r="M366" i="1"/>
  <c r="M365" i="1"/>
  <c r="M367" i="1"/>
  <c r="M362" i="1"/>
  <c r="H366" i="1" s="1"/>
  <c r="M368" i="1"/>
  <c r="M370" i="1"/>
  <c r="M369" i="1"/>
  <c r="M371" i="1"/>
  <c r="M373" i="1"/>
  <c r="M374" i="1"/>
  <c r="M375" i="1"/>
  <c r="M372" i="1"/>
  <c r="I375" i="1" s="1"/>
  <c r="M376" i="1"/>
  <c r="M377" i="1"/>
  <c r="M378" i="1"/>
  <c r="M379" i="1"/>
  <c r="M380" i="1"/>
  <c r="M381" i="1"/>
  <c r="M382" i="1"/>
  <c r="M383" i="1"/>
  <c r="M385" i="1"/>
  <c r="M386" i="1"/>
  <c r="M387" i="1"/>
  <c r="M388" i="1"/>
  <c r="M389" i="1"/>
  <c r="M384" i="1"/>
  <c r="H387" i="1" s="1"/>
  <c r="M390" i="1"/>
  <c r="M392" i="1"/>
  <c r="M393" i="1"/>
  <c r="M394" i="1"/>
  <c r="M396" i="1"/>
  <c r="M391" i="1"/>
  <c r="M397" i="1"/>
  <c r="M398" i="1"/>
  <c r="M399" i="1"/>
  <c r="M400" i="1"/>
  <c r="M401" i="1"/>
  <c r="M395" i="1"/>
  <c r="H398" i="1" s="1"/>
  <c r="M402" i="1"/>
  <c r="D31" i="29"/>
  <c r="D12" i="29"/>
  <c r="D6" i="29"/>
  <c r="M421" i="1"/>
  <c r="M422" i="1"/>
  <c r="M423" i="1"/>
  <c r="M424" i="1"/>
  <c r="M425" i="1"/>
  <c r="M426" i="1"/>
  <c r="M427" i="1"/>
  <c r="H430" i="1" s="1"/>
  <c r="D32" i="28"/>
  <c r="M283" i="1"/>
  <c r="M284" i="1"/>
  <c r="M285" i="1"/>
  <c r="M289" i="1"/>
  <c r="M288" i="1"/>
  <c r="M293" i="1"/>
  <c r="M290" i="1"/>
  <c r="M294" i="1"/>
  <c r="H298" i="1" s="1"/>
  <c r="M287" i="1"/>
  <c r="M291" i="1"/>
  <c r="M292" i="1"/>
  <c r="M286" i="1"/>
  <c r="M236" i="1"/>
  <c r="M235" i="1"/>
  <c r="M237" i="1"/>
  <c r="M239" i="1"/>
  <c r="D10" i="27"/>
  <c r="M403" i="1"/>
  <c r="M404" i="1"/>
  <c r="M405" i="1"/>
  <c r="M407" i="1"/>
  <c r="M408" i="1"/>
  <c r="M409" i="1"/>
  <c r="M406" i="1"/>
  <c r="H409" i="1" s="1"/>
  <c r="M410" i="1"/>
  <c r="M411" i="1"/>
  <c r="M412" i="1"/>
  <c r="M413" i="1"/>
  <c r="M414" i="1"/>
  <c r="M415" i="1"/>
  <c r="M416" i="1"/>
  <c r="M417" i="1"/>
  <c r="M418" i="1"/>
  <c r="M419" i="1"/>
  <c r="M420" i="1"/>
  <c r="M234" i="1"/>
  <c r="M238" i="1"/>
  <c r="M242" i="1"/>
  <c r="M241" i="1"/>
  <c r="M245" i="1"/>
  <c r="M240" i="1"/>
  <c r="M243" i="1"/>
  <c r="M247" i="1"/>
  <c r="M244" i="1"/>
  <c r="M246" i="1"/>
  <c r="M249" i="1"/>
  <c r="M250" i="1"/>
  <c r="M248" i="1"/>
  <c r="M252" i="1"/>
  <c r="M256" i="1"/>
  <c r="M253" i="1"/>
  <c r="M254" i="1"/>
  <c r="M260" i="1"/>
  <c r="M251" i="1"/>
  <c r="M255" i="1"/>
  <c r="M257" i="1"/>
  <c r="M258" i="1"/>
  <c r="M259" i="1"/>
  <c r="M261" i="1"/>
  <c r="M263" i="1"/>
  <c r="M267" i="1"/>
  <c r="M265" i="1"/>
  <c r="M269" i="1"/>
  <c r="M262" i="1"/>
  <c r="M266" i="1"/>
  <c r="M264" i="1"/>
  <c r="M268" i="1"/>
  <c r="M270" i="1"/>
  <c r="M271" i="1"/>
  <c r="M272" i="1"/>
  <c r="M274" i="1"/>
  <c r="M278" i="1"/>
  <c r="M275" i="1"/>
  <c r="M273" i="1"/>
  <c r="M276" i="1"/>
  <c r="M338" i="1"/>
  <c r="M339" i="1"/>
  <c r="M341" i="1"/>
  <c r="M340" i="1"/>
  <c r="M342" i="1"/>
  <c r="M344" i="1"/>
  <c r="M343" i="1"/>
  <c r="M345" i="1"/>
  <c r="M346" i="1"/>
  <c r="M348" i="1"/>
  <c r="M349" i="1"/>
  <c r="M350" i="1"/>
  <c r="H354" i="1" s="1"/>
  <c r="M351" i="1"/>
  <c r="H355" i="1" s="1"/>
  <c r="M347" i="1"/>
  <c r="I351" i="1" s="1"/>
  <c r="M330" i="1"/>
  <c r="M331" i="1"/>
  <c r="M333" i="1"/>
  <c r="M332" i="1"/>
  <c r="M334" i="1"/>
  <c r="M335" i="1"/>
  <c r="H339" i="1" s="1"/>
  <c r="M337" i="1"/>
  <c r="M336" i="1"/>
  <c r="I340" i="1" s="1"/>
  <c r="M279" i="1"/>
  <c r="M280" i="1"/>
  <c r="H284" i="1" s="1"/>
  <c r="M281" i="1"/>
  <c r="M282" i="1"/>
  <c r="M277" i="1"/>
  <c r="D6" i="26"/>
  <c r="B31" i="3"/>
  <c r="B32" i="3"/>
  <c r="B33" i="3"/>
  <c r="B34" i="3"/>
  <c r="B35" i="3"/>
  <c r="B36" i="3"/>
  <c r="B37" i="3"/>
  <c r="B38" i="3"/>
  <c r="B39" i="3"/>
  <c r="B40" i="3"/>
  <c r="B41" i="3"/>
  <c r="B42" i="3"/>
  <c r="D40" i="3"/>
  <c r="D43" i="3"/>
  <c r="B20" i="3"/>
  <c r="B21" i="3"/>
  <c r="B22" i="3"/>
  <c r="B23" i="3"/>
  <c r="B24" i="3"/>
  <c r="B25" i="3"/>
  <c r="B26" i="3"/>
  <c r="B27" i="3"/>
  <c r="B28" i="3"/>
  <c r="B29" i="3"/>
  <c r="B30" i="3"/>
  <c r="B19" i="3"/>
  <c r="M7" i="3"/>
  <c r="M11" i="3"/>
  <c r="K4" i="3"/>
  <c r="K3" i="3"/>
  <c r="B7" i="3"/>
  <c r="B5" i="8"/>
  <c r="B18" i="3"/>
  <c r="B17" i="3"/>
  <c r="B16" i="3"/>
  <c r="B15" i="3"/>
  <c r="B14" i="3"/>
  <c r="B13" i="3"/>
  <c r="B12" i="3"/>
  <c r="B11" i="3"/>
  <c r="B10" i="3"/>
  <c r="B9" i="3"/>
  <c r="B8" i="3"/>
  <c r="B6" i="3"/>
  <c r="B5" i="3"/>
  <c r="B4" i="3"/>
  <c r="B3" i="3"/>
  <c r="B2" i="3"/>
  <c r="D7" i="32"/>
  <c r="D15" i="33"/>
  <c r="D32" i="33"/>
  <c r="D17" i="33"/>
  <c r="D5" i="33"/>
  <c r="D33" i="34"/>
  <c r="D1446" i="22"/>
  <c r="J7" i="35"/>
  <c r="M17" i="35"/>
  <c r="E78" i="22"/>
  <c r="G15" i="35"/>
  <c r="F15" i="35"/>
  <c r="G13" i="33"/>
  <c r="I7" i="35"/>
  <c r="G10" i="33"/>
  <c r="G12" i="33"/>
  <c r="G18" i="33"/>
  <c r="D26" i="26"/>
  <c r="D7" i="27"/>
  <c r="D25" i="27"/>
  <c r="D8" i="29"/>
  <c r="D21" i="29"/>
  <c r="B28" i="29"/>
  <c r="B27" i="29"/>
  <c r="B26" i="29"/>
  <c r="B25" i="29"/>
  <c r="B31" i="21"/>
  <c r="B3" i="26"/>
  <c r="B2" i="32"/>
  <c r="B16" i="30"/>
  <c r="B3" i="33"/>
  <c r="B29" i="25"/>
  <c r="B2" i="33"/>
  <c r="B21" i="31"/>
  <c r="B19" i="30"/>
  <c r="B14" i="24"/>
  <c r="B20" i="32"/>
  <c r="B17" i="26"/>
  <c r="B3" i="21"/>
  <c r="B23" i="32"/>
  <c r="B14" i="26"/>
  <c r="B28" i="33"/>
  <c r="B11" i="24"/>
  <c r="B8" i="27"/>
  <c r="B23" i="27"/>
  <c r="B18" i="33"/>
  <c r="B30" i="21"/>
  <c r="B21" i="24"/>
  <c r="B5" i="32"/>
  <c r="B27" i="25"/>
  <c r="B31" i="25"/>
  <c r="B13" i="27"/>
  <c r="B30" i="28"/>
  <c r="B17" i="30"/>
  <c r="B19" i="32"/>
  <c r="B4" i="30"/>
  <c r="B23" i="28"/>
  <c r="B7" i="24"/>
  <c r="B23" i="33"/>
  <c r="B8" i="26"/>
  <c r="B20" i="33"/>
  <c r="B22" i="21"/>
  <c r="B14" i="31"/>
  <c r="B7" i="26"/>
  <c r="B16" i="27"/>
  <c r="B19" i="33"/>
  <c r="B31" i="26"/>
  <c r="B30" i="33"/>
  <c r="B19" i="25"/>
  <c r="B12" i="25"/>
  <c r="B19" i="24"/>
  <c r="B6" i="24"/>
  <c r="B14" i="21"/>
  <c r="B22" i="31"/>
  <c r="B31" i="28"/>
  <c r="B25" i="33"/>
  <c r="B8" i="24"/>
  <c r="B9" i="29"/>
  <c r="B16" i="25"/>
  <c r="B18" i="32"/>
  <c r="B2" i="24"/>
  <c r="B4" i="33"/>
  <c r="B14" i="27"/>
  <c r="B4" i="29"/>
  <c r="B16" i="28"/>
  <c r="B9" i="28"/>
  <c r="B32" i="21"/>
  <c r="B27" i="24"/>
  <c r="B2" i="21"/>
  <c r="B5" i="26"/>
  <c r="B10" i="28"/>
  <c r="B22" i="27"/>
  <c r="B9" i="30"/>
  <c r="B2" i="30"/>
  <c r="B31" i="32"/>
  <c r="B9" i="32"/>
  <c r="B11" i="28"/>
  <c r="B9" i="25"/>
  <c r="B30" i="25"/>
  <c r="B6" i="27"/>
  <c r="B28" i="31"/>
  <c r="B14" i="32"/>
  <c r="B5" i="25"/>
  <c r="B12" i="30"/>
  <c r="B2" i="25"/>
  <c r="B32" i="32"/>
  <c r="B13" i="32"/>
  <c r="B25" i="31"/>
  <c r="B15" i="26"/>
  <c r="B11" i="29"/>
  <c r="B26" i="33"/>
  <c r="B6" i="33"/>
  <c r="B8" i="25"/>
  <c r="B12" i="21"/>
  <c r="B24" i="29"/>
  <c r="B22" i="24"/>
  <c r="B11" i="30"/>
  <c r="B15" i="30"/>
  <c r="B29" i="21"/>
  <c r="B3" i="30"/>
  <c r="B28" i="27"/>
  <c r="B24" i="33"/>
  <c r="B17" i="24"/>
  <c r="B28" i="24"/>
  <c r="B25" i="24"/>
  <c r="B21" i="32"/>
  <c r="B19" i="28"/>
  <c r="B4" i="32"/>
  <c r="B21" i="27"/>
  <c r="B21" i="21"/>
  <c r="B24" i="28"/>
  <c r="B6" i="32"/>
  <c r="B30" i="32"/>
  <c r="B10" i="32"/>
  <c r="B4" i="31"/>
  <c r="B10" i="29"/>
  <c r="B21" i="30"/>
  <c r="B17" i="27"/>
  <c r="B11" i="32"/>
  <c r="B26" i="21"/>
  <c r="B24" i="27"/>
  <c r="B13" i="33"/>
  <c r="B19" i="21"/>
  <c r="B29" i="24"/>
  <c r="B21" i="28"/>
  <c r="B9" i="24"/>
  <c r="B29" i="33"/>
  <c r="B3" i="24"/>
  <c r="B15" i="25"/>
  <c r="B5" i="21"/>
  <c r="B2" i="29"/>
  <c r="B8" i="30"/>
  <c r="B11" i="25"/>
  <c r="B11" i="26"/>
  <c r="B15" i="29"/>
  <c r="B8" i="32"/>
  <c r="B12" i="24"/>
  <c r="B12" i="26"/>
  <c r="B8" i="33"/>
  <c r="B4" i="25"/>
  <c r="B18" i="26"/>
  <c r="B18" i="30"/>
  <c r="B6" i="31"/>
  <c r="B19" i="31"/>
  <c r="B14" i="30"/>
  <c r="B22" i="33"/>
  <c r="B4" i="28"/>
  <c r="B18" i="21"/>
  <c r="B29" i="28"/>
  <c r="B17" i="25"/>
  <c r="B12" i="28"/>
  <c r="B28" i="32"/>
  <c r="B26" i="27"/>
  <c r="B26" i="25"/>
  <c r="B13" i="26"/>
  <c r="B4" i="24"/>
  <c r="B7" i="31"/>
  <c r="B10" i="21"/>
  <c r="B7" i="33"/>
  <c r="B9" i="21"/>
  <c r="B16" i="32"/>
  <c r="B10" i="30"/>
  <c r="B27" i="27"/>
  <c r="B25" i="21"/>
  <c r="B14" i="25"/>
  <c r="B20" i="21"/>
  <c r="B22" i="28"/>
  <c r="B10" i="25"/>
  <c r="B10" i="24"/>
  <c r="B25" i="25"/>
  <c r="B13" i="31"/>
  <c r="B32" i="25"/>
  <c r="B16" i="33"/>
  <c r="B7" i="30"/>
  <c r="B15" i="24"/>
  <c r="B18" i="25"/>
  <c r="B15" i="27"/>
  <c r="B17" i="32"/>
  <c r="B15" i="32"/>
  <c r="B31" i="31"/>
  <c r="B20" i="28"/>
  <c r="B20" i="25"/>
  <c r="B22" i="32"/>
  <c r="B28" i="30"/>
  <c r="B9" i="26"/>
  <c r="B4" i="26"/>
  <c r="B23" i="24"/>
  <c r="B17" i="28"/>
  <c r="B30" i="30"/>
  <c r="B18" i="28"/>
  <c r="B30" i="26"/>
  <c r="B4" i="21"/>
  <c r="B5" i="31"/>
  <c r="B29" i="31"/>
  <c r="B31" i="33"/>
  <c r="B30" i="31"/>
  <c r="B16" i="29"/>
  <c r="B2" i="28"/>
  <c r="B27" i="33"/>
  <c r="B7" i="29"/>
  <c r="B12" i="32"/>
  <c r="B25" i="32"/>
  <c r="B32" i="30"/>
  <c r="B20" i="31"/>
  <c r="B25" i="28"/>
  <c r="B14" i="33"/>
  <c r="B28" i="26"/>
  <c r="B28" i="25"/>
  <c r="B13" i="24"/>
  <c r="B32" i="27"/>
  <c r="H80" i="1" l="1"/>
  <c r="H608" i="1"/>
  <c r="I608" i="1"/>
  <c r="H595" i="1"/>
  <c r="H592" i="1"/>
  <c r="I592" i="1"/>
  <c r="H537" i="1"/>
  <c r="H536" i="1"/>
  <c r="H535" i="1"/>
  <c r="H534" i="1"/>
  <c r="H533" i="1"/>
  <c r="H532" i="1"/>
  <c r="H279" i="1"/>
  <c r="H270" i="1"/>
  <c r="H266" i="1"/>
  <c r="H261" i="1"/>
  <c r="H248" i="1"/>
  <c r="H238" i="1"/>
  <c r="I294" i="1"/>
  <c r="H302" i="1"/>
  <c r="I301" i="1"/>
  <c r="H24" i="1"/>
  <c r="I4" i="1"/>
  <c r="H154" i="1"/>
  <c r="H509" i="1"/>
  <c r="H503" i="1"/>
  <c r="H104" i="1"/>
  <c r="H77" i="1"/>
  <c r="I77" i="1"/>
  <c r="H334" i="1"/>
  <c r="H350" i="1"/>
  <c r="H347" i="1"/>
  <c r="H348" i="1"/>
  <c r="I344" i="1"/>
  <c r="H282" i="1"/>
  <c r="H278" i="1"/>
  <c r="H274" i="1"/>
  <c r="H273" i="1"/>
  <c r="I262" i="1"/>
  <c r="H256" i="1"/>
  <c r="H251" i="1"/>
  <c r="I244" i="1"/>
  <c r="H421" i="1"/>
  <c r="H415" i="1"/>
  <c r="H413" i="1"/>
  <c r="H241" i="1"/>
  <c r="I293" i="1"/>
  <c r="H287" i="1"/>
  <c r="H427" i="1"/>
  <c r="H426" i="1"/>
  <c r="H405" i="1"/>
  <c r="H403" i="1"/>
  <c r="H402" i="1"/>
  <c r="H395" i="1"/>
  <c r="H390" i="1"/>
  <c r="H389" i="1"/>
  <c r="H386" i="1"/>
  <c r="H381" i="1"/>
  <c r="H378" i="1"/>
  <c r="H377" i="1"/>
  <c r="H371" i="1"/>
  <c r="H362" i="1"/>
  <c r="H363" i="1"/>
  <c r="H356" i="1"/>
  <c r="H237" i="1"/>
  <c r="H330" i="1"/>
  <c r="H329" i="1"/>
  <c r="H328" i="1"/>
  <c r="H325" i="1"/>
  <c r="H324" i="1"/>
  <c r="H321" i="1"/>
  <c r="H320" i="1"/>
  <c r="H319" i="1"/>
  <c r="H316" i="1"/>
  <c r="H315" i="1"/>
  <c r="H312" i="1"/>
  <c r="H307" i="1"/>
  <c r="H224" i="1"/>
  <c r="H218" i="1"/>
  <c r="H204" i="1"/>
  <c r="H205" i="1"/>
  <c r="H451" i="1"/>
  <c r="H447" i="1"/>
  <c r="H444" i="1"/>
  <c r="H443" i="1"/>
  <c r="H442" i="1"/>
  <c r="H438" i="1"/>
  <c r="H437" i="1"/>
  <c r="H435" i="1"/>
  <c r="H434" i="1"/>
  <c r="I490" i="1"/>
  <c r="H491" i="1"/>
  <c r="H489" i="1"/>
  <c r="I486" i="1"/>
  <c r="H484" i="1"/>
  <c r="H483" i="1"/>
  <c r="H479" i="1"/>
  <c r="H480" i="1"/>
  <c r="H477" i="1"/>
  <c r="H471" i="1"/>
  <c r="H457" i="1"/>
  <c r="I470" i="1"/>
  <c r="H467" i="1"/>
  <c r="I466" i="1"/>
  <c r="H464" i="1"/>
  <c r="H463" i="1"/>
  <c r="H17" i="1"/>
  <c r="H158" i="1"/>
  <c r="H166" i="1"/>
  <c r="H61" i="1"/>
  <c r="H134" i="1"/>
  <c r="H141" i="1"/>
  <c r="I518" i="1"/>
  <c r="H517" i="1"/>
  <c r="H516" i="1"/>
  <c r="H515" i="1"/>
  <c r="H508" i="1"/>
  <c r="H505" i="1"/>
  <c r="H499" i="1"/>
  <c r="H126" i="1"/>
  <c r="H123" i="1"/>
  <c r="H43" i="1"/>
  <c r="H68" i="1"/>
  <c r="H118" i="1"/>
  <c r="H55" i="1"/>
  <c r="H84" i="1"/>
  <c r="H101" i="1"/>
  <c r="H36" i="1"/>
  <c r="H56" i="1"/>
  <c r="I530" i="1"/>
  <c r="D28" i="29"/>
  <c r="D27" i="29"/>
  <c r="D26" i="29"/>
  <c r="D25" i="29"/>
  <c r="I142" i="1"/>
  <c r="H528" i="1"/>
  <c r="H401" i="1"/>
  <c r="H310" i="1"/>
  <c r="H337" i="1"/>
  <c r="H342" i="1"/>
  <c r="H399" i="1"/>
  <c r="H222" i="1"/>
  <c r="H31" i="1"/>
  <c r="H335" i="1"/>
  <c r="H280" i="1"/>
  <c r="H265" i="1"/>
  <c r="H257" i="1"/>
  <c r="H423" i="1"/>
  <c r="I407" i="1"/>
  <c r="H296" i="1"/>
  <c r="H289" i="1"/>
  <c r="H397" i="1"/>
  <c r="H373" i="1"/>
  <c r="H233" i="1"/>
  <c r="H303" i="1"/>
  <c r="H200" i="1"/>
  <c r="H452" i="1"/>
  <c r="H446" i="1"/>
  <c r="H492" i="1"/>
  <c r="I482" i="1"/>
  <c r="H459" i="1"/>
  <c r="H10" i="1"/>
  <c r="H16" i="1"/>
  <c r="H190" i="1"/>
  <c r="H133" i="1"/>
  <c r="I522" i="1"/>
  <c r="H511" i="1"/>
  <c r="H53" i="1"/>
  <c r="H63" i="1"/>
  <c r="H111" i="1"/>
  <c r="H527" i="1"/>
  <c r="H433" i="1"/>
  <c r="I478" i="1"/>
  <c r="I285" i="1"/>
  <c r="H367" i="1"/>
  <c r="H359" i="1"/>
  <c r="H212" i="1"/>
  <c r="I494" i="1"/>
  <c r="H487" i="1"/>
  <c r="H283" i="1"/>
  <c r="H260" i="1"/>
  <c r="H247" i="1"/>
  <c r="H422" i="1"/>
  <c r="I414" i="1"/>
  <c r="H406" i="1"/>
  <c r="H288" i="1"/>
  <c r="H425" i="1"/>
  <c r="H379" i="1"/>
  <c r="H364" i="1"/>
  <c r="H229" i="1"/>
  <c r="H314" i="1"/>
  <c r="H306" i="1"/>
  <c r="H228" i="1"/>
  <c r="H217" i="1"/>
  <c r="H210" i="1"/>
  <c r="H485" i="1"/>
  <c r="I458" i="1"/>
  <c r="H2" i="1"/>
  <c r="H192" i="1"/>
  <c r="I506" i="1"/>
  <c r="H48" i="1"/>
  <c r="I526" i="1"/>
  <c r="H21" i="1"/>
  <c r="H69" i="1"/>
  <c r="H346" i="1"/>
  <c r="H252" i="1"/>
  <c r="H243" i="1"/>
  <c r="H393" i="1"/>
  <c r="H385" i="1"/>
  <c r="H370" i="1"/>
  <c r="I308" i="1"/>
  <c r="H305" i="1"/>
  <c r="H453" i="1"/>
  <c r="H472" i="1"/>
  <c r="H460" i="1"/>
  <c r="H8" i="1"/>
  <c r="I11" i="1"/>
  <c r="H161" i="1"/>
  <c r="H173" i="1"/>
  <c r="H497" i="1"/>
  <c r="H512" i="1"/>
  <c r="I71" i="1"/>
  <c r="H82" i="1"/>
  <c r="H89" i="1"/>
  <c r="H96" i="1"/>
  <c r="H41" i="1"/>
  <c r="H153" i="1"/>
  <c r="H531" i="1"/>
  <c r="H35" i="1"/>
  <c r="H521" i="1"/>
  <c r="H504" i="1"/>
  <c r="H124" i="1"/>
  <c r="I72" i="1"/>
  <c r="H419" i="1"/>
  <c r="H441" i="1"/>
  <c r="H461" i="1"/>
  <c r="H496" i="1"/>
  <c r="H94" i="1"/>
  <c r="H49" i="1"/>
  <c r="H311" i="1"/>
  <c r="I213" i="1"/>
  <c r="I206" i="1"/>
  <c r="H449" i="1"/>
  <c r="I445" i="1"/>
  <c r="I439" i="1"/>
  <c r="H431" i="1"/>
  <c r="H493" i="1"/>
  <c r="H481" i="1"/>
  <c r="H468" i="1"/>
  <c r="H475" i="1"/>
  <c r="H465" i="1"/>
  <c r="H23" i="1"/>
  <c r="H198" i="1"/>
  <c r="H186" i="1"/>
  <c r="H180" i="1"/>
  <c r="H160" i="1"/>
  <c r="H168" i="1"/>
  <c r="H136" i="1"/>
  <c r="H128" i="1"/>
  <c r="H60" i="1"/>
  <c r="H519" i="1"/>
  <c r="H507" i="1"/>
  <c r="H501" i="1"/>
  <c r="I119" i="1"/>
  <c r="H102" i="1"/>
  <c r="H146" i="1"/>
  <c r="H529" i="1"/>
  <c r="H72" i="1"/>
  <c r="I540" i="1"/>
  <c r="I536" i="1"/>
  <c r="I80" i="1"/>
  <c r="I539" i="1"/>
  <c r="I535" i="1"/>
  <c r="I538" i="1"/>
  <c r="I534" i="1"/>
  <c r="I595" i="1"/>
  <c r="I537" i="1"/>
  <c r="I276" i="1"/>
  <c r="H276" i="1"/>
  <c r="H411" i="1"/>
  <c r="I411" i="1"/>
  <c r="H239" i="1"/>
  <c r="I239" i="1"/>
  <c r="H297" i="1"/>
  <c r="I297" i="1"/>
  <c r="H429" i="1"/>
  <c r="I429" i="1"/>
  <c r="H400" i="1"/>
  <c r="I400" i="1"/>
  <c r="H392" i="1"/>
  <c r="I392" i="1"/>
  <c r="H383" i="1"/>
  <c r="I383" i="1"/>
  <c r="H376" i="1"/>
  <c r="I376" i="1"/>
  <c r="H369" i="1"/>
  <c r="I369" i="1"/>
  <c r="H360" i="1"/>
  <c r="I360" i="1"/>
  <c r="H232" i="1"/>
  <c r="I232" i="1"/>
  <c r="H332" i="1"/>
  <c r="I332" i="1"/>
  <c r="H322" i="1"/>
  <c r="I322" i="1"/>
  <c r="I317" i="1"/>
  <c r="H317" i="1"/>
  <c r="H309" i="1"/>
  <c r="I309" i="1"/>
  <c r="H304" i="1"/>
  <c r="I304" i="1"/>
  <c r="H220" i="1"/>
  <c r="I220" i="1"/>
  <c r="H216" i="1"/>
  <c r="I216" i="1"/>
  <c r="H211" i="1"/>
  <c r="I211" i="1"/>
  <c r="H197" i="1"/>
  <c r="I197" i="1"/>
  <c r="H450" i="1"/>
  <c r="I450" i="1"/>
  <c r="H440" i="1"/>
  <c r="I440" i="1"/>
  <c r="H432" i="1"/>
  <c r="I432" i="1"/>
  <c r="H42" i="1"/>
  <c r="I42" i="1"/>
  <c r="H488" i="1"/>
  <c r="I488" i="1"/>
  <c r="H473" i="1"/>
  <c r="I473" i="1"/>
  <c r="H476" i="1"/>
  <c r="I476" i="1"/>
  <c r="H469" i="1"/>
  <c r="I469" i="1"/>
  <c r="H456" i="1"/>
  <c r="I456" i="1"/>
  <c r="H28" i="1"/>
  <c r="I28" i="1"/>
  <c r="H70" i="1"/>
  <c r="I70" i="1"/>
  <c r="H20" i="1"/>
  <c r="I20" i="1"/>
  <c r="H25" i="1"/>
  <c r="I25" i="1"/>
  <c r="H140" i="1"/>
  <c r="I140" i="1"/>
  <c r="H167" i="1"/>
  <c r="I167" i="1"/>
  <c r="H193" i="1"/>
  <c r="I193" i="1"/>
  <c r="I181" i="1"/>
  <c r="H181" i="1"/>
  <c r="H169" i="1"/>
  <c r="I169" i="1"/>
  <c r="H148" i="1"/>
  <c r="I148" i="1"/>
  <c r="H156" i="1"/>
  <c r="I156" i="1"/>
  <c r="H26" i="1"/>
  <c r="I26" i="1"/>
  <c r="H137" i="1"/>
  <c r="I137" i="1"/>
  <c r="H129" i="1"/>
  <c r="I129" i="1"/>
  <c r="I37" i="1"/>
  <c r="H37" i="1"/>
  <c r="H520" i="1"/>
  <c r="I520" i="1"/>
  <c r="I510" i="1"/>
  <c r="H510" i="1"/>
  <c r="I502" i="1"/>
  <c r="H502" i="1"/>
  <c r="H127" i="1"/>
  <c r="I127" i="1"/>
  <c r="H74" i="1"/>
  <c r="I74" i="1"/>
  <c r="H116" i="1"/>
  <c r="I116" i="1"/>
  <c r="H121" i="1"/>
  <c r="I121" i="1"/>
  <c r="H109" i="1"/>
  <c r="I109" i="1"/>
  <c r="I112" i="1"/>
  <c r="H112" i="1"/>
  <c r="H54" i="1"/>
  <c r="I54" i="1"/>
  <c r="H338" i="1"/>
  <c r="I338" i="1"/>
  <c r="H271" i="1"/>
  <c r="I271" i="1"/>
  <c r="H417" i="1"/>
  <c r="I417" i="1"/>
  <c r="H428" i="1"/>
  <c r="I428" i="1"/>
  <c r="I382" i="1"/>
  <c r="H382" i="1"/>
  <c r="H318" i="1"/>
  <c r="I318" i="1"/>
  <c r="H345" i="1"/>
  <c r="I345" i="1"/>
  <c r="I253" i="1"/>
  <c r="H253" i="1"/>
  <c r="H336" i="1"/>
  <c r="I336" i="1"/>
  <c r="H352" i="1"/>
  <c r="I352" i="1"/>
  <c r="H275" i="1"/>
  <c r="I275" i="1"/>
  <c r="H250" i="1"/>
  <c r="I250" i="1"/>
  <c r="I242" i="1"/>
  <c r="H242" i="1"/>
  <c r="H410" i="1"/>
  <c r="I410" i="1"/>
  <c r="H240" i="1"/>
  <c r="I240" i="1"/>
  <c r="H292" i="1"/>
  <c r="I292" i="1"/>
  <c r="H394" i="1"/>
  <c r="I394" i="1"/>
  <c r="H391" i="1"/>
  <c r="I391" i="1"/>
  <c r="H374" i="1"/>
  <c r="I374" i="1"/>
  <c r="H368" i="1"/>
  <c r="I368" i="1"/>
  <c r="H358" i="1"/>
  <c r="I358" i="1"/>
  <c r="I234" i="1"/>
  <c r="H234" i="1"/>
  <c r="H333" i="1"/>
  <c r="I333" i="1"/>
  <c r="I326" i="1"/>
  <c r="H326" i="1"/>
  <c r="H269" i="1"/>
  <c r="I269" i="1"/>
  <c r="H255" i="1"/>
  <c r="I255" i="1"/>
  <c r="H286" i="1"/>
  <c r="I286" i="1"/>
  <c r="H353" i="1"/>
  <c r="I353" i="1"/>
  <c r="H246" i="1"/>
  <c r="I246" i="1"/>
  <c r="H343" i="1"/>
  <c r="I343" i="1"/>
  <c r="H281" i="1"/>
  <c r="I281" i="1"/>
  <c r="H418" i="1"/>
  <c r="I418" i="1"/>
  <c r="H264" i="1"/>
  <c r="I264" i="1"/>
  <c r="H223" i="1"/>
  <c r="I223" i="1"/>
  <c r="H9" i="1"/>
  <c r="I9" i="1"/>
  <c r="H100" i="1"/>
  <c r="I100" i="1"/>
  <c r="H408" i="1"/>
  <c r="I408" i="1"/>
  <c r="H372" i="1"/>
  <c r="I372" i="1"/>
  <c r="H201" i="1"/>
  <c r="I201" i="1"/>
  <c r="H203" i="1"/>
  <c r="I203" i="1"/>
  <c r="H323" i="1"/>
  <c r="I323" i="1"/>
  <c r="H52" i="1"/>
  <c r="I52" i="1"/>
  <c r="H259" i="1"/>
  <c r="I259" i="1"/>
  <c r="H254" i="1"/>
  <c r="I254" i="1"/>
  <c r="H245" i="1"/>
  <c r="I245" i="1"/>
  <c r="H412" i="1"/>
  <c r="I412" i="1"/>
  <c r="H384" i="1"/>
  <c r="I384" i="1"/>
  <c r="H76" i="1"/>
  <c r="I76" i="1"/>
  <c r="H361" i="1"/>
  <c r="I361" i="1"/>
  <c r="H236" i="1"/>
  <c r="I236" i="1"/>
  <c r="H227" i="1"/>
  <c r="I227" i="1"/>
  <c r="H221" i="1"/>
  <c r="I221" i="1"/>
  <c r="H202" i="1"/>
  <c r="I202" i="1"/>
  <c r="H19" i="1"/>
  <c r="I19" i="1"/>
  <c r="H7" i="1"/>
  <c r="I7" i="1"/>
  <c r="H15" i="1"/>
  <c r="I15" i="1"/>
  <c r="H33" i="1"/>
  <c r="I33" i="1"/>
  <c r="H5" i="1"/>
  <c r="I5" i="1"/>
  <c r="H170" i="1"/>
  <c r="I170" i="1"/>
  <c r="H182" i="1"/>
  <c r="I182" i="1"/>
  <c r="H183" i="1"/>
  <c r="I183" i="1"/>
  <c r="H171" i="1"/>
  <c r="I171" i="1"/>
  <c r="H138" i="1"/>
  <c r="I138" i="1"/>
  <c r="H99" i="1"/>
  <c r="I99" i="1"/>
  <c r="H93" i="1"/>
  <c r="I93" i="1"/>
  <c r="H530" i="1"/>
  <c r="H526" i="1"/>
  <c r="H522" i="1"/>
  <c r="H518" i="1"/>
  <c r="H514" i="1"/>
  <c r="H506" i="1"/>
  <c r="H498" i="1"/>
  <c r="H494" i="1"/>
  <c r="H490" i="1"/>
  <c r="H486" i="1"/>
  <c r="H482" i="1"/>
  <c r="H478" i="1"/>
  <c r="H474" i="1"/>
  <c r="H470" i="1"/>
  <c r="H466" i="1"/>
  <c r="H462" i="1"/>
  <c r="H458" i="1"/>
  <c r="H454" i="1"/>
  <c r="I449" i="1"/>
  <c r="H445" i="1"/>
  <c r="H439" i="1"/>
  <c r="I433" i="1"/>
  <c r="I426" i="1"/>
  <c r="I419" i="1"/>
  <c r="H414" i="1"/>
  <c r="H407" i="1"/>
  <c r="I401" i="1"/>
  <c r="I387" i="1"/>
  <c r="H375" i="1"/>
  <c r="I363" i="1"/>
  <c r="I356" i="1"/>
  <c r="H351" i="1"/>
  <c r="H344" i="1"/>
  <c r="I337" i="1"/>
  <c r="I329" i="1"/>
  <c r="I321" i="1"/>
  <c r="I315" i="1"/>
  <c r="I307" i="1"/>
  <c r="H301" i="1"/>
  <c r="H293" i="1"/>
  <c r="H285" i="1"/>
  <c r="I278" i="1"/>
  <c r="I270" i="1"/>
  <c r="I256" i="1"/>
  <c r="I248" i="1"/>
  <c r="I224" i="1"/>
  <c r="H213" i="1"/>
  <c r="I200" i="1"/>
  <c r="I186" i="1"/>
  <c r="H174" i="1"/>
  <c r="I161" i="1"/>
  <c r="H149" i="1"/>
  <c r="I136" i="1"/>
  <c r="I124" i="1"/>
  <c r="I97" i="1"/>
  <c r="H85" i="1"/>
  <c r="I63" i="1"/>
  <c r="I49" i="1"/>
  <c r="I24" i="1"/>
  <c r="H11" i="1"/>
  <c r="H151" i="1"/>
  <c r="I151" i="1"/>
  <c r="I533" i="1"/>
  <c r="I529" i="1"/>
  <c r="I525" i="1"/>
  <c r="I521" i="1"/>
  <c r="I517" i="1"/>
  <c r="I513" i="1"/>
  <c r="I509" i="1"/>
  <c r="I505" i="1"/>
  <c r="I501" i="1"/>
  <c r="I497" i="1"/>
  <c r="I493" i="1"/>
  <c r="I489" i="1"/>
  <c r="I485" i="1"/>
  <c r="I481" i="1"/>
  <c r="I477" i="1"/>
  <c r="I465" i="1"/>
  <c r="I461" i="1"/>
  <c r="I457" i="1"/>
  <c r="I453" i="1"/>
  <c r="I444" i="1"/>
  <c r="I438" i="1"/>
  <c r="I431" i="1"/>
  <c r="I413" i="1"/>
  <c r="I406" i="1"/>
  <c r="I399" i="1"/>
  <c r="I381" i="1"/>
  <c r="I350" i="1"/>
  <c r="I335" i="1"/>
  <c r="I314" i="1"/>
  <c r="I306" i="1"/>
  <c r="I298" i="1"/>
  <c r="I284" i="1"/>
  <c r="H262" i="1"/>
  <c r="I241" i="1"/>
  <c r="I233" i="1"/>
  <c r="I212" i="1"/>
  <c r="I198" i="1"/>
  <c r="I173" i="1"/>
  <c r="I134" i="1"/>
  <c r="I111" i="1"/>
  <c r="I84" i="1"/>
  <c r="I61" i="1"/>
  <c r="I36" i="1"/>
  <c r="I10" i="1"/>
  <c r="H98" i="1"/>
  <c r="I98" i="1"/>
  <c r="H91" i="1"/>
  <c r="I91" i="1"/>
  <c r="H105" i="1"/>
  <c r="I105" i="1"/>
  <c r="H81" i="1"/>
  <c r="I81" i="1"/>
  <c r="H143" i="1"/>
  <c r="I143" i="1"/>
  <c r="I448" i="1"/>
  <c r="I443" i="1"/>
  <c r="I425" i="1"/>
  <c r="I393" i="1"/>
  <c r="I386" i="1"/>
  <c r="I379" i="1"/>
  <c r="I362" i="1"/>
  <c r="I355" i="1"/>
  <c r="I348" i="1"/>
  <c r="I342" i="1"/>
  <c r="I334" i="1"/>
  <c r="I328" i="1"/>
  <c r="I320" i="1"/>
  <c r="I312" i="1"/>
  <c r="I261" i="1"/>
  <c r="I247" i="1"/>
  <c r="I222" i="1"/>
  <c r="I210" i="1"/>
  <c r="I185" i="1"/>
  <c r="I160" i="1"/>
  <c r="I146" i="1"/>
  <c r="I123" i="1"/>
  <c r="I96" i="1"/>
  <c r="I82" i="1"/>
  <c r="I48" i="1"/>
  <c r="I23" i="1"/>
  <c r="I8" i="1"/>
  <c r="I532" i="1"/>
  <c r="I528" i="1"/>
  <c r="I524" i="1"/>
  <c r="I516" i="1"/>
  <c r="I512" i="1"/>
  <c r="I508" i="1"/>
  <c r="I504" i="1"/>
  <c r="I500" i="1"/>
  <c r="I496" i="1"/>
  <c r="I492" i="1"/>
  <c r="I484" i="1"/>
  <c r="I480" i="1"/>
  <c r="I472" i="1"/>
  <c r="I468" i="1"/>
  <c r="I464" i="1"/>
  <c r="I460" i="1"/>
  <c r="I452" i="1"/>
  <c r="I447" i="1"/>
  <c r="I437" i="1"/>
  <c r="I430" i="1"/>
  <c r="I423" i="1"/>
  <c r="I405" i="1"/>
  <c r="I398" i="1"/>
  <c r="I373" i="1"/>
  <c r="I367" i="1"/>
  <c r="I305" i="1"/>
  <c r="I289" i="1"/>
  <c r="I283" i="1"/>
  <c r="I238" i="1"/>
  <c r="I172" i="1"/>
  <c r="I158" i="1"/>
  <c r="I133" i="1"/>
  <c r="I110" i="1"/>
  <c r="I94" i="1"/>
  <c r="I60" i="1"/>
  <c r="I35" i="1"/>
  <c r="I21" i="1"/>
  <c r="H108" i="1"/>
  <c r="I108" i="1"/>
  <c r="H83" i="1"/>
  <c r="I83" i="1"/>
  <c r="H78" i="1"/>
  <c r="I78" i="1"/>
  <c r="I451" i="1"/>
  <c r="I442" i="1"/>
  <c r="I435" i="1"/>
  <c r="I403" i="1"/>
  <c r="I385" i="1"/>
  <c r="I378" i="1"/>
  <c r="I371" i="1"/>
  <c r="I354" i="1"/>
  <c r="I347" i="1"/>
  <c r="H340" i="1"/>
  <c r="I325" i="1"/>
  <c r="I319" i="1"/>
  <c r="I311" i="1"/>
  <c r="I303" i="1"/>
  <c r="I282" i="1"/>
  <c r="I274" i="1"/>
  <c r="I266" i="1"/>
  <c r="I260" i="1"/>
  <c r="I252" i="1"/>
  <c r="I229" i="1"/>
  <c r="I218" i="1"/>
  <c r="H206" i="1"/>
  <c r="I168" i="1"/>
  <c r="I154" i="1"/>
  <c r="H142" i="1"/>
  <c r="H119" i="1"/>
  <c r="I104" i="1"/>
  <c r="I90" i="1"/>
  <c r="H71" i="1"/>
  <c r="I56" i="1"/>
  <c r="H44" i="1"/>
  <c r="I31" i="1"/>
  <c r="I17" i="1"/>
  <c r="H4" i="1"/>
  <c r="H300" i="1"/>
  <c r="I300" i="1"/>
  <c r="H164" i="1"/>
  <c r="I164" i="1"/>
  <c r="H34" i="1"/>
  <c r="I34" i="1"/>
  <c r="H122" i="1"/>
  <c r="I122" i="1"/>
  <c r="H267" i="1"/>
  <c r="I267" i="1"/>
  <c r="H230" i="1"/>
  <c r="I230" i="1"/>
  <c r="H13" i="1"/>
  <c r="I13" i="1"/>
  <c r="H188" i="1"/>
  <c r="I188" i="1"/>
  <c r="H179" i="1"/>
  <c r="I179" i="1"/>
  <c r="H162" i="1"/>
  <c r="I162" i="1"/>
  <c r="H62" i="1"/>
  <c r="I62" i="1"/>
  <c r="H131" i="1"/>
  <c r="I131" i="1"/>
  <c r="H38" i="1"/>
  <c r="I38" i="1"/>
  <c r="H272" i="1"/>
  <c r="I272" i="1"/>
  <c r="H365" i="1"/>
  <c r="I365" i="1"/>
  <c r="H46" i="1"/>
  <c r="I46" i="1"/>
  <c r="H208" i="1"/>
  <c r="I208" i="1"/>
  <c r="H130" i="1"/>
  <c r="I130" i="1"/>
  <c r="H75" i="1"/>
  <c r="I75" i="1"/>
  <c r="H120" i="1"/>
  <c r="I120" i="1"/>
  <c r="H277" i="1"/>
  <c r="I277" i="1"/>
  <c r="H268" i="1"/>
  <c r="I268" i="1"/>
  <c r="H263" i="1"/>
  <c r="I263" i="1"/>
  <c r="H295" i="1"/>
  <c r="I295" i="1"/>
  <c r="H404" i="1"/>
  <c r="I404" i="1"/>
  <c r="H396" i="1"/>
  <c r="I396" i="1"/>
  <c r="H388" i="1"/>
  <c r="I388" i="1"/>
  <c r="H207" i="1"/>
  <c r="I207" i="1"/>
  <c r="H436" i="1"/>
  <c r="I436" i="1"/>
  <c r="H14" i="1"/>
  <c r="I14" i="1"/>
  <c r="H195" i="1"/>
  <c r="I195" i="1"/>
  <c r="H176" i="1"/>
  <c r="I176" i="1"/>
  <c r="H51" i="1"/>
  <c r="I51" i="1"/>
  <c r="H157" i="1"/>
  <c r="I157" i="1"/>
  <c r="H132" i="1"/>
  <c r="I132" i="1"/>
  <c r="H135" i="1"/>
  <c r="I135" i="1"/>
  <c r="H40" i="1"/>
  <c r="I40" i="1"/>
  <c r="H30" i="1"/>
  <c r="I30" i="1"/>
  <c r="H114" i="1"/>
  <c r="I114" i="1"/>
  <c r="H117" i="1"/>
  <c r="I117" i="1"/>
  <c r="H88" i="1"/>
  <c r="I88" i="1"/>
  <c r="I531" i="1"/>
  <c r="I527" i="1"/>
  <c r="I523" i="1"/>
  <c r="I519" i="1"/>
  <c r="I515" i="1"/>
  <c r="I511" i="1"/>
  <c r="I507" i="1"/>
  <c r="I503" i="1"/>
  <c r="I499" i="1"/>
  <c r="I495" i="1"/>
  <c r="I491" i="1"/>
  <c r="I487" i="1"/>
  <c r="I483" i="1"/>
  <c r="I479" i="1"/>
  <c r="I475" i="1"/>
  <c r="I471" i="1"/>
  <c r="I467" i="1"/>
  <c r="I463" i="1"/>
  <c r="I459" i="1"/>
  <c r="I455" i="1"/>
  <c r="I446" i="1"/>
  <c r="I422" i="1"/>
  <c r="I415" i="1"/>
  <c r="I397" i="1"/>
  <c r="I390" i="1"/>
  <c r="I366" i="1"/>
  <c r="I359" i="1"/>
  <c r="I339" i="1"/>
  <c r="I310" i="1"/>
  <c r="I302" i="1"/>
  <c r="I296" i="1"/>
  <c r="I288" i="1"/>
  <c r="I280" i="1"/>
  <c r="H244" i="1"/>
  <c r="I237" i="1"/>
  <c r="I205" i="1"/>
  <c r="I180" i="1"/>
  <c r="I166" i="1"/>
  <c r="I141" i="1"/>
  <c r="I118" i="1"/>
  <c r="I102" i="1"/>
  <c r="I69" i="1"/>
  <c r="I43" i="1"/>
  <c r="I29" i="1"/>
  <c r="I3" i="1"/>
  <c r="H65" i="1"/>
  <c r="I65" i="1"/>
  <c r="H258" i="1"/>
  <c r="I258" i="1"/>
  <c r="H416" i="1"/>
  <c r="I416" i="1"/>
  <c r="H107" i="1"/>
  <c r="I107" i="1"/>
  <c r="H184" i="1"/>
  <c r="I184" i="1"/>
  <c r="H27" i="1"/>
  <c r="I27" i="1"/>
  <c r="H113" i="1"/>
  <c r="I113" i="1"/>
  <c r="H47" i="1"/>
  <c r="I47" i="1"/>
  <c r="H196" i="1"/>
  <c r="I196" i="1"/>
  <c r="H177" i="1"/>
  <c r="I177" i="1"/>
  <c r="H147" i="1"/>
  <c r="I147" i="1"/>
  <c r="H87" i="1"/>
  <c r="I87" i="1"/>
  <c r="H291" i="1"/>
  <c r="I291" i="1"/>
  <c r="H424" i="1"/>
  <c r="I424" i="1"/>
  <c r="H235" i="1"/>
  <c r="I235" i="1"/>
  <c r="H231" i="1"/>
  <c r="I231" i="1"/>
  <c r="H313" i="1"/>
  <c r="I313" i="1"/>
  <c r="H219" i="1"/>
  <c r="I219" i="1"/>
  <c r="H214" i="1"/>
  <c r="I214" i="1"/>
  <c r="H6" i="1"/>
  <c r="I6" i="1"/>
  <c r="H64" i="1"/>
  <c r="I64" i="1"/>
  <c r="H57" i="1"/>
  <c r="I57" i="1"/>
  <c r="H194" i="1"/>
  <c r="I194" i="1"/>
  <c r="H191" i="1"/>
  <c r="I191" i="1"/>
  <c r="H163" i="1"/>
  <c r="I163" i="1"/>
  <c r="H95" i="1"/>
  <c r="I95" i="1"/>
  <c r="H150" i="1"/>
  <c r="I150" i="1"/>
  <c r="H66" i="1"/>
  <c r="I66" i="1"/>
  <c r="H155" i="1"/>
  <c r="I155" i="1"/>
  <c r="H125" i="1"/>
  <c r="I125" i="1"/>
  <c r="H58" i="1"/>
  <c r="I58" i="1"/>
  <c r="H67" i="1"/>
  <c r="I67" i="1"/>
  <c r="H45" i="1"/>
  <c r="I45" i="1"/>
  <c r="H79" i="1"/>
  <c r="I79" i="1"/>
  <c r="I441" i="1"/>
  <c r="I434" i="1"/>
  <c r="I427" i="1"/>
  <c r="I409" i="1"/>
  <c r="I402" i="1"/>
  <c r="I395" i="1"/>
  <c r="I377" i="1"/>
  <c r="I370" i="1"/>
  <c r="I364" i="1"/>
  <c r="I346" i="1"/>
  <c r="I330" i="1"/>
  <c r="I324" i="1"/>
  <c r="I316" i="1"/>
  <c r="H294" i="1"/>
  <c r="I273" i="1"/>
  <c r="I265" i="1"/>
  <c r="I257" i="1"/>
  <c r="I251" i="1"/>
  <c r="I243" i="1"/>
  <c r="I228" i="1"/>
  <c r="I217" i="1"/>
  <c r="I192" i="1"/>
  <c r="I178" i="1"/>
  <c r="I153" i="1"/>
  <c r="I128" i="1"/>
  <c r="I89" i="1"/>
  <c r="I55" i="1"/>
  <c r="I41" i="1"/>
  <c r="I16" i="1"/>
  <c r="H18" i="1"/>
  <c r="I18" i="1"/>
  <c r="H139" i="1"/>
  <c r="I139" i="1"/>
  <c r="H290" i="1"/>
  <c r="I290" i="1"/>
  <c r="H299" i="1"/>
  <c r="I299" i="1"/>
  <c r="H144" i="1"/>
  <c r="I144" i="1"/>
  <c r="H92" i="1"/>
  <c r="I92" i="1"/>
  <c r="H115" i="1"/>
  <c r="I115" i="1"/>
  <c r="H103" i="1"/>
  <c r="I103" i="1"/>
  <c r="H145" i="1"/>
  <c r="I145" i="1"/>
  <c r="H349" i="1"/>
  <c r="I349" i="1"/>
  <c r="H380" i="1"/>
  <c r="I380" i="1"/>
  <c r="H357" i="1"/>
  <c r="I357" i="1"/>
  <c r="H331" i="1"/>
  <c r="I331" i="1"/>
  <c r="H159" i="1"/>
  <c r="I159" i="1"/>
  <c r="H341" i="1"/>
  <c r="I341" i="1"/>
  <c r="H249" i="1"/>
  <c r="I249" i="1"/>
  <c r="H420" i="1"/>
  <c r="I420" i="1"/>
  <c r="H226" i="1"/>
  <c r="I226" i="1"/>
  <c r="H327" i="1"/>
  <c r="I327" i="1"/>
  <c r="H225" i="1"/>
  <c r="I225" i="1"/>
  <c r="H215" i="1"/>
  <c r="I215" i="1"/>
  <c r="H209" i="1"/>
  <c r="I209" i="1"/>
  <c r="H199" i="1"/>
  <c r="I199" i="1"/>
  <c r="H32" i="1"/>
  <c r="I32" i="1"/>
  <c r="H12" i="1"/>
  <c r="I12" i="1"/>
  <c r="I106" i="1"/>
  <c r="H106" i="1"/>
  <c r="H175" i="1"/>
  <c r="I175" i="1"/>
  <c r="H187" i="1"/>
  <c r="I187" i="1"/>
  <c r="H189" i="1"/>
  <c r="I189" i="1"/>
  <c r="H39" i="1"/>
  <c r="I39" i="1"/>
  <c r="H152" i="1"/>
  <c r="I152" i="1"/>
  <c r="H50" i="1"/>
  <c r="I50" i="1"/>
  <c r="H59" i="1"/>
  <c r="I59" i="1"/>
  <c r="H86" i="1"/>
  <c r="I86" i="1"/>
  <c r="H22" i="1"/>
  <c r="I22" i="1"/>
  <c r="I421" i="1"/>
  <c r="I389" i="1"/>
  <c r="H308" i="1"/>
  <c r="I287" i="1"/>
  <c r="I279" i="1"/>
  <c r="I204" i="1"/>
  <c r="I190" i="1"/>
  <c r="I165" i="1"/>
  <c r="I126" i="1"/>
  <c r="I101" i="1"/>
  <c r="I68" i="1"/>
  <c r="I53" i="1"/>
  <c r="I2" i="1"/>
  <c r="C1446" i="22"/>
  <c r="E1446" i="22"/>
  <c r="D11" i="26"/>
  <c r="D21" i="27"/>
  <c r="D12" i="30"/>
  <c r="D9" i="28"/>
  <c r="D25" i="33"/>
  <c r="D13" i="27"/>
  <c r="D4" i="21"/>
  <c r="D4" i="26"/>
  <c r="D11" i="25"/>
  <c r="D4" i="32"/>
  <c r="D5" i="25"/>
  <c r="D16" i="28"/>
  <c r="D31" i="28"/>
  <c r="D31" i="25"/>
  <c r="D30" i="30"/>
  <c r="D9" i="26"/>
  <c r="D8" i="30"/>
  <c r="D19" i="28"/>
  <c r="D14" i="32"/>
  <c r="D4" i="29"/>
  <c r="D22" i="31"/>
  <c r="D27" i="25"/>
  <c r="D32" i="27"/>
  <c r="D28" i="30"/>
  <c r="D21" i="32"/>
  <c r="D28" i="31"/>
  <c r="D14" i="27"/>
  <c r="D14" i="21"/>
  <c r="D5" i="32"/>
  <c r="D28" i="26"/>
  <c r="D22" i="32"/>
  <c r="D5" i="21"/>
  <c r="D25" i="24"/>
  <c r="D6" i="27"/>
  <c r="D4" i="33"/>
  <c r="D6" i="24"/>
  <c r="D21" i="24"/>
  <c r="D29" i="31"/>
  <c r="D20" i="25"/>
  <c r="D15" i="25"/>
  <c r="D28" i="24"/>
  <c r="D30" i="25"/>
  <c r="D2" i="24"/>
  <c r="D19" i="24"/>
  <c r="D30" i="21"/>
  <c r="D32" i="30"/>
  <c r="D20" i="28"/>
  <c r="D3" i="24"/>
  <c r="D17" i="24"/>
  <c r="D9" i="25"/>
  <c r="D18" i="32"/>
  <c r="D12" i="25"/>
  <c r="D18" i="33"/>
  <c r="D7" i="29"/>
  <c r="D31" i="31"/>
  <c r="D29" i="33"/>
  <c r="D24" i="33"/>
  <c r="D11" i="28"/>
  <c r="D16" i="25"/>
  <c r="D19" i="25"/>
  <c r="D23" i="27"/>
  <c r="D16" i="29"/>
  <c r="D15" i="32"/>
  <c r="D9" i="24"/>
  <c r="D28" i="27"/>
  <c r="D9" i="32"/>
  <c r="D9" i="29"/>
  <c r="D30" i="33"/>
  <c r="D8" i="27"/>
  <c r="D30" i="26"/>
  <c r="D17" i="32"/>
  <c r="D21" i="28"/>
  <c r="D3" i="30"/>
  <c r="D31" i="32"/>
  <c r="D8" i="24"/>
  <c r="D31" i="26"/>
  <c r="D11" i="24"/>
  <c r="D17" i="28"/>
  <c r="D15" i="27"/>
  <c r="D29" i="24"/>
  <c r="D29" i="21"/>
  <c r="D12" i="28"/>
  <c r="D19" i="33"/>
  <c r="D28" i="33"/>
  <c r="D13" i="24"/>
  <c r="D18" i="25"/>
  <c r="D19" i="21"/>
  <c r="D15" i="30"/>
  <c r="D9" i="30"/>
  <c r="D17" i="25"/>
  <c r="D16" i="27"/>
  <c r="D14" i="26"/>
  <c r="D14" i="33"/>
  <c r="D15" i="24"/>
  <c r="D13" i="33"/>
  <c r="D11" i="30"/>
  <c r="D22" i="27"/>
  <c r="D29" i="28"/>
  <c r="D7" i="26"/>
  <c r="D23" i="32"/>
  <c r="D20" i="31"/>
  <c r="D7" i="30"/>
  <c r="D24" i="27"/>
  <c r="D22" i="24"/>
  <c r="D10" i="28"/>
  <c r="D18" i="21"/>
  <c r="D14" i="31"/>
  <c r="D3" i="21"/>
  <c r="D25" i="32"/>
  <c r="D16" i="33"/>
  <c r="D26" i="21"/>
  <c r="D24" i="29"/>
  <c r="D5" i="26"/>
  <c r="D4" i="28"/>
  <c r="D22" i="21"/>
  <c r="D17" i="26"/>
  <c r="D27" i="33"/>
  <c r="D32" i="25"/>
  <c r="D11" i="32"/>
  <c r="D12" i="21"/>
  <c r="D2" i="21"/>
  <c r="D22" i="33"/>
  <c r="D20" i="33"/>
  <c r="D20" i="32"/>
  <c r="D30" i="31"/>
  <c r="D13" i="31"/>
  <c r="D17" i="27"/>
  <c r="D8" i="25"/>
  <c r="D27" i="24"/>
  <c r="D14" i="30"/>
  <c r="D8" i="26"/>
  <c r="D14" i="24"/>
  <c r="D18" i="28"/>
  <c r="D25" i="25"/>
  <c r="D21" i="30"/>
  <c r="D6" i="33"/>
  <c r="D32" i="21"/>
  <c r="D19" i="31"/>
  <c r="D23" i="33"/>
  <c r="D19" i="30"/>
  <c r="D23" i="24"/>
  <c r="D10" i="24"/>
  <c r="D10" i="29"/>
  <c r="D26" i="33"/>
  <c r="D7" i="33"/>
  <c r="D6" i="31"/>
  <c r="D7" i="24"/>
  <c r="D21" i="31"/>
  <c r="D28" i="25"/>
  <c r="D10" i="25"/>
  <c r="D4" i="31"/>
  <c r="D11" i="29"/>
  <c r="D10" i="21"/>
  <c r="D18" i="30"/>
  <c r="D23" i="28"/>
  <c r="D2" i="33"/>
  <c r="D25" i="28"/>
  <c r="D22" i="28"/>
  <c r="D10" i="32"/>
  <c r="D15" i="26"/>
  <c r="D7" i="31"/>
  <c r="D18" i="26"/>
  <c r="D4" i="30"/>
  <c r="D29" i="25"/>
  <c r="D5" i="31"/>
  <c r="D20" i="21"/>
  <c r="D30" i="32"/>
  <c r="D25" i="31"/>
  <c r="D4" i="24"/>
  <c r="D4" i="25"/>
  <c r="D19" i="32"/>
  <c r="D3" i="33"/>
  <c r="D12" i="32"/>
  <c r="D14" i="25"/>
  <c r="D6" i="32"/>
  <c r="D13" i="32"/>
  <c r="D13" i="26"/>
  <c r="D8" i="33"/>
  <c r="D17" i="30"/>
  <c r="D16" i="30"/>
  <c r="D2" i="28"/>
  <c r="D25" i="21"/>
  <c r="D24" i="28"/>
  <c r="D32" i="32"/>
  <c r="D26" i="25"/>
  <c r="D12" i="26"/>
  <c r="D30" i="28"/>
  <c r="D2" i="32"/>
  <c r="D31" i="33"/>
  <c r="D27" i="27"/>
  <c r="D21" i="21"/>
  <c r="D2" i="25"/>
  <c r="D26" i="27"/>
  <c r="D12" i="24"/>
  <c r="D15" i="29"/>
  <c r="D3" i="26"/>
  <c r="D31" i="21"/>
  <c r="D10" i="30"/>
  <c r="D16" i="32"/>
  <c r="D9" i="21"/>
  <c r="D28" i="32"/>
  <c r="D8" i="32"/>
  <c r="M17" i="29"/>
  <c r="H18" i="29"/>
  <c r="M18" i="29" s="1"/>
  <c r="H19" i="29" l="1"/>
  <c r="D33" i="25"/>
  <c r="H20" i="29"/>
  <c r="M19" i="29"/>
  <c r="D33" i="33"/>
  <c r="D30" i="24" a="1"/>
  <c r="D30" i="24" s="1"/>
  <c r="D33" i="32"/>
  <c r="D33" i="27"/>
  <c r="D33" i="21"/>
  <c r="H2" i="21"/>
  <c r="M2" i="21" s="1"/>
  <c r="D32" i="26"/>
  <c r="D33" i="28"/>
  <c r="H3" i="21" l="1"/>
  <c r="H21" i="29"/>
  <c r="M20" i="29"/>
  <c r="M21" i="29" l="1"/>
  <c r="H22" i="29"/>
  <c r="M3" i="21"/>
  <c r="H4" i="21"/>
  <c r="M4" i="21" l="1"/>
  <c r="H5" i="21"/>
  <c r="H23" i="29"/>
  <c r="M22" i="29"/>
  <c r="M23" i="29" l="1"/>
  <c r="H24" i="29"/>
  <c r="H25" i="29" s="1"/>
  <c r="H6" i="21"/>
  <c r="M5" i="21"/>
  <c r="H7" i="21" l="1"/>
  <c r="M6" i="21"/>
  <c r="M24" i="29"/>
  <c r="H26" i="29" l="1"/>
  <c r="M25" i="29"/>
  <c r="H8" i="21"/>
  <c r="M7" i="21"/>
  <c r="M8" i="21" l="1"/>
  <c r="H9" i="21"/>
  <c r="H27" i="29"/>
  <c r="M26" i="29"/>
  <c r="H28" i="29" l="1"/>
  <c r="H29" i="29" s="1"/>
  <c r="M27" i="29"/>
  <c r="M9" i="21"/>
  <c r="H10" i="21"/>
  <c r="H11" i="21" l="1"/>
  <c r="M10" i="21"/>
  <c r="M28" i="29"/>
  <c r="H30" i="29" l="1"/>
  <c r="M29" i="29"/>
  <c r="M11" i="21"/>
  <c r="H12" i="21"/>
  <c r="H13" i="21" l="1"/>
  <c r="M12" i="21"/>
  <c r="H31" i="29"/>
  <c r="M30" i="29"/>
  <c r="H32" i="29" l="1"/>
  <c r="M31" i="29"/>
  <c r="M13" i="21"/>
  <c r="H14" i="21"/>
  <c r="M14" i="21" l="1"/>
  <c r="H15" i="21"/>
  <c r="M32" i="29"/>
  <c r="D2" i="30"/>
  <c r="D33" i="30" l="1"/>
  <c r="H2" i="30"/>
  <c r="M15" i="21"/>
  <c r="H16" i="21"/>
  <c r="H17" i="21" l="1"/>
  <c r="M16" i="21"/>
  <c r="M2" i="30"/>
  <c r="H3" i="30"/>
  <c r="M3" i="30" l="1"/>
  <c r="H4" i="30"/>
  <c r="M17" i="21"/>
  <c r="H18" i="21"/>
  <c r="M18" i="21" l="1"/>
  <c r="H19" i="21"/>
  <c r="H5" i="30"/>
  <c r="M4" i="30"/>
  <c r="M5" i="30" l="1"/>
  <c r="H6" i="30"/>
  <c r="M19" i="21"/>
  <c r="H20" i="21"/>
  <c r="M20" i="21" l="1"/>
  <c r="H21" i="21"/>
  <c r="M6" i="30"/>
  <c r="H7" i="30"/>
  <c r="M7" i="30" l="1"/>
  <c r="H8" i="30"/>
  <c r="M21" i="21"/>
  <c r="H22" i="21"/>
  <c r="H23" i="21" l="1"/>
  <c r="M22" i="21"/>
  <c r="M8" i="30"/>
  <c r="H9" i="30"/>
  <c r="M9" i="30" l="1"/>
  <c r="H10" i="30"/>
  <c r="H24" i="21"/>
  <c r="M23" i="21"/>
  <c r="M24" i="21" l="1"/>
  <c r="H25" i="21"/>
  <c r="M10" i="30"/>
  <c r="H11" i="30"/>
  <c r="M11" i="30" l="1"/>
  <c r="H12" i="30"/>
  <c r="M25" i="21"/>
  <c r="H26" i="21"/>
  <c r="H27" i="21" l="1"/>
  <c r="M26" i="21"/>
  <c r="M12" i="30"/>
  <c r="H13" i="30"/>
  <c r="M13" i="30" l="1"/>
  <c r="H14" i="30"/>
  <c r="H28" i="21"/>
  <c r="M27" i="21"/>
  <c r="M28" i="21" l="1"/>
  <c r="H29" i="21"/>
  <c r="M14" i="30"/>
  <c r="H15" i="30"/>
  <c r="M15" i="30" l="1"/>
  <c r="H16" i="30"/>
  <c r="M29" i="21"/>
  <c r="H30" i="21"/>
  <c r="M30" i="21" l="1"/>
  <c r="H31" i="21"/>
  <c r="M16" i="30"/>
  <c r="H17" i="30"/>
  <c r="M17" i="30" l="1"/>
  <c r="H18" i="30"/>
  <c r="M31" i="21"/>
  <c r="H32" i="21"/>
  <c r="M32" i="21" l="1"/>
  <c r="H2" i="24"/>
  <c r="M18" i="30"/>
  <c r="H19" i="30"/>
  <c r="H20" i="30" l="1"/>
  <c r="M19" i="30"/>
  <c r="M2" i="24"/>
  <c r="H3" i="24"/>
  <c r="M3" i="24" l="1"/>
  <c r="H4" i="24"/>
  <c r="M20" i="30"/>
  <c r="H21" i="30"/>
  <c r="S17" i="30" l="1"/>
  <c r="S19" i="30" s="1"/>
  <c r="R19" i="30" s="1"/>
  <c r="S21" i="30" s="1"/>
  <c r="M21" i="30"/>
  <c r="H22" i="30"/>
  <c r="M4" i="24"/>
  <c r="H5" i="24"/>
  <c r="H6" i="24" l="1"/>
  <c r="M5" i="24"/>
  <c r="H23" i="30"/>
  <c r="M22" i="30"/>
  <c r="M23" i="30" l="1"/>
  <c r="H24" i="30"/>
  <c r="H7" i="24"/>
  <c r="M6" i="24"/>
  <c r="H8" i="24" l="1"/>
  <c r="M7" i="24"/>
  <c r="H25" i="30"/>
  <c r="M24" i="30"/>
  <c r="H26" i="30" l="1"/>
  <c r="M25" i="30"/>
  <c r="H9" i="24"/>
  <c r="M8" i="24"/>
  <c r="H10" i="24" l="1"/>
  <c r="M9" i="24"/>
  <c r="M26" i="30"/>
  <c r="H27" i="30"/>
  <c r="M27" i="30" l="1"/>
  <c r="H28" i="30"/>
  <c r="H11" i="24"/>
  <c r="M10" i="24"/>
  <c r="H12" i="24" l="1"/>
  <c r="M11" i="24"/>
  <c r="M28" i="30"/>
  <c r="H29" i="30"/>
  <c r="M29" i="30" l="1"/>
  <c r="H30" i="30"/>
  <c r="H13" i="24"/>
  <c r="M12" i="24"/>
  <c r="H14" i="24" l="1"/>
  <c r="M13" i="24"/>
  <c r="M30" i="30"/>
  <c r="H31" i="30"/>
  <c r="M31" i="30" l="1"/>
  <c r="H32" i="30"/>
  <c r="M14" i="24"/>
  <c r="H15" i="24"/>
  <c r="H16" i="24" l="1"/>
  <c r="M15" i="24"/>
  <c r="D2" i="31"/>
  <c r="M32" i="30"/>
  <c r="H2" i="31" l="1"/>
  <c r="D33" i="31"/>
  <c r="M16" i="24"/>
  <c r="H17" i="24"/>
  <c r="M17" i="24" l="1"/>
  <c r="H18" i="24"/>
  <c r="M2" i="31"/>
  <c r="H3" i="31"/>
  <c r="M3" i="31" l="1"/>
  <c r="H4" i="31"/>
  <c r="M18" i="24"/>
  <c r="H19" i="24"/>
  <c r="M19" i="24" l="1"/>
  <c r="H20" i="24"/>
  <c r="M4" i="31"/>
  <c r="H5" i="31"/>
  <c r="M5" i="31" l="1"/>
  <c r="H6" i="31"/>
  <c r="H21" i="24"/>
  <c r="M20" i="24"/>
  <c r="H22" i="24" l="1"/>
  <c r="M21" i="24"/>
  <c r="M6" i="31"/>
  <c r="H7" i="31"/>
  <c r="H8" i="31" l="1"/>
  <c r="M7" i="31"/>
  <c r="H23" i="24"/>
  <c r="M22" i="24"/>
  <c r="H24" i="24" l="1"/>
  <c r="M23" i="24"/>
  <c r="M8" i="31"/>
  <c r="H9" i="31"/>
  <c r="M9" i="31" l="1"/>
  <c r="H10" i="31"/>
  <c r="H25" i="24"/>
  <c r="M24" i="24"/>
  <c r="M25" i="24" l="1"/>
  <c r="H26" i="24"/>
  <c r="M10" i="31"/>
  <c r="H11" i="31"/>
  <c r="M11" i="31" l="1"/>
  <c r="H12" i="31"/>
  <c r="M26" i="24"/>
  <c r="H27" i="24"/>
  <c r="M27" i="24" l="1"/>
  <c r="H28" i="24"/>
  <c r="M12" i="31"/>
  <c r="H13" i="31"/>
  <c r="M13" i="31" l="1"/>
  <c r="H14" i="31"/>
  <c r="H29" i="24"/>
  <c r="M28" i="24"/>
  <c r="H2" i="25" l="1"/>
  <c r="M29" i="24"/>
  <c r="H15" i="31"/>
  <c r="M14" i="31"/>
  <c r="H16" i="31" l="1"/>
  <c r="M15" i="31"/>
  <c r="M2" i="25"/>
  <c r="H3" i="25"/>
  <c r="H4" i="25" l="1"/>
  <c r="M3" i="25"/>
  <c r="M16" i="31"/>
  <c r="H17" i="31"/>
  <c r="M17" i="31" l="1"/>
  <c r="H18" i="31"/>
  <c r="M4" i="25"/>
  <c r="H5" i="25"/>
  <c r="M5" i="25" l="1"/>
  <c r="H6" i="25"/>
  <c r="M18" i="31"/>
  <c r="H19" i="31"/>
  <c r="M19" i="31" l="1"/>
  <c r="H20" i="31"/>
  <c r="H7" i="25"/>
  <c r="M6" i="25"/>
  <c r="H8" i="25" l="1"/>
  <c r="M7" i="25"/>
  <c r="M20" i="31"/>
  <c r="H21" i="31"/>
  <c r="M21" i="31" l="1"/>
  <c r="H22" i="31"/>
  <c r="H9" i="25"/>
  <c r="M8" i="25"/>
  <c r="H10" i="25" l="1"/>
  <c r="M9" i="25"/>
  <c r="M22" i="31"/>
  <c r="H23" i="31"/>
  <c r="H24" i="31" l="1"/>
  <c r="M23" i="31"/>
  <c r="M10" i="25"/>
  <c r="H11" i="25"/>
  <c r="H12" i="25" l="1"/>
  <c r="M11" i="25"/>
  <c r="M24" i="31"/>
  <c r="H25" i="31"/>
  <c r="H26" i="31" l="1"/>
  <c r="M25" i="31"/>
  <c r="M12" i="25"/>
  <c r="H13" i="25"/>
  <c r="M13" i="25" l="1"/>
  <c r="H14" i="25"/>
  <c r="M26" i="31"/>
  <c r="H27" i="31"/>
  <c r="M27" i="31" l="1"/>
  <c r="H28" i="31"/>
  <c r="M14" i="25"/>
  <c r="H15" i="25"/>
  <c r="M15" i="25" l="1"/>
  <c r="H16" i="25"/>
  <c r="M28" i="31"/>
  <c r="H29" i="31"/>
  <c r="M29" i="31" l="1"/>
  <c r="H30" i="31"/>
  <c r="H17" i="25"/>
  <c r="M16" i="25"/>
  <c r="H18" i="25" l="1"/>
  <c r="M17" i="25"/>
  <c r="M30" i="31"/>
  <c r="H31" i="31"/>
  <c r="H32" i="31" l="1"/>
  <c r="M31" i="31"/>
  <c r="M18" i="25"/>
  <c r="H19" i="25"/>
  <c r="M19" i="25" l="1"/>
  <c r="H20" i="25"/>
  <c r="M32" i="31"/>
  <c r="H2" i="32"/>
  <c r="H3" i="32" l="1"/>
  <c r="M2" i="32"/>
  <c r="H21" i="25"/>
  <c r="M20" i="25"/>
  <c r="H22" i="25" l="1"/>
  <c r="M21" i="25"/>
  <c r="M3" i="32"/>
  <c r="H4" i="32"/>
  <c r="M4" i="32" l="1"/>
  <c r="H5" i="32"/>
  <c r="H23" i="25"/>
  <c r="M22" i="25"/>
  <c r="H24" i="25" l="1"/>
  <c r="M23" i="25"/>
  <c r="M5" i="32"/>
  <c r="H6" i="32"/>
  <c r="H7" i="32" l="1"/>
  <c r="M6" i="32"/>
  <c r="M24" i="25"/>
  <c r="H25" i="25"/>
  <c r="M25" i="25" l="1"/>
  <c r="H26" i="25"/>
  <c r="M7" i="32"/>
  <c r="H8" i="32"/>
  <c r="M8" i="32" l="1"/>
  <c r="H9" i="32"/>
  <c r="M26" i="25"/>
  <c r="H27" i="25"/>
  <c r="H28" i="25" l="1"/>
  <c r="M27" i="25"/>
  <c r="M9" i="32"/>
  <c r="H10" i="32"/>
  <c r="M10" i="32" l="1"/>
  <c r="H11" i="32"/>
  <c r="H29" i="25"/>
  <c r="M28" i="25"/>
  <c r="M11" i="32" l="1"/>
  <c r="H12" i="32"/>
  <c r="H30" i="25"/>
  <c r="M29" i="25"/>
  <c r="M30" i="25" l="1"/>
  <c r="H31" i="25"/>
  <c r="M12" i="32"/>
  <c r="H13" i="32"/>
  <c r="M13" i="32" l="1"/>
  <c r="H14" i="32"/>
  <c r="H2" i="26"/>
  <c r="M31" i="25"/>
  <c r="H32" i="25"/>
  <c r="M32" i="25" s="1"/>
  <c r="H3" i="26" l="1"/>
  <c r="M2" i="26"/>
  <c r="M14" i="32"/>
  <c r="H15" i="32"/>
  <c r="M15" i="32" l="1"/>
  <c r="H16" i="32"/>
  <c r="H4" i="26"/>
  <c r="M3" i="26"/>
  <c r="H5" i="26" l="1"/>
  <c r="M4" i="26"/>
  <c r="M16" i="32"/>
  <c r="H17" i="32"/>
  <c r="M17" i="32" l="1"/>
  <c r="H18" i="32"/>
  <c r="H6" i="26"/>
  <c r="M5" i="26"/>
  <c r="M6" i="26" l="1"/>
  <c r="H7" i="26"/>
  <c r="M18" i="32"/>
  <c r="H19" i="32"/>
  <c r="M19" i="32" l="1"/>
  <c r="H20" i="32"/>
  <c r="H8" i="26"/>
  <c r="M7" i="26"/>
  <c r="M8" i="26" l="1"/>
  <c r="H9" i="26"/>
  <c r="M20" i="32"/>
  <c r="H21" i="32"/>
  <c r="M21" i="32" l="1"/>
  <c r="H22" i="32"/>
  <c r="H10" i="26"/>
  <c r="M9" i="26"/>
  <c r="H11" i="26" l="1"/>
  <c r="M10" i="26"/>
  <c r="M22" i="32"/>
  <c r="H23" i="32"/>
  <c r="H24" i="32" l="1"/>
  <c r="M23" i="32"/>
  <c r="H12" i="26"/>
  <c r="M11" i="26"/>
  <c r="M12" i="26" l="1"/>
  <c r="H13" i="26"/>
  <c r="M24" i="32"/>
  <c r="H25" i="32"/>
  <c r="M25" i="32" l="1"/>
  <c r="H26" i="32"/>
  <c r="H14" i="26"/>
  <c r="M13" i="26"/>
  <c r="H15" i="26" l="1"/>
  <c r="M14" i="26"/>
  <c r="M26" i="32"/>
  <c r="H27" i="32"/>
  <c r="M27" i="32" l="1"/>
  <c r="H28" i="32"/>
  <c r="H16" i="26"/>
  <c r="M15" i="26"/>
  <c r="H17" i="26" l="1"/>
  <c r="M16" i="26"/>
  <c r="H29" i="32"/>
  <c r="M28" i="32"/>
  <c r="M29" i="32" l="1"/>
  <c r="H30" i="32"/>
  <c r="H18" i="26"/>
  <c r="M17" i="26"/>
  <c r="H19" i="26" l="1"/>
  <c r="M18" i="26"/>
  <c r="M30" i="32"/>
  <c r="H31" i="32"/>
  <c r="M31" i="32" l="1"/>
  <c r="H32" i="32"/>
  <c r="H20" i="26"/>
  <c r="M19" i="26"/>
  <c r="H21" i="26" l="1"/>
  <c r="M20" i="26"/>
  <c r="M32" i="32"/>
  <c r="H2" i="33"/>
  <c r="M2" i="33" l="1"/>
  <c r="H3" i="33"/>
  <c r="H22" i="26"/>
  <c r="M21" i="26"/>
  <c r="M22" i="26" l="1"/>
  <c r="H23" i="26"/>
  <c r="M3" i="33"/>
  <c r="H4" i="33"/>
  <c r="H5" i="33" l="1"/>
  <c r="M4" i="33"/>
  <c r="M23" i="26"/>
  <c r="H24" i="26"/>
  <c r="H25" i="26" l="1"/>
  <c r="M24" i="26"/>
  <c r="M5" i="33"/>
  <c r="H6" i="33"/>
  <c r="M6" i="33" l="1"/>
  <c r="H7" i="33"/>
  <c r="H26" i="26"/>
  <c r="M25" i="26"/>
  <c r="H27" i="26" l="1"/>
  <c r="M26" i="26"/>
  <c r="M7" i="33"/>
  <c r="H8" i="33"/>
  <c r="H9" i="33" l="1"/>
  <c r="M8" i="33"/>
  <c r="H28" i="26"/>
  <c r="M27" i="26"/>
  <c r="H29" i="26" l="1"/>
  <c r="M28" i="26"/>
  <c r="M9" i="33"/>
  <c r="H10" i="33"/>
  <c r="H11" i="33" l="1"/>
  <c r="M10" i="33"/>
  <c r="M29" i="26"/>
  <c r="H30" i="26"/>
  <c r="H31" i="26" l="1"/>
  <c r="M30" i="26"/>
  <c r="H12" i="33"/>
  <c r="M11" i="33"/>
  <c r="M12" i="33" l="1"/>
  <c r="H13" i="33"/>
  <c r="M31" i="26"/>
  <c r="H2" i="27"/>
  <c r="M2" i="27" l="1"/>
  <c r="H3" i="27"/>
  <c r="M13" i="33"/>
  <c r="H14" i="33"/>
  <c r="H15" i="33" l="1"/>
  <c r="M14" i="33"/>
  <c r="M3" i="27"/>
  <c r="H4" i="27"/>
  <c r="M4" i="27" l="1"/>
  <c r="H5" i="27"/>
  <c r="M15" i="33"/>
  <c r="H16" i="33"/>
  <c r="M16" i="33" l="1"/>
  <c r="H17" i="33"/>
  <c r="M5" i="27"/>
  <c r="H6" i="27"/>
  <c r="H7" i="27" l="1"/>
  <c r="M6" i="27"/>
  <c r="M17" i="33"/>
  <c r="H18" i="33"/>
  <c r="M18" i="33" l="1"/>
  <c r="H19" i="33"/>
  <c r="M7" i="27"/>
  <c r="H8" i="27"/>
  <c r="M8" i="27" l="1"/>
  <c r="H9" i="27"/>
  <c r="M19" i="33"/>
  <c r="H20" i="33"/>
  <c r="H21" i="33" l="1"/>
  <c r="M20" i="33"/>
  <c r="M9" i="27"/>
  <c r="H10" i="27"/>
  <c r="H11" i="27" l="1"/>
  <c r="M10" i="27"/>
  <c r="M21" i="33"/>
  <c r="H22" i="33"/>
  <c r="M22" i="33" l="1"/>
  <c r="H23" i="33"/>
  <c r="H12" i="27"/>
  <c r="M11" i="27"/>
  <c r="M12" i="27" l="1"/>
  <c r="H13" i="27"/>
  <c r="M23" i="33"/>
  <c r="H24" i="33"/>
  <c r="M24" i="33" l="1"/>
  <c r="H25" i="33"/>
  <c r="M13" i="27"/>
  <c r="H14" i="27"/>
  <c r="M14" i="27" l="1"/>
  <c r="H15" i="27"/>
  <c r="M25" i="33"/>
  <c r="H26" i="33"/>
  <c r="M26" i="33" l="1"/>
  <c r="H27" i="33"/>
  <c r="M15" i="27"/>
  <c r="H16" i="27"/>
  <c r="M16" i="27" l="1"/>
  <c r="H17" i="27"/>
  <c r="M27" i="33"/>
  <c r="H28" i="33"/>
  <c r="M28" i="33" l="1"/>
  <c r="H29" i="33"/>
  <c r="M17" i="27"/>
  <c r="H18" i="27"/>
  <c r="H19" i="27" l="1"/>
  <c r="M18" i="27"/>
  <c r="M29" i="33"/>
  <c r="H30" i="33"/>
  <c r="M30" i="33" l="1"/>
  <c r="H31" i="33"/>
  <c r="M19" i="27"/>
  <c r="H20" i="27"/>
  <c r="M20" i="27" l="1"/>
  <c r="H21" i="27"/>
  <c r="H32" i="33"/>
  <c r="M32" i="33" s="1"/>
  <c r="H2" i="34"/>
  <c r="M31" i="33"/>
  <c r="M2" i="34" l="1"/>
  <c r="H3" i="34"/>
  <c r="M21" i="27"/>
  <c r="H22" i="27"/>
  <c r="M22" i="27" l="1"/>
  <c r="H23" i="27"/>
  <c r="H4" i="34"/>
  <c r="M3" i="34"/>
  <c r="H5" i="34" l="1"/>
  <c r="M4" i="34"/>
  <c r="M23" i="27"/>
  <c r="H24" i="27"/>
  <c r="H25" i="27" l="1"/>
  <c r="M24" i="27"/>
  <c r="M5" i="34"/>
  <c r="H6" i="34"/>
  <c r="H7" i="34" l="1"/>
  <c r="M6" i="34"/>
  <c r="M25" i="27"/>
  <c r="H26" i="27"/>
  <c r="M26" i="27" l="1"/>
  <c r="H27" i="27"/>
  <c r="M7" i="34"/>
  <c r="H8" i="34"/>
  <c r="H9" i="34" l="1"/>
  <c r="M8" i="34"/>
  <c r="M27" i="27"/>
  <c r="H28" i="27"/>
  <c r="M28" i="27" l="1"/>
  <c r="H29" i="27"/>
  <c r="M9" i="34"/>
  <c r="H10" i="34"/>
  <c r="M10" i="34" l="1"/>
  <c r="H11" i="34"/>
  <c r="H30" i="27"/>
  <c r="M29" i="27"/>
  <c r="M30" i="27" l="1"/>
  <c r="H31" i="27"/>
  <c r="H12" i="34"/>
  <c r="M11" i="34"/>
  <c r="H13" i="34" l="1"/>
  <c r="M12" i="34"/>
  <c r="M31" i="27"/>
  <c r="H32" i="27"/>
  <c r="M32" i="27" l="1"/>
  <c r="H2" i="28"/>
  <c r="M13" i="34"/>
  <c r="H14" i="34"/>
  <c r="M14" i="34" l="1"/>
  <c r="H15" i="34"/>
  <c r="H3" i="28"/>
  <c r="M2" i="28"/>
  <c r="M3" i="28" l="1"/>
  <c r="H4" i="28"/>
  <c r="M15" i="34"/>
  <c r="H16" i="34"/>
  <c r="M16" i="34" l="1"/>
  <c r="H17" i="34"/>
  <c r="M4" i="28"/>
  <c r="H5" i="28"/>
  <c r="M5" i="28" l="1"/>
  <c r="H6" i="28"/>
  <c r="M17" i="34"/>
  <c r="H18" i="34"/>
  <c r="H19" i="34" l="1"/>
  <c r="M18" i="34"/>
  <c r="H7" i="28"/>
  <c r="M6" i="28"/>
  <c r="H8" i="28" l="1"/>
  <c r="M7" i="28"/>
  <c r="H20" i="34"/>
  <c r="M19" i="34"/>
  <c r="H21" i="34" l="1"/>
  <c r="M20" i="34"/>
  <c r="M8" i="28"/>
  <c r="H9" i="28"/>
  <c r="M9" i="28" l="1"/>
  <c r="H10" i="28"/>
  <c r="H22" i="34"/>
  <c r="M21" i="34"/>
  <c r="H23" i="34" l="1"/>
  <c r="M22" i="34"/>
  <c r="M10" i="28"/>
  <c r="H11" i="28"/>
  <c r="M11" i="28" l="1"/>
  <c r="H12" i="28"/>
  <c r="H24" i="34"/>
  <c r="M23" i="34"/>
  <c r="H25" i="34" l="1"/>
  <c r="M24" i="34"/>
  <c r="H13" i="28"/>
  <c r="M12" i="28"/>
  <c r="H14" i="28" l="1"/>
  <c r="M13" i="28"/>
  <c r="M25" i="34"/>
  <c r="H26" i="34"/>
  <c r="H27" i="34" l="1"/>
  <c r="M26" i="34"/>
  <c r="H15" i="28"/>
  <c r="M14" i="28"/>
  <c r="M15" i="28" l="1"/>
  <c r="H16" i="28"/>
  <c r="M27" i="34"/>
  <c r="H28" i="34"/>
  <c r="M28" i="34" l="1"/>
  <c r="H29" i="34"/>
  <c r="M16" i="28"/>
  <c r="H17" i="28"/>
  <c r="M17" i="28" l="1"/>
  <c r="H18" i="28"/>
  <c r="M29" i="34"/>
  <c r="H30" i="34"/>
  <c r="H31" i="34" l="1"/>
  <c r="M30" i="34"/>
  <c r="M18" i="28"/>
  <c r="H19" i="28"/>
  <c r="M19" i="28" l="1"/>
  <c r="H20" i="28"/>
  <c r="H32" i="34"/>
  <c r="M32" i="34" s="1"/>
  <c r="M31" i="34"/>
  <c r="M20" i="28" l="1"/>
  <c r="H21" i="28"/>
  <c r="M21" i="28" l="1"/>
  <c r="H22" i="28"/>
  <c r="M22" i="28" l="1"/>
  <c r="H23" i="28"/>
  <c r="M23" i="28" l="1"/>
  <c r="H24" i="28"/>
  <c r="M24" i="28" l="1"/>
  <c r="H25" i="28"/>
  <c r="H26" i="28" l="1"/>
  <c r="M25" i="28"/>
  <c r="M26" i="28" l="1"/>
  <c r="H27" i="28"/>
  <c r="M27" i="28" l="1"/>
  <c r="H28" i="28"/>
  <c r="M28" i="28" l="1"/>
  <c r="H29" i="28"/>
  <c r="M29" i="28" l="1"/>
  <c r="H30" i="28"/>
  <c r="M30" i="28" l="1"/>
  <c r="H31" i="28"/>
  <c r="H32" i="28" l="1"/>
  <c r="M32" i="28" s="1"/>
  <c r="M31" i="28"/>
  <c r="D2" i="29"/>
  <c r="D33" i="29" l="1"/>
  <c r="H2" i="29"/>
  <c r="H3" i="29" l="1"/>
  <c r="M2" i="29"/>
  <c r="M3" i="29" l="1"/>
  <c r="H4" i="29"/>
  <c r="H5" i="29" l="1"/>
  <c r="M4" i="29"/>
  <c r="H6" i="29" l="1"/>
  <c r="M5" i="29"/>
  <c r="M6" i="29" l="1"/>
  <c r="H7" i="29"/>
  <c r="H8" i="29" l="1"/>
  <c r="M7" i="29"/>
  <c r="M8" i="29" l="1"/>
  <c r="H9" i="29"/>
  <c r="M9" i="29" l="1"/>
  <c r="H10" i="29"/>
  <c r="M10" i="29" l="1"/>
  <c r="H11" i="29"/>
  <c r="H12" i="29" l="1"/>
  <c r="M11" i="29"/>
  <c r="H13" i="29" l="1"/>
  <c r="M12" i="29"/>
  <c r="M13" i="29" l="1"/>
  <c r="H14" i="29"/>
  <c r="M14" i="29" l="1"/>
  <c r="H15" i="29"/>
  <c r="M15" i="29" l="1"/>
  <c r="H16" i="29"/>
  <c r="M16" i="29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<sst xmlns="http://schemas.openxmlformats.org/spreadsheetml/2006/main" count="4143" uniqueCount="1610">
  <si>
    <t>Cliente</t>
  </si>
  <si>
    <t xml:space="preserve">Numero celular </t>
  </si>
  <si>
    <t>Plataforma</t>
  </si>
  <si>
    <t>Tipo</t>
  </si>
  <si>
    <t>Correo</t>
  </si>
  <si>
    <t>1</t>
  </si>
  <si>
    <t>Clave</t>
  </si>
  <si>
    <t>Precio</t>
  </si>
  <si>
    <t>Costo</t>
  </si>
  <si>
    <t>Fecha Inicio</t>
  </si>
  <si>
    <t>Proxima Fecha</t>
  </si>
  <si>
    <t>Jahir Martinez Vallejo</t>
  </si>
  <si>
    <t>315 7225669</t>
  </si>
  <si>
    <t>PrimeVideo</t>
  </si>
  <si>
    <t>1 pantalla</t>
  </si>
  <si>
    <t>Juan Camilo cosota</t>
  </si>
  <si>
    <t>314 7151686</t>
  </si>
  <si>
    <t>Spotify</t>
  </si>
  <si>
    <t>Cra. 12b # 56-30</t>
  </si>
  <si>
    <t>ChatGPT</t>
  </si>
  <si>
    <t>Susan</t>
  </si>
  <si>
    <t>318 4759282</t>
  </si>
  <si>
    <t>Netflix</t>
  </si>
  <si>
    <t>70000</t>
  </si>
  <si>
    <t>Eladio Andrés</t>
  </si>
  <si>
    <t>HBO</t>
  </si>
  <si>
    <t>Luis Arcila</t>
  </si>
  <si>
    <t>322 5571985</t>
  </si>
  <si>
    <t>Laura Camila</t>
  </si>
  <si>
    <t>317 6180402</t>
  </si>
  <si>
    <t>Ayda Milena</t>
  </si>
  <si>
    <t>313 6116766</t>
  </si>
  <si>
    <t>Nycol Ortiz</t>
  </si>
  <si>
    <t>312 4148981</t>
  </si>
  <si>
    <t>Brayan Duque</t>
  </si>
  <si>
    <t>311 7279584</t>
  </si>
  <si>
    <t>Andres Cruz</t>
  </si>
  <si>
    <t>315 8796267</t>
  </si>
  <si>
    <t>Completa</t>
  </si>
  <si>
    <t>Valeria</t>
  </si>
  <si>
    <t>321 7099531</t>
  </si>
  <si>
    <t>Paola Loaiza</t>
  </si>
  <si>
    <t>314 6077117</t>
  </si>
  <si>
    <t>DisneyP</t>
  </si>
  <si>
    <t>Válido hasta 24 mayo de 2026</t>
  </si>
  <si>
    <t>Saul Mejia</t>
  </si>
  <si>
    <t>Albaricoque</t>
  </si>
  <si>
    <t>Cra. 12b #56-30</t>
  </si>
  <si>
    <t>Donny</t>
  </si>
  <si>
    <t>316 7507974</t>
  </si>
  <si>
    <t>Paula Lopez</t>
  </si>
  <si>
    <t>312 2676940</t>
  </si>
  <si>
    <t>Sofia Vargas</t>
  </si>
  <si>
    <t>322 3603560</t>
  </si>
  <si>
    <t>Claudia</t>
  </si>
  <si>
    <t>302 7100421</t>
  </si>
  <si>
    <t>Ingrid</t>
  </si>
  <si>
    <t>317 2605900</t>
  </si>
  <si>
    <t>hbomaxjayi+ck098@gmail.com</t>
  </si>
  <si>
    <t>Ewomax6655</t>
  </si>
  <si>
    <t>5000</t>
  </si>
  <si>
    <t>Catalina</t>
  </si>
  <si>
    <t>301 4104545</t>
  </si>
  <si>
    <t>Joseph</t>
  </si>
  <si>
    <t>311 3110384</t>
  </si>
  <si>
    <t>Crunchyroll</t>
  </si>
  <si>
    <t>Mayra Alejandra Yela</t>
  </si>
  <si>
    <t>318 2673288</t>
  </si>
  <si>
    <t>Esteban</t>
  </si>
  <si>
    <t>304 1600191</t>
  </si>
  <si>
    <t>Sara</t>
  </si>
  <si>
    <t>320 7659933</t>
  </si>
  <si>
    <t>Urbano</t>
  </si>
  <si>
    <t>Andres</t>
  </si>
  <si>
    <t>317 6780233</t>
  </si>
  <si>
    <t>Profe</t>
  </si>
  <si>
    <t>319 2522503</t>
  </si>
  <si>
    <t>Paramount</t>
  </si>
  <si>
    <t>effi_w@hulkkon.com</t>
  </si>
  <si>
    <t xml:space="preserve">cambio000 </t>
  </si>
  <si>
    <t>Juan Camilo</t>
  </si>
  <si>
    <t>Matheo Alejandro</t>
  </si>
  <si>
    <t>300 858 6766</t>
  </si>
  <si>
    <t>Adrian Caldera</t>
  </si>
  <si>
    <t>Cra. 12b #56-21</t>
  </si>
  <si>
    <t>Roshy</t>
  </si>
  <si>
    <t>Edwin Gustavo</t>
  </si>
  <si>
    <t>304 3941070</t>
  </si>
  <si>
    <t>StreamCell8725</t>
  </si>
  <si>
    <t>LtrjmU3H7q5g</t>
  </si>
  <si>
    <t>Natalia Escobar Losada</t>
  </si>
  <si>
    <t>324 8213485</t>
  </si>
  <si>
    <t>Mercedes</t>
  </si>
  <si>
    <t>318 5142334</t>
  </si>
  <si>
    <t>pappukamran15@gmail.com</t>
  </si>
  <si>
    <t>cambio0033a</t>
  </si>
  <si>
    <t>Mariana</t>
  </si>
  <si>
    <t>350 4958926</t>
  </si>
  <si>
    <t>Jhon Lopez</t>
  </si>
  <si>
    <t>301 2581188</t>
  </si>
  <si>
    <t>Leen</t>
  </si>
  <si>
    <t>316 3008511</t>
  </si>
  <si>
    <t>David</t>
  </si>
  <si>
    <t>315 2163983</t>
  </si>
  <si>
    <t>Gabriela Martinez</t>
  </si>
  <si>
    <t>320 7451360</t>
  </si>
  <si>
    <t>Davinci</t>
  </si>
  <si>
    <t>Pau</t>
  </si>
  <si>
    <t>none</t>
  </si>
  <si>
    <t>Yuli Higuita</t>
  </si>
  <si>
    <t>316 8225681</t>
  </si>
  <si>
    <t>Yulianyhiguita</t>
  </si>
  <si>
    <t>David Lopez</t>
  </si>
  <si>
    <t>316 9002722</t>
  </si>
  <si>
    <t>Celmy Duran</t>
  </si>
  <si>
    <t>310 4085446</t>
  </si>
  <si>
    <t>Estiven</t>
  </si>
  <si>
    <t>314 6105201</t>
  </si>
  <si>
    <t>Jeff Muñoz</t>
  </si>
  <si>
    <t>302 7137567</t>
  </si>
  <si>
    <t>Maria jose</t>
  </si>
  <si>
    <t>300 6604488</t>
  </si>
  <si>
    <t>Daniela</t>
  </si>
  <si>
    <t>318 6205370</t>
  </si>
  <si>
    <t>Diana Flor</t>
  </si>
  <si>
    <t>314 8321761</t>
  </si>
  <si>
    <t>cairo@capygod.com</t>
  </si>
  <si>
    <t>cambio000</t>
  </si>
  <si>
    <t>Paula</t>
  </si>
  <si>
    <t>319 4030534</t>
  </si>
  <si>
    <t>Estefani Duque</t>
  </si>
  <si>
    <t>310 5919534</t>
  </si>
  <si>
    <t>man.ekli.n7@gmail.com</t>
  </si>
  <si>
    <t>Cambio7878</t>
  </si>
  <si>
    <t>Diana Blanco</t>
  </si>
  <si>
    <t>317 0740585</t>
  </si>
  <si>
    <t>Carlos Romero</t>
  </si>
  <si>
    <t>318 8566604</t>
  </si>
  <si>
    <t>Pablo Sanchez</t>
  </si>
  <si>
    <t>315 7499153</t>
  </si>
  <si>
    <t>Sara Viviana</t>
  </si>
  <si>
    <t>300 5696726</t>
  </si>
  <si>
    <t>Tio Mauricio</t>
  </si>
  <si>
    <t>320 6671073</t>
  </si>
  <si>
    <t xml:space="preserve">2 pantallas </t>
  </si>
  <si>
    <t>Brandon Ortiz</t>
  </si>
  <si>
    <t>320 6829975</t>
  </si>
  <si>
    <t>Santiago Primo</t>
  </si>
  <si>
    <t>304 2516525</t>
  </si>
  <si>
    <t>317 5236970</t>
  </si>
  <si>
    <t>Gabriela Vargas</t>
  </si>
  <si>
    <t>304 4561111</t>
  </si>
  <si>
    <t>Pin: 1212</t>
  </si>
  <si>
    <t>317 1347025</t>
  </si>
  <si>
    <t>317 2528287</t>
  </si>
  <si>
    <t>Perfil: 5</t>
  </si>
  <si>
    <t>Tatoo2029+</t>
  </si>
  <si>
    <t>Yuly Correa</t>
  </si>
  <si>
    <t>314 8749222</t>
  </si>
  <si>
    <t>Rosalyn Castro</t>
  </si>
  <si>
    <t>314 6410073</t>
  </si>
  <si>
    <t xml:space="preserve"> </t>
  </si>
  <si>
    <t>Jhon</t>
  </si>
  <si>
    <t>310 4758670</t>
  </si>
  <si>
    <t>Cra. 12b #56-1</t>
  </si>
  <si>
    <t>1 día debe</t>
  </si>
  <si>
    <t>Valentina</t>
  </si>
  <si>
    <t>302 3110173</t>
  </si>
  <si>
    <t>1 dia sin pago</t>
  </si>
  <si>
    <t>Diviana</t>
  </si>
  <si>
    <t>315 4640663</t>
  </si>
  <si>
    <t xml:space="preserve">Jhon </t>
  </si>
  <si>
    <t>NTM</t>
  </si>
  <si>
    <t>Kamila</t>
  </si>
  <si>
    <t>315 6907889</t>
  </si>
  <si>
    <t>Katara</t>
  </si>
  <si>
    <t>Cra. 12b</t>
  </si>
  <si>
    <t>Leonardo</t>
  </si>
  <si>
    <t>315 5843273</t>
  </si>
  <si>
    <t>1 dias sin pago</t>
  </si>
  <si>
    <t>Sebastian Pinzon</t>
  </si>
  <si>
    <t>310 4061632</t>
  </si>
  <si>
    <t>11 DIAS SIN PAGO</t>
  </si>
  <si>
    <t>Cecilia</t>
  </si>
  <si>
    <t>305 8500201</t>
  </si>
  <si>
    <t>Litre@capygod.com</t>
  </si>
  <si>
    <t>cambio8395u</t>
  </si>
  <si>
    <t>1dia sin pago</t>
  </si>
  <si>
    <t>Maria</t>
  </si>
  <si>
    <t>312 7779422</t>
  </si>
  <si>
    <t>capyscb+gur01@gmail.com</t>
  </si>
  <si>
    <t>streaming24</t>
  </si>
  <si>
    <t>2 días pago</t>
  </si>
  <si>
    <t>Juan Jose</t>
  </si>
  <si>
    <t>305 3125474</t>
  </si>
  <si>
    <t>murallas2222+4C226@gmail.com</t>
  </si>
  <si>
    <t>cambio1414y</t>
  </si>
  <si>
    <t>Mafe</t>
  </si>
  <si>
    <t>313 7390274</t>
  </si>
  <si>
    <t>2 dias sin pago</t>
  </si>
  <si>
    <t>Dori Arrieta</t>
  </si>
  <si>
    <t>321 5346031</t>
  </si>
  <si>
    <t>ELSI DORIANA OSPINO ARRIETA</t>
  </si>
  <si>
    <t>Cra. 12b # 56-21</t>
  </si>
  <si>
    <t>Washington Riascos</t>
  </si>
  <si>
    <t>317 6408073</t>
  </si>
  <si>
    <t>Vanesa</t>
  </si>
  <si>
    <t>350 7328249</t>
  </si>
  <si>
    <t>Yuli Campo</t>
  </si>
  <si>
    <t>314 7656792‬</t>
  </si>
  <si>
    <t>yey</t>
  </si>
  <si>
    <t>Alix Isabela</t>
  </si>
  <si>
    <t>310 7158920</t>
  </si>
  <si>
    <t>3 dias</t>
  </si>
  <si>
    <t>310 7381773</t>
  </si>
  <si>
    <t>sofi</t>
  </si>
  <si>
    <t>3 dias sin pago</t>
  </si>
  <si>
    <t>Andres Ayala</t>
  </si>
  <si>
    <t>310 6959057</t>
  </si>
  <si>
    <t>4 dias sin pago</t>
  </si>
  <si>
    <t>Lina Porras</t>
  </si>
  <si>
    <t>320 5766989</t>
  </si>
  <si>
    <t>Linaporras</t>
  </si>
  <si>
    <t>5 dias sin pago</t>
  </si>
  <si>
    <t>Gustavo Mosquera</t>
  </si>
  <si>
    <t>313 7417618</t>
  </si>
  <si>
    <t>9 dias sin pago</t>
  </si>
  <si>
    <t>Cherry Amador</t>
  </si>
  <si>
    <t>Jean Pierre</t>
  </si>
  <si>
    <t>315 7483478</t>
  </si>
  <si>
    <t>Leonela</t>
  </si>
  <si>
    <t>314 8934061</t>
  </si>
  <si>
    <t>Jerry</t>
  </si>
  <si>
    <t>313 3364588</t>
  </si>
  <si>
    <t>Oscar Muñoz</t>
  </si>
  <si>
    <t>310 6064630</t>
  </si>
  <si>
    <t>Santiago</t>
  </si>
  <si>
    <t xml:space="preserve"> 312 7458400</t>
  </si>
  <si>
    <t>Directv GO</t>
  </si>
  <si>
    <t>disneyplusjayi+pera78@gmail.com</t>
  </si>
  <si>
    <t>Disneyplus1859*</t>
  </si>
  <si>
    <t>3300</t>
  </si>
  <si>
    <t>Harry Solarte</t>
  </si>
  <si>
    <t>318 5718421</t>
  </si>
  <si>
    <t>Gei</t>
  </si>
  <si>
    <t>300 2462797</t>
  </si>
  <si>
    <t>Camilo Carrero</t>
  </si>
  <si>
    <t>322 7823093</t>
  </si>
  <si>
    <t>Julián Yecit Melo Zambran</t>
  </si>
  <si>
    <t>314 4657765</t>
  </si>
  <si>
    <t>Juan Manuel Melo</t>
  </si>
  <si>
    <t>Angie183962@outlook.com</t>
  </si>
  <si>
    <t>298152gato</t>
  </si>
  <si>
    <t>322 7504935</t>
  </si>
  <si>
    <t>Capyshb+ga021@gmail.com</t>
  </si>
  <si>
    <t>cambio0000w</t>
  </si>
  <si>
    <t>Jazmin</t>
  </si>
  <si>
    <t>315 6931687</t>
  </si>
  <si>
    <t>ewodigital12+2@outlook.es</t>
  </si>
  <si>
    <t>Ewonet21</t>
  </si>
  <si>
    <t>3333</t>
  </si>
  <si>
    <t>Alexa Rodríguez</t>
  </si>
  <si>
    <t>312 8329328</t>
  </si>
  <si>
    <t>Vix</t>
  </si>
  <si>
    <t>Dayana</t>
  </si>
  <si>
    <t>315 6781759</t>
  </si>
  <si>
    <t>Camilo Chaux</t>
  </si>
  <si>
    <t>320 7873706</t>
  </si>
  <si>
    <t>cambio001xx</t>
  </si>
  <si>
    <t>note11plus</t>
  </si>
  <si>
    <t>Laura Amaya</t>
  </si>
  <si>
    <t>313 7303140</t>
  </si>
  <si>
    <t>hbomaxjayi+dco1109@gmail.com</t>
  </si>
  <si>
    <t>Ewomax0455</t>
  </si>
  <si>
    <t>1414</t>
  </si>
  <si>
    <t>Natalia</t>
  </si>
  <si>
    <t>321 8127726</t>
  </si>
  <si>
    <t>Nathalia</t>
  </si>
  <si>
    <t>304 6300898</t>
  </si>
  <si>
    <t>sdne.t.f.l.i.x.p.anel2.026@gmail.com</t>
  </si>
  <si>
    <t>Isabela</t>
  </si>
  <si>
    <t>313 7389555</t>
  </si>
  <si>
    <t>Tatiana</t>
  </si>
  <si>
    <t>318 1844067</t>
  </si>
  <si>
    <t>Alejandro</t>
  </si>
  <si>
    <t>320 5362941</t>
  </si>
  <si>
    <t xml:space="preserve">Ana Sofía </t>
  </si>
  <si>
    <t>316 8186528</t>
  </si>
  <si>
    <t>Sara Gaviria</t>
  </si>
  <si>
    <t>312 7854812</t>
  </si>
  <si>
    <t>Fernanda</t>
  </si>
  <si>
    <t>316 2367592</t>
  </si>
  <si>
    <t>Yolima</t>
  </si>
  <si>
    <t>320 5923983</t>
  </si>
  <si>
    <t>Juan Esteban</t>
  </si>
  <si>
    <t>319 4233433</t>
  </si>
  <si>
    <t>Jmartinezvallejo</t>
  </si>
  <si>
    <t>Gabriela Duran</t>
  </si>
  <si>
    <t>310 3829366</t>
  </si>
  <si>
    <t>Gab</t>
  </si>
  <si>
    <t>Leticia Rodriguez</t>
  </si>
  <si>
    <t>310 2126668</t>
  </si>
  <si>
    <t>Maria Gomez</t>
  </si>
  <si>
    <t>321 8750499</t>
  </si>
  <si>
    <t>amiga david</t>
  </si>
  <si>
    <t>saravel</t>
  </si>
  <si>
    <t>Claudia González</t>
  </si>
  <si>
    <t>316 3467536</t>
  </si>
  <si>
    <t>Michael Salazar</t>
  </si>
  <si>
    <t>313 6018941</t>
  </si>
  <si>
    <t>Jordan</t>
  </si>
  <si>
    <t>312 3525970</t>
  </si>
  <si>
    <t>Sergio</t>
  </si>
  <si>
    <t>317 8153879</t>
  </si>
  <si>
    <t>Contraseña: Cambio7878</t>
  </si>
  <si>
    <t>Im val</t>
  </si>
  <si>
    <t>304 3895059</t>
  </si>
  <si>
    <t>Laura Herrera</t>
  </si>
  <si>
    <t>316 6289116</t>
  </si>
  <si>
    <t>314 8201005</t>
  </si>
  <si>
    <t>Evelyn Botero</t>
  </si>
  <si>
    <t>301 7888675</t>
  </si>
  <si>
    <t>primevideojayi+raxpo@gmail.com</t>
  </si>
  <si>
    <t>Prime8080</t>
  </si>
  <si>
    <t>12120</t>
  </si>
  <si>
    <t>Victoria</t>
  </si>
  <si>
    <t>301 5952605</t>
  </si>
  <si>
    <t>Francia Villamarin</t>
  </si>
  <si>
    <t xml:space="preserve">Dani </t>
  </si>
  <si>
    <t>baz345@emailyeson.com</t>
  </si>
  <si>
    <t>Fabrizio</t>
  </si>
  <si>
    <t>315 0215516</t>
  </si>
  <si>
    <t>Sebastian</t>
  </si>
  <si>
    <t>316 9050605</t>
  </si>
  <si>
    <t>Juan David Cardona</t>
  </si>
  <si>
    <t>300 9739273</t>
  </si>
  <si>
    <t>Marly</t>
  </si>
  <si>
    <t>324 8586886</t>
  </si>
  <si>
    <t>Mercedes Reyes</t>
  </si>
  <si>
    <t>312 8886805</t>
  </si>
  <si>
    <t>Luis Santaella</t>
  </si>
  <si>
    <t>315 7122941</t>
  </si>
  <si>
    <t>hilda304@capymax.com</t>
  </si>
  <si>
    <t>Juan Polanco</t>
  </si>
  <si>
    <t>321 9554423</t>
  </si>
  <si>
    <t>capyscrunchy+yu001@gmail.com</t>
  </si>
  <si>
    <t>cambio002xx</t>
  </si>
  <si>
    <t>Camilo</t>
  </si>
  <si>
    <t>318 8113934</t>
  </si>
  <si>
    <t>Evelyn</t>
  </si>
  <si>
    <t>314 8178174</t>
  </si>
  <si>
    <t>316 8208755</t>
  </si>
  <si>
    <t>dercoco337@gmail.com</t>
  </si>
  <si>
    <t>Amazon@@@</t>
  </si>
  <si>
    <t>Karol</t>
  </si>
  <si>
    <t>320 7990892</t>
  </si>
  <si>
    <t>Julian Melo</t>
  </si>
  <si>
    <t>Genesis Zambrano</t>
  </si>
  <si>
    <t>302 6464514</t>
  </si>
  <si>
    <t>Oscar Rengifo</t>
  </si>
  <si>
    <t>317 0951210</t>
  </si>
  <si>
    <t>Leidy Aguirre</t>
  </si>
  <si>
    <t>318 6598366</t>
  </si>
  <si>
    <t>Motta</t>
  </si>
  <si>
    <t>315 5757422</t>
  </si>
  <si>
    <t>mdllabona-US@yarift.com</t>
  </si>
  <si>
    <t xml:space="preserve">US8281 </t>
  </si>
  <si>
    <t>Brayan</t>
  </si>
  <si>
    <t>310 6474052</t>
  </si>
  <si>
    <t>Juan Esteban Reyes</t>
  </si>
  <si>
    <t>300 7285922</t>
  </si>
  <si>
    <t>Juanda</t>
  </si>
  <si>
    <t>Juan David</t>
  </si>
  <si>
    <t>Samuel Galindo</t>
  </si>
  <si>
    <t>Correo: man.ekli.n7@gmail.com</t>
  </si>
  <si>
    <t>Sofia</t>
  </si>
  <si>
    <t>316 5502151</t>
  </si>
  <si>
    <t>Julieth</t>
  </si>
  <si>
    <t>317 7122194</t>
  </si>
  <si>
    <t>Angelica</t>
  </si>
  <si>
    <t>321 7151315</t>
  </si>
  <si>
    <t>Arenas</t>
  </si>
  <si>
    <t>317 1020350</t>
  </si>
  <si>
    <t>Marifer</t>
  </si>
  <si>
    <t>321 8197201</t>
  </si>
  <si>
    <t>Mar</t>
  </si>
  <si>
    <t>318 8042266</t>
  </si>
  <si>
    <t>Isabella Jimenez</t>
  </si>
  <si>
    <t>320 2671588</t>
  </si>
  <si>
    <t>David Perdomo</t>
  </si>
  <si>
    <t>315 5788125</t>
  </si>
  <si>
    <t>Nicolle Gorgona</t>
  </si>
  <si>
    <t>320 9661699</t>
  </si>
  <si>
    <t>Mariana Yela</t>
  </si>
  <si>
    <t>314 7425294</t>
  </si>
  <si>
    <t>Liliana Grajales</t>
  </si>
  <si>
    <t>300 8442961</t>
  </si>
  <si>
    <t>Dormunt@capygod.com</t>
  </si>
  <si>
    <t>Camilo Rodríguez</t>
  </si>
  <si>
    <t>323 4285413</t>
  </si>
  <si>
    <t>Johanna</t>
  </si>
  <si>
    <t>316 2971877</t>
  </si>
  <si>
    <t>Tito</t>
  </si>
  <si>
    <t xml:space="preserve"> 312 7913033</t>
  </si>
  <si>
    <t>Sandra Gonzales</t>
  </si>
  <si>
    <t>316 3556352</t>
  </si>
  <si>
    <t>Youtube</t>
  </si>
  <si>
    <t>Daniel Muñoz</t>
  </si>
  <si>
    <t>302 2163757</t>
  </si>
  <si>
    <t>Alexander Ramírez</t>
  </si>
  <si>
    <t>313 2007376</t>
  </si>
  <si>
    <t>Dehydy</t>
  </si>
  <si>
    <t>311 3228758</t>
  </si>
  <si>
    <t>Juan Gonzalez</t>
  </si>
  <si>
    <t>300 1346114</t>
  </si>
  <si>
    <t>Juan</t>
  </si>
  <si>
    <t>Edgar David</t>
  </si>
  <si>
    <t>317 8952701</t>
  </si>
  <si>
    <t>Alexander</t>
  </si>
  <si>
    <t>322 2599252</t>
  </si>
  <si>
    <t>Yuly</t>
  </si>
  <si>
    <t>318 8003795</t>
  </si>
  <si>
    <t>David Reyes</t>
  </si>
  <si>
    <t>316 7148500</t>
  </si>
  <si>
    <t>huyind33u@monarck9.com</t>
  </si>
  <si>
    <t>cambio003xx</t>
  </si>
  <si>
    <t>Valentina Rivera</t>
  </si>
  <si>
    <t>323 5170065</t>
  </si>
  <si>
    <t>Valen</t>
  </si>
  <si>
    <t>Laura Vélez</t>
  </si>
  <si>
    <t>301 2180040</t>
  </si>
  <si>
    <t>Maria Jose</t>
  </si>
  <si>
    <t>321 7995741</t>
  </si>
  <si>
    <t>Sebastian Sanchez</t>
  </si>
  <si>
    <t>318 3308457</t>
  </si>
  <si>
    <t>Lizeth</t>
  </si>
  <si>
    <t>350 8503626</t>
  </si>
  <si>
    <t>Yeraldin</t>
  </si>
  <si>
    <t>317 5787147</t>
  </si>
  <si>
    <t>Wendy Jimenez</t>
  </si>
  <si>
    <t>317 2679120</t>
  </si>
  <si>
    <t>Carlos Bueno</t>
  </si>
  <si>
    <t>301 2764929</t>
  </si>
  <si>
    <t>comboplusjayi+kky479@gmail.com</t>
  </si>
  <si>
    <t>stream2024</t>
  </si>
  <si>
    <t>Sofi Gonzales</t>
  </si>
  <si>
    <t>311 6086845</t>
  </si>
  <si>
    <t>Sarita Noguera</t>
  </si>
  <si>
    <t>316 7564096</t>
  </si>
  <si>
    <t>Jurlady</t>
  </si>
  <si>
    <t>primevideojayi+gox16@gmail.com</t>
  </si>
  <si>
    <t>Prime0511</t>
  </si>
  <si>
    <t>22222</t>
  </si>
  <si>
    <t>Ingrid Tamayo</t>
  </si>
  <si>
    <t>318 3559843</t>
  </si>
  <si>
    <t>David Posada</t>
  </si>
  <si>
    <t>350 2457055</t>
  </si>
  <si>
    <t>Karen Sofia</t>
  </si>
  <si>
    <t>315 9286858</t>
  </si>
  <si>
    <t>José Arep</t>
  </si>
  <si>
    <t>DisneyE</t>
  </si>
  <si>
    <t>316 1768891</t>
  </si>
  <si>
    <t>Daniel Pastrana</t>
  </si>
  <si>
    <t>310 5030326</t>
  </si>
  <si>
    <t>Ruben</t>
  </si>
  <si>
    <t>315 5052725</t>
  </si>
  <si>
    <t>Stefania Toro</t>
  </si>
  <si>
    <t>316 2078324</t>
  </si>
  <si>
    <t>crunchyll98@baqueramatoday.com</t>
  </si>
  <si>
    <t>DOLAR111+</t>
  </si>
  <si>
    <t>Emanuel</t>
  </si>
  <si>
    <t>316 6158747</t>
  </si>
  <si>
    <t>Sofi</t>
  </si>
  <si>
    <t>317 6001440</t>
  </si>
  <si>
    <t>Ashllee</t>
  </si>
  <si>
    <t>318 4914443</t>
  </si>
  <si>
    <t>Angel Ruiz</t>
  </si>
  <si>
    <t>301 7080194</t>
  </si>
  <si>
    <t>primevideojayi+tnr11@gmail.com</t>
  </si>
  <si>
    <t>30300</t>
  </si>
  <si>
    <t>Natalia Garcia</t>
  </si>
  <si>
    <t>311 3766985</t>
  </si>
  <si>
    <t>Karol Carvajal</t>
  </si>
  <si>
    <t>320 3560524</t>
  </si>
  <si>
    <t>LaHabana771@capymax.com</t>
  </si>
  <si>
    <t>César</t>
  </si>
  <si>
    <t>311 3199354</t>
  </si>
  <si>
    <t>Steven Zambrano</t>
  </si>
  <si>
    <t>Gira Katerine</t>
  </si>
  <si>
    <t>316 0444629</t>
  </si>
  <si>
    <t>marcialpuen+2@outlook.com</t>
  </si>
  <si>
    <t>Ewoxcv45</t>
  </si>
  <si>
    <t>1515</t>
  </si>
  <si>
    <t>Wendy</t>
  </si>
  <si>
    <t>315 4476494</t>
  </si>
  <si>
    <t>324 5778194</t>
  </si>
  <si>
    <t>max055@infoedux.net</t>
  </si>
  <si>
    <t>limonada10*</t>
  </si>
  <si>
    <t>Carolina Serrano</t>
  </si>
  <si>
    <t>316 0555753</t>
  </si>
  <si>
    <t>silvia_dial_78@fenixis.co</t>
  </si>
  <si>
    <t xml:space="preserve">Gold75* </t>
  </si>
  <si>
    <t>Carlos Emmanuel</t>
  </si>
  <si>
    <t>317 2934282</t>
  </si>
  <si>
    <t>Revendedor M</t>
  </si>
  <si>
    <t>312 578875</t>
  </si>
  <si>
    <t>Maribel</t>
  </si>
  <si>
    <t>310 4360999</t>
  </si>
  <si>
    <t>5/1/26 queda pendiente $500</t>
  </si>
  <si>
    <t>321 8471638</t>
  </si>
  <si>
    <t>Manuel</t>
  </si>
  <si>
    <t>305 2666177</t>
  </si>
  <si>
    <t>Ramírez</t>
  </si>
  <si>
    <t>317 2265295</t>
  </si>
  <si>
    <t>Natalia García</t>
  </si>
  <si>
    <t>312 6870984</t>
  </si>
  <si>
    <t>Lucy Portilla</t>
  </si>
  <si>
    <t>321 8869052</t>
  </si>
  <si>
    <t>Danny</t>
  </si>
  <si>
    <t>311 8365665</t>
  </si>
  <si>
    <t>Laura Higuita</t>
  </si>
  <si>
    <t>322 5965981</t>
  </si>
  <si>
    <t>andreamirandamorales5@gmail.com</t>
  </si>
  <si>
    <t>Amazon@123</t>
  </si>
  <si>
    <t>Diego</t>
  </si>
  <si>
    <t>318 8395521</t>
  </si>
  <si>
    <t>Yuliana</t>
  </si>
  <si>
    <t>317 2364554</t>
  </si>
  <si>
    <t>Marcela Huertas</t>
  </si>
  <si>
    <t>‪311 3113943‬</t>
  </si>
  <si>
    <t>Mariana Estrada</t>
  </si>
  <si>
    <t>312 7809640</t>
  </si>
  <si>
    <t>Gustavo</t>
  </si>
  <si>
    <t>Jhony Mendoza</t>
  </si>
  <si>
    <t>317 6910588</t>
  </si>
  <si>
    <t>Isabella</t>
  </si>
  <si>
    <t>321 6353770</t>
  </si>
  <si>
    <t>Maria Herrera</t>
  </si>
  <si>
    <t>321 8815928</t>
  </si>
  <si>
    <t>I'm val</t>
  </si>
  <si>
    <t>Isabel Maldonado</t>
  </si>
  <si>
    <t>318 7099465</t>
  </si>
  <si>
    <t>Karen Rivera</t>
  </si>
  <si>
    <t>310 6241279</t>
  </si>
  <si>
    <t>Simon Mendoza</t>
  </si>
  <si>
    <t>312 6794160</t>
  </si>
  <si>
    <t>appletv2@capygod.com</t>
  </si>
  <si>
    <t>Colores1990</t>
  </si>
  <si>
    <t>Katherin Llanos</t>
  </si>
  <si>
    <t>310 7088894</t>
  </si>
  <si>
    <t>Santiago Nuñez</t>
  </si>
  <si>
    <t>310 7029927</t>
  </si>
  <si>
    <t>Valeria Hurtado</t>
  </si>
  <si>
    <t>Cra 12b</t>
  </si>
  <si>
    <t>Neiber</t>
  </si>
  <si>
    <t>317 7665437</t>
  </si>
  <si>
    <t>Juan Velez</t>
  </si>
  <si>
    <t>333 2633309</t>
  </si>
  <si>
    <t>Daniel Castillo</t>
  </si>
  <si>
    <t>Valentina Dusi</t>
  </si>
  <si>
    <t>320 8484552</t>
  </si>
  <si>
    <t>John Granada</t>
  </si>
  <si>
    <t>311 5246159</t>
  </si>
  <si>
    <t>naylag0144@vikingoplus.com</t>
  </si>
  <si>
    <t>cambio1717h</t>
  </si>
  <si>
    <t>Valentina Rodríguez</t>
  </si>
  <si>
    <t>300 2031064</t>
  </si>
  <si>
    <t>capyscb+chi013@gmail.com</t>
  </si>
  <si>
    <t>311 3355107</t>
  </si>
  <si>
    <t>Fernando</t>
  </si>
  <si>
    <t>322 5133213</t>
  </si>
  <si>
    <t>IPTV</t>
  </si>
  <si>
    <t>Juan Diego</t>
  </si>
  <si>
    <t>315 0740799</t>
  </si>
  <si>
    <t>Francisco Amigo David</t>
  </si>
  <si>
    <t>yung$now</t>
  </si>
  <si>
    <t>Maribel Garcia</t>
  </si>
  <si>
    <t>318 3154240</t>
  </si>
  <si>
    <t>cmabio444a</t>
  </si>
  <si>
    <t>5555</t>
  </si>
  <si>
    <t>Leidy</t>
  </si>
  <si>
    <t>315 0020857</t>
  </si>
  <si>
    <t>Samuel Anaya</t>
  </si>
  <si>
    <t>318 4528903</t>
  </si>
  <si>
    <t>StreamCell8021</t>
  </si>
  <si>
    <t>jthZxEypzN3w</t>
  </si>
  <si>
    <t>Miguel</t>
  </si>
  <si>
    <t>315 6013953</t>
  </si>
  <si>
    <t xml:space="preserve">Valentina </t>
  </si>
  <si>
    <t>312 2993990</t>
  </si>
  <si>
    <t>Julio Herrera</t>
  </si>
  <si>
    <t>302 5774780</t>
  </si>
  <si>
    <t>Juliocesarherrera</t>
  </si>
  <si>
    <t>Nani</t>
  </si>
  <si>
    <t>317 6023285</t>
  </si>
  <si>
    <t>Cristian</t>
  </si>
  <si>
    <t>302 2805554</t>
  </si>
  <si>
    <t>315 3861739</t>
  </si>
  <si>
    <t>Neifer</t>
  </si>
  <si>
    <t>315 4131730</t>
  </si>
  <si>
    <t>5Pg83Ap2rfNY</t>
  </si>
  <si>
    <t>Juan Navas</t>
  </si>
  <si>
    <t>314 7426458</t>
  </si>
  <si>
    <t>Streamcell8725</t>
  </si>
  <si>
    <t>Rodrigo</t>
  </si>
  <si>
    <t>301 5709359</t>
  </si>
  <si>
    <t>StreamCell2387</t>
  </si>
  <si>
    <t>P3KUc7ZNNEyf</t>
  </si>
  <si>
    <t>Kevin Alejandro Soles</t>
  </si>
  <si>
    <t>311 2212573</t>
  </si>
  <si>
    <t>Alexander Diaz</t>
  </si>
  <si>
    <t>315 4233659</t>
  </si>
  <si>
    <t>324 9296683</t>
  </si>
  <si>
    <t>Alexis Garcia</t>
  </si>
  <si>
    <t>316 6585300</t>
  </si>
  <si>
    <t>Efren Tabares</t>
  </si>
  <si>
    <t>318 6727989</t>
  </si>
  <si>
    <t>Brandon</t>
  </si>
  <si>
    <t>313 3212135</t>
  </si>
  <si>
    <t>310 8953692</t>
  </si>
  <si>
    <t xml:space="preserve"> 304 3163493</t>
  </si>
  <si>
    <t>Juanks</t>
  </si>
  <si>
    <t>321 7792908</t>
  </si>
  <si>
    <t>Karol Suárez</t>
  </si>
  <si>
    <t xml:space="preserve"> 316 1007831</t>
  </si>
  <si>
    <t>Juan Morales</t>
  </si>
  <si>
    <t>310 8950911</t>
  </si>
  <si>
    <t>mrssardauna1213@gmail.com</t>
  </si>
  <si>
    <t>cambio800%</t>
  </si>
  <si>
    <t>Luisa</t>
  </si>
  <si>
    <t>322 6765546</t>
  </si>
  <si>
    <t>304 4090542</t>
  </si>
  <si>
    <t>Doris Anaya</t>
  </si>
  <si>
    <t>321 4972217</t>
  </si>
  <si>
    <t>Monica</t>
  </si>
  <si>
    <t>315 6291412</t>
  </si>
  <si>
    <t>Sofi Quintero</t>
  </si>
  <si>
    <t>314 5895224</t>
  </si>
  <si>
    <t>Paola</t>
  </si>
  <si>
    <t>319 537399</t>
  </si>
  <si>
    <t>Fernando Valencia</t>
  </si>
  <si>
    <t>315 6438825</t>
  </si>
  <si>
    <t>Bethy Alvarez</t>
  </si>
  <si>
    <t>315 8854225</t>
  </si>
  <si>
    <t>digiplus69335@dgtprem.com</t>
  </si>
  <si>
    <t>cambio2323e</t>
  </si>
  <si>
    <t>3</t>
  </si>
  <si>
    <t>Melanie</t>
  </si>
  <si>
    <t>321 5759662</t>
  </si>
  <si>
    <t>Jhon Anthony</t>
  </si>
  <si>
    <t>302 5970433</t>
  </si>
  <si>
    <t>Cambio2025%</t>
  </si>
  <si>
    <t>320 6395496</t>
  </si>
  <si>
    <t>302 5918173</t>
  </si>
  <si>
    <t>Carolina Méndez</t>
  </si>
  <si>
    <t>302 6060024</t>
  </si>
  <si>
    <t>Dinanny</t>
  </si>
  <si>
    <t>Yonny Chaparro</t>
  </si>
  <si>
    <t>314 2299224</t>
  </si>
  <si>
    <t>Yonnyyarbey</t>
  </si>
  <si>
    <t>Loren Duque</t>
  </si>
  <si>
    <t>316 5122287</t>
  </si>
  <si>
    <t>retomosanus@gmail.com</t>
  </si>
  <si>
    <t>Amazon00@</t>
  </si>
  <si>
    <t>301 4430473</t>
  </si>
  <si>
    <t>Viviana Rivera</t>
  </si>
  <si>
    <t>314 6140956</t>
  </si>
  <si>
    <t>Yajaira Costa</t>
  </si>
  <si>
    <t>301 2822610</t>
  </si>
  <si>
    <t>cambio500%</t>
  </si>
  <si>
    <t>Sofía Morales</t>
  </si>
  <si>
    <t>314 7428113</t>
  </si>
  <si>
    <t>Walsh10@emailnoton.com</t>
  </si>
  <si>
    <t>cambio4400g</t>
  </si>
  <si>
    <t>Sebastian Pinillo</t>
  </si>
  <si>
    <t>311 7920683</t>
  </si>
  <si>
    <t>efectox024@prolivex2.com</t>
  </si>
  <si>
    <t>y37wc2pf</t>
  </si>
  <si>
    <t>perfil 3</t>
  </si>
  <si>
    <t>Julian Mora</t>
  </si>
  <si>
    <t>300 8152307</t>
  </si>
  <si>
    <t>sirPVIVN@servineira.com</t>
  </si>
  <si>
    <t>Dayan</t>
  </si>
  <si>
    <t>301 3078097</t>
  </si>
  <si>
    <t>Javier</t>
  </si>
  <si>
    <t>312 8601430</t>
  </si>
  <si>
    <t>Johan Duque</t>
  </si>
  <si>
    <t>316 4943963</t>
  </si>
  <si>
    <t>Yinneth</t>
  </si>
  <si>
    <t>320 5693425</t>
  </si>
  <si>
    <t>Vixlisuls@andrestream.pro</t>
  </si>
  <si>
    <t>Vix2024@</t>
  </si>
  <si>
    <t>Alex</t>
  </si>
  <si>
    <t>313 2972736</t>
  </si>
  <si>
    <t>Viviana</t>
  </si>
  <si>
    <t>324 6868603</t>
  </si>
  <si>
    <t>sumarezma19@hotmail.com</t>
  </si>
  <si>
    <t>Am893830</t>
  </si>
  <si>
    <t>perfil 6</t>
  </si>
  <si>
    <t>Darlin Tilano</t>
  </si>
  <si>
    <t>304 5764681</t>
  </si>
  <si>
    <t>benettys028@prolivex2.com</t>
  </si>
  <si>
    <t>j6c5w9pa</t>
  </si>
  <si>
    <t>Xiomara</t>
  </si>
  <si>
    <t>318 5086005</t>
  </si>
  <si>
    <t>Dayana Blandón</t>
  </si>
  <si>
    <t>315 3159491</t>
  </si>
  <si>
    <t>Carlos</t>
  </si>
  <si>
    <t>300 6485977</t>
  </si>
  <si>
    <t>Angela Sodia</t>
  </si>
  <si>
    <t>317 0924408</t>
  </si>
  <si>
    <t>marlenigomez6412+2@outlook.com</t>
  </si>
  <si>
    <t>Ewo94321</t>
  </si>
  <si>
    <t>9900</t>
  </si>
  <si>
    <t>Cristina</t>
  </si>
  <si>
    <t>312 2073147</t>
  </si>
  <si>
    <t>Majo</t>
  </si>
  <si>
    <t>324 3340249</t>
  </si>
  <si>
    <t>hbomaxjayi+jdt19@gmail.com</t>
  </si>
  <si>
    <t>Max000Pass</t>
  </si>
  <si>
    <t>misaellrojas374@gmail.com</t>
  </si>
  <si>
    <t xml:space="preserve">Amazon@@@ </t>
  </si>
  <si>
    <t>20000</t>
  </si>
  <si>
    <t xml:space="preserve">Karen Andrea Vallejo </t>
  </si>
  <si>
    <t>Sebastian Parraga</t>
  </si>
  <si>
    <t>318 3319179</t>
  </si>
  <si>
    <t>Sebastian.19071574</t>
  </si>
  <si>
    <t>txBb2NBvDndN</t>
  </si>
  <si>
    <t>Albertene</t>
  </si>
  <si>
    <t>323 3271750</t>
  </si>
  <si>
    <t>Vicente Cogollos</t>
  </si>
  <si>
    <t>317 4579805</t>
  </si>
  <si>
    <t>11000</t>
  </si>
  <si>
    <t>joseriox007+wms@gmail.com</t>
  </si>
  <si>
    <t>Prime5050</t>
  </si>
  <si>
    <t>Adriana Cruz</t>
  </si>
  <si>
    <t>321 4243689</t>
  </si>
  <si>
    <t>primevideojayi+ugacs@gmail.com</t>
  </si>
  <si>
    <t>Alejandra Gazca</t>
  </si>
  <si>
    <t>324 5691518</t>
  </si>
  <si>
    <t>Alejandra Valencia</t>
  </si>
  <si>
    <t>316 6076280</t>
  </si>
  <si>
    <t>indilla93@streamjoh.com</t>
  </si>
  <si>
    <t>octubre2024*</t>
  </si>
  <si>
    <t>301 8008386</t>
  </si>
  <si>
    <t>aguahielo10</t>
  </si>
  <si>
    <t>Alex Rivas</t>
  </si>
  <si>
    <t>316 4408805</t>
  </si>
  <si>
    <t>Aurora@capygod.com</t>
  </si>
  <si>
    <t>cambio1234</t>
  </si>
  <si>
    <t>5</t>
  </si>
  <si>
    <t>311 2562293</t>
  </si>
  <si>
    <t>Alexander Perez</t>
  </si>
  <si>
    <t>312 5696250</t>
  </si>
  <si>
    <t>comboplusjayi+flw04@gmail.com</t>
  </si>
  <si>
    <t>Ana</t>
  </si>
  <si>
    <t>310 3827335</t>
  </si>
  <si>
    <t>jdelusset.1bpse@fenixis.co</t>
  </si>
  <si>
    <t xml:space="preserve">DW475G12 </t>
  </si>
  <si>
    <t>Ana Moreno</t>
  </si>
  <si>
    <t>322 5796291</t>
  </si>
  <si>
    <t>qatar455@m0n4rca.com</t>
  </si>
  <si>
    <t>monarcdi2024</t>
  </si>
  <si>
    <t>Anderson Guierrez</t>
  </si>
  <si>
    <t>1616</t>
  </si>
  <si>
    <t>Andrea Correa</t>
  </si>
  <si>
    <t>320 5599513</t>
  </si>
  <si>
    <t>11111</t>
  </si>
  <si>
    <t>302 8497338</t>
  </si>
  <si>
    <t xml:space="preserve">verdesapo10 </t>
  </si>
  <si>
    <t>Andres Carreño</t>
  </si>
  <si>
    <t>350 6292786</t>
  </si>
  <si>
    <t>Andrés Felipe Melo</t>
  </si>
  <si>
    <t>301 5815873</t>
  </si>
  <si>
    <t>primevideojayi+aun51@gmail.com</t>
  </si>
  <si>
    <t>Prime8020</t>
  </si>
  <si>
    <t>Andres Pastrana</t>
  </si>
  <si>
    <t>316 6957786</t>
  </si>
  <si>
    <t>info12345@</t>
  </si>
  <si>
    <t>Angela Martinez</t>
  </si>
  <si>
    <t>312 3872426</t>
  </si>
  <si>
    <t>hbomaxsant+vala@gmail.com</t>
  </si>
  <si>
    <t>Hbomaxmes@</t>
  </si>
  <si>
    <t>Angie Karina</t>
  </si>
  <si>
    <t>311 8685882</t>
  </si>
  <si>
    <t>ewodigital13@outlook.com</t>
  </si>
  <si>
    <t>Ewoant795</t>
  </si>
  <si>
    <t>1122</t>
  </si>
  <si>
    <t>Arnold Pelaez</t>
  </si>
  <si>
    <t>311 3566582</t>
  </si>
  <si>
    <t>Axel</t>
  </si>
  <si>
    <t>324 3984664</t>
  </si>
  <si>
    <t>vix+42@infoedux.shop</t>
  </si>
  <si>
    <t xml:space="preserve">559845pmn </t>
  </si>
  <si>
    <t>Betzabeth</t>
  </si>
  <si>
    <t>310 5033255</t>
  </si>
  <si>
    <t>h51tio@jrstreaming.pro</t>
  </si>
  <si>
    <t>arroz5821*</t>
  </si>
  <si>
    <t>Brandon Gonzales</t>
  </si>
  <si>
    <t>316 4285943</t>
  </si>
  <si>
    <t>Lomas Viento</t>
  </si>
  <si>
    <t>Braulio</t>
  </si>
  <si>
    <t>322 2482954</t>
  </si>
  <si>
    <t>Brayan López</t>
  </si>
  <si>
    <t>321 4908496</t>
  </si>
  <si>
    <t>Claro Video</t>
  </si>
  <si>
    <t>diazantonella712@yahoo.com</t>
  </si>
  <si>
    <t xml:space="preserve">Tago9042 </t>
  </si>
  <si>
    <t xml:space="preserve">989379 </t>
  </si>
  <si>
    <t>Brayan Rodriguez</t>
  </si>
  <si>
    <t>324 2917332</t>
  </si>
  <si>
    <t>Camila Plazas</t>
  </si>
  <si>
    <t>312 6936889</t>
  </si>
  <si>
    <t>disney+aa05@infoedux.net</t>
  </si>
  <si>
    <t>carton01*</t>
  </si>
  <si>
    <t>Camilo Fonseca</t>
  </si>
  <si>
    <t>301 4627663</t>
  </si>
  <si>
    <t>comboplusjayi+g55dy@gmail.com</t>
  </si>
  <si>
    <t>Streaming2024</t>
  </si>
  <si>
    <t>Camilo Pavas</t>
  </si>
  <si>
    <t>ewodigital08@outlook.com</t>
  </si>
  <si>
    <t>Ewom4587</t>
  </si>
  <si>
    <t>3000</t>
  </si>
  <si>
    <t>Carlos Balcazar</t>
  </si>
  <si>
    <t>312 7698242</t>
  </si>
  <si>
    <t>Profenet</t>
  </si>
  <si>
    <t>profewindux0+immagazzinament@gmail.com</t>
  </si>
  <si>
    <t>info123</t>
  </si>
  <si>
    <t>Carlos Mora</t>
  </si>
  <si>
    <t>319 5825419</t>
  </si>
  <si>
    <t>ewodigitalp1@outlook.com</t>
  </si>
  <si>
    <t>Ewo15154</t>
  </si>
  <si>
    <t>2000</t>
  </si>
  <si>
    <t>Carlos Osorio</t>
  </si>
  <si>
    <t>312 8440322</t>
  </si>
  <si>
    <t>ewodigital71@gmail.com</t>
  </si>
  <si>
    <t>Ewod1111</t>
  </si>
  <si>
    <t>Carlos Toledo</t>
  </si>
  <si>
    <t>319 6156741</t>
  </si>
  <si>
    <t>t7857w@baqueramatoday.com</t>
  </si>
  <si>
    <t>CIELO1234+</t>
  </si>
  <si>
    <t>Carolina Urbina</t>
  </si>
  <si>
    <t>312 7960832</t>
  </si>
  <si>
    <t>vix+16@infoedux.shop</t>
  </si>
  <si>
    <t xml:space="preserve">JUE1210P </t>
  </si>
  <si>
    <t>Cesar Augusto</t>
  </si>
  <si>
    <t>302 3901385</t>
  </si>
  <si>
    <t>comboplusjayi+exk@gmail.com</t>
  </si>
  <si>
    <t>stream2002</t>
  </si>
  <si>
    <t>Claudia Realpe</t>
  </si>
  <si>
    <t>316 6836186</t>
  </si>
  <si>
    <t>Cris</t>
  </si>
  <si>
    <t>310 4372989</t>
  </si>
  <si>
    <t>maxada@andrestream.pro</t>
  </si>
  <si>
    <t xml:space="preserve">Max2024max </t>
  </si>
  <si>
    <t>Cristhian</t>
  </si>
  <si>
    <t>316 8333879</t>
  </si>
  <si>
    <t>313 7712834</t>
  </si>
  <si>
    <t>madridjony18@outlook.com</t>
  </si>
  <si>
    <t>Mega39487</t>
  </si>
  <si>
    <t>40400</t>
  </si>
  <si>
    <t>Cristian Hernandez</t>
  </si>
  <si>
    <t>300 7633543</t>
  </si>
  <si>
    <t>comboplusjayi+kky23521@gmail.com</t>
  </si>
  <si>
    <t>stream4855</t>
  </si>
  <si>
    <t>Daniel</t>
  </si>
  <si>
    <t>302 4125821</t>
  </si>
  <si>
    <t>da256427@gmail.com</t>
  </si>
  <si>
    <t>Daniel Sepulveda</t>
  </si>
  <si>
    <t>314 5434560</t>
  </si>
  <si>
    <t>max080@Infoedux.net</t>
  </si>
  <si>
    <t>Max@info324</t>
  </si>
  <si>
    <t>312 2879010</t>
  </si>
  <si>
    <t>KAKEPAW+GANT5972@ZOHOMAIL.COM</t>
  </si>
  <si>
    <t>computador301</t>
  </si>
  <si>
    <t>Daniela Lozada</t>
  </si>
  <si>
    <t>311 6722089</t>
  </si>
  <si>
    <t>David Lucho</t>
  </si>
  <si>
    <t>juandiosvivas+2@outlook.com</t>
  </si>
  <si>
    <t>Ewost33</t>
  </si>
  <si>
    <t>2020</t>
  </si>
  <si>
    <t>David Salas</t>
  </si>
  <si>
    <t>321 6487065</t>
  </si>
  <si>
    <t>meg.a.m.ovil.me.g.a@gmail.com</t>
  </si>
  <si>
    <t>Vixx89352</t>
  </si>
  <si>
    <t>Deimer</t>
  </si>
  <si>
    <t>300 7417303</t>
  </si>
  <si>
    <t>disneyplusjayi+00708@gmail.com</t>
  </si>
  <si>
    <t>Disney23*</t>
  </si>
  <si>
    <t>3344</t>
  </si>
  <si>
    <t>Deisy</t>
  </si>
  <si>
    <t>323 4770862</t>
  </si>
  <si>
    <t>Deivis Montes</t>
  </si>
  <si>
    <t>301 3989896</t>
  </si>
  <si>
    <t>Deivis Manuel Montes urueta</t>
  </si>
  <si>
    <t>Diana Ximena</t>
  </si>
  <si>
    <t>317 3593853</t>
  </si>
  <si>
    <t>COFT53401@N3TP2XY.COM</t>
  </si>
  <si>
    <t>mazorquita10*</t>
  </si>
  <si>
    <t>Diego Abril</t>
  </si>
  <si>
    <t>314 3163422</t>
  </si>
  <si>
    <t>comboplusjayi+ghfrt@gmail.com</t>
  </si>
  <si>
    <t>Dilan</t>
  </si>
  <si>
    <t>302 3378374</t>
  </si>
  <si>
    <t>h3lupita@yahoo.com</t>
  </si>
  <si>
    <t>Tago9045</t>
  </si>
  <si>
    <t xml:space="preserve">805570 </t>
  </si>
  <si>
    <t>Dimas</t>
  </si>
  <si>
    <t>317 8923927</t>
  </si>
  <si>
    <t>StremCell6534</t>
  </si>
  <si>
    <t>UvFtqDmcLpHt</t>
  </si>
  <si>
    <t>Duvan</t>
  </si>
  <si>
    <t>304 2491558</t>
  </si>
  <si>
    <t>Edier Ortega</t>
  </si>
  <si>
    <t>310 2409531</t>
  </si>
  <si>
    <t>Edwin M</t>
  </si>
  <si>
    <t>321 8163516</t>
  </si>
  <si>
    <t>VanesaCastro11s@hotmail.com</t>
  </si>
  <si>
    <t>Hola@123</t>
  </si>
  <si>
    <t>Emerson Trochez</t>
  </si>
  <si>
    <t>311 6275466</t>
  </si>
  <si>
    <t>tokyo@capygod.com</t>
  </si>
  <si>
    <t>Emilson Cossio</t>
  </si>
  <si>
    <t>315 7799657</t>
  </si>
  <si>
    <t>Xaviermorajeieb@hotmail.com</t>
  </si>
  <si>
    <t>luna1010</t>
  </si>
  <si>
    <t>Endrix</t>
  </si>
  <si>
    <t>314 3284419</t>
  </si>
  <si>
    <t>Enrique Pulido</t>
  </si>
  <si>
    <t>317 7964081</t>
  </si>
  <si>
    <t>Erika Ladino</t>
  </si>
  <si>
    <t>310 5340382</t>
  </si>
  <si>
    <t>valdosaopo10</t>
  </si>
  <si>
    <t>Esteban Soto</t>
  </si>
  <si>
    <t>302 7452939</t>
  </si>
  <si>
    <t>ewodigital17@outlook.com</t>
  </si>
  <si>
    <t>Ewopau193</t>
  </si>
  <si>
    <t>Eudaldo Gutierrez</t>
  </si>
  <si>
    <t>301 5590566</t>
  </si>
  <si>
    <t>comboplusjayi+r4db@gmail.com</t>
  </si>
  <si>
    <t>streaming550</t>
  </si>
  <si>
    <t>Eulises Martinez</t>
  </si>
  <si>
    <t>51 999 992 835</t>
  </si>
  <si>
    <t>profewindux0+armenschool@gmail.com</t>
  </si>
  <si>
    <t xml:space="preserve">info123 </t>
  </si>
  <si>
    <t>Fabian Esteban Diaz</t>
  </si>
  <si>
    <t>311 6347360</t>
  </si>
  <si>
    <t>comboplusjayi+juki8@gmail.com</t>
  </si>
  <si>
    <t>Streaming5162</t>
  </si>
  <si>
    <t>Fabian Ruiz</t>
  </si>
  <si>
    <t>300 3183025</t>
  </si>
  <si>
    <t>Fabián ruiz</t>
  </si>
  <si>
    <t>Fabgio11</t>
  </si>
  <si>
    <t>Felipe</t>
  </si>
  <si>
    <t>310 5322777</t>
  </si>
  <si>
    <t>313 7911964</t>
  </si>
  <si>
    <t>Gabriel Rodriguez</t>
  </si>
  <si>
    <t>316 9515550</t>
  </si>
  <si>
    <t>G-Gabriel</t>
  </si>
  <si>
    <t>Gabriel Torres</t>
  </si>
  <si>
    <t>305 7787462</t>
  </si>
  <si>
    <t>Gabo</t>
  </si>
  <si>
    <t>Geraldin Osorio</t>
  </si>
  <si>
    <t>315 4344268</t>
  </si>
  <si>
    <t>Giancarlos</t>
  </si>
  <si>
    <t>320 3593243</t>
  </si>
  <si>
    <t>Gina Macias</t>
  </si>
  <si>
    <t>320 4573395</t>
  </si>
  <si>
    <t>Ginamacias14</t>
  </si>
  <si>
    <t>Gustavo Arteaga</t>
  </si>
  <si>
    <t>320 7909835</t>
  </si>
  <si>
    <t>Harold Javier</t>
  </si>
  <si>
    <t>318 6616489</t>
  </si>
  <si>
    <t>Ivan</t>
  </si>
  <si>
    <t>310 6404725</t>
  </si>
  <si>
    <t>patriciaewo+1@outlook.com</t>
  </si>
  <si>
    <t>Ewo6655</t>
  </si>
  <si>
    <t>1717</t>
  </si>
  <si>
    <t>Jaider Yepes Granada</t>
  </si>
  <si>
    <t>320 5678333</t>
  </si>
  <si>
    <t>Jaideryepesgranada@gmail.com</t>
  </si>
  <si>
    <t>Jaime Rodriguez</t>
  </si>
  <si>
    <t>310 5627495</t>
  </si>
  <si>
    <t>Jairo Escorcia</t>
  </si>
  <si>
    <t>322 7007649</t>
  </si>
  <si>
    <t>hernandoacosta7879+2@outlook.com</t>
  </si>
  <si>
    <t>Ewo1199</t>
  </si>
  <si>
    <t>1000</t>
  </si>
  <si>
    <t>Jassir Contreras</t>
  </si>
  <si>
    <t>300 8057409</t>
  </si>
  <si>
    <t>j</t>
  </si>
  <si>
    <t>Javier Antonio González</t>
  </si>
  <si>
    <t>302 7434513</t>
  </si>
  <si>
    <t>Javier Muñoz</t>
  </si>
  <si>
    <t>311 6230841</t>
  </si>
  <si>
    <t>hbomaxjayi+flox585vb@gmail.com</t>
  </si>
  <si>
    <t>Ewomax3222</t>
  </si>
  <si>
    <t>2222</t>
  </si>
  <si>
    <t>Jefferson Castro</t>
  </si>
  <si>
    <t>stuardcastillo924@outlook.es</t>
  </si>
  <si>
    <t>sgtec1998747</t>
  </si>
  <si>
    <t>2200</t>
  </si>
  <si>
    <t>Jenifer Becerra</t>
  </si>
  <si>
    <t>316 2536723</t>
  </si>
  <si>
    <t>cahsnuevixm+vix797@gmail.com</t>
  </si>
  <si>
    <t xml:space="preserve">vix283 </t>
  </si>
  <si>
    <t>perfil 2</t>
  </si>
  <si>
    <t>Jesus Barbosa</t>
  </si>
  <si>
    <t>313 5510269</t>
  </si>
  <si>
    <t>Yisuscrith</t>
  </si>
  <si>
    <t>Jorge Daza</t>
  </si>
  <si>
    <t>310 6009581</t>
  </si>
  <si>
    <t>qqBIKcJSy@hotmail.com</t>
  </si>
  <si>
    <t xml:space="preserve">jamneys54554 </t>
  </si>
  <si>
    <t>Jorge Poveda</t>
  </si>
  <si>
    <t>301 2768565</t>
  </si>
  <si>
    <t>9000</t>
  </si>
  <si>
    <t>Jose Maestre</t>
  </si>
  <si>
    <t>304 3807328</t>
  </si>
  <si>
    <t>Comboplusjayi+nawi097@gmail.com</t>
  </si>
  <si>
    <t>stream2468</t>
  </si>
  <si>
    <t>Jose Pabon</t>
  </si>
  <si>
    <t>323 2808197</t>
  </si>
  <si>
    <t>301 5493192</t>
  </si>
  <si>
    <t>Juan David Cortés</t>
  </si>
  <si>
    <t>314 2742664</t>
  </si>
  <si>
    <t xml:space="preserve">Juan Esteban </t>
  </si>
  <si>
    <t>305 3662120</t>
  </si>
  <si>
    <t>Juan Herrera</t>
  </si>
  <si>
    <t>314 6616016</t>
  </si>
  <si>
    <t>mago1708cl@gmail.com</t>
  </si>
  <si>
    <t xml:space="preserve">cuenta2020 </t>
  </si>
  <si>
    <t>Juan Jose Peña</t>
  </si>
  <si>
    <t>315 9269562</t>
  </si>
  <si>
    <t>320 4881367</t>
  </si>
  <si>
    <t>primevideojayi+caze4@gmail.com</t>
  </si>
  <si>
    <t>Julian Torres</t>
  </si>
  <si>
    <t>324 6200237</t>
  </si>
  <si>
    <t>Julian Valencia</t>
  </si>
  <si>
    <t>321 6444246</t>
  </si>
  <si>
    <t>primevideojayi+ipd33@gmail.com</t>
  </si>
  <si>
    <t>Juliana</t>
  </si>
  <si>
    <t>302 4325653</t>
  </si>
  <si>
    <t>Soreth</t>
  </si>
  <si>
    <t>Julieth Céspedes</t>
  </si>
  <si>
    <t>320 5853420</t>
  </si>
  <si>
    <t>ewodigital03@hotmail.com</t>
  </si>
  <si>
    <t>Ewoad859</t>
  </si>
  <si>
    <t>Julieth Duque</t>
  </si>
  <si>
    <t>319 2577235</t>
  </si>
  <si>
    <t>Kevin Diaz</t>
  </si>
  <si>
    <t>314 4836203</t>
  </si>
  <si>
    <t>Kevin Restrepo</t>
  </si>
  <si>
    <t>315 3066657</t>
  </si>
  <si>
    <t>maryline.sciancalepore@extramember.com.co</t>
  </si>
  <si>
    <t>PVP968@</t>
  </si>
  <si>
    <t>Laura</t>
  </si>
  <si>
    <t>317 6225520</t>
  </si>
  <si>
    <t>claudiaacostaewo5@gmail.com</t>
  </si>
  <si>
    <t>Ewovis152</t>
  </si>
  <si>
    <t>6655</t>
  </si>
  <si>
    <t>Laura Bernal</t>
  </si>
  <si>
    <t>315 8217307</t>
  </si>
  <si>
    <t>Laura Montalvo</t>
  </si>
  <si>
    <t>321 5281451</t>
  </si>
  <si>
    <t>primevideojayi+gbh09@gmail.com</t>
  </si>
  <si>
    <t>15150</t>
  </si>
  <si>
    <t>Leal</t>
  </si>
  <si>
    <t>314 6666831</t>
  </si>
  <si>
    <t xml:space="preserve">Amazon@123 </t>
  </si>
  <si>
    <t>Liliana</t>
  </si>
  <si>
    <t>313 7569984</t>
  </si>
  <si>
    <t>ewodigital06@outlook.com</t>
  </si>
  <si>
    <t>Ewo6606</t>
  </si>
  <si>
    <t>Lizbany Nieva</t>
  </si>
  <si>
    <t>316 8592133</t>
  </si>
  <si>
    <t>Luis Claro</t>
  </si>
  <si>
    <t>319 5163926</t>
  </si>
  <si>
    <t>Luisa Palacio</t>
  </si>
  <si>
    <t>315 5170837</t>
  </si>
  <si>
    <t>ashitamijojip+VY23@gmail.com</t>
  </si>
  <si>
    <t>Vixz0221</t>
  </si>
  <si>
    <t>Manuel López B</t>
  </si>
  <si>
    <t>312 2975064</t>
  </si>
  <si>
    <t>Marco Castro</t>
  </si>
  <si>
    <t>304 5305293</t>
  </si>
  <si>
    <t>ewodigital05+2@hotmail.com</t>
  </si>
  <si>
    <t>Ewod5555</t>
  </si>
  <si>
    <t>Maria del mar lasso</t>
  </si>
  <si>
    <t>318 8906777</t>
  </si>
  <si>
    <t>Maria Fernanda</t>
  </si>
  <si>
    <t>312 8751325</t>
  </si>
  <si>
    <t>Angelamonth135746166@hotmail.com</t>
  </si>
  <si>
    <t>Maria paula</t>
  </si>
  <si>
    <t>310 4785099</t>
  </si>
  <si>
    <t>comboplusjayi+gerl4511@gmail.com</t>
  </si>
  <si>
    <t>stream2144</t>
  </si>
  <si>
    <t>María Pérez</t>
  </si>
  <si>
    <t>302 5074811</t>
  </si>
  <si>
    <t>María Robledo</t>
  </si>
  <si>
    <t>320 5259823</t>
  </si>
  <si>
    <t>Maca</t>
  </si>
  <si>
    <t>Mariana Sanchez</t>
  </si>
  <si>
    <t>tomex200018@prolivex2.com</t>
  </si>
  <si>
    <t>v4647o4b</t>
  </si>
  <si>
    <t>0009</t>
  </si>
  <si>
    <t>Mario</t>
  </si>
  <si>
    <t>316 5251387</t>
  </si>
  <si>
    <t>narplo87@hotmail.com</t>
  </si>
  <si>
    <t>Julio2024$</t>
  </si>
  <si>
    <t>30000</t>
  </si>
  <si>
    <t>Mario Deossa</t>
  </si>
  <si>
    <t>322 5062792</t>
  </si>
  <si>
    <t>ewodigital09+1@gmail.com</t>
  </si>
  <si>
    <t>Ewo0987</t>
  </si>
  <si>
    <t>Mario F</t>
  </si>
  <si>
    <t>Ewomax5555</t>
  </si>
  <si>
    <t>8880</t>
  </si>
  <si>
    <t>300 8586766</t>
  </si>
  <si>
    <t>Mauricio Diaz</t>
  </si>
  <si>
    <t>304 3433434</t>
  </si>
  <si>
    <t>primevideojayi+tikuc5@gmail.com</t>
  </si>
  <si>
    <t>Prime1212</t>
  </si>
  <si>
    <t>Mayuyis</t>
  </si>
  <si>
    <t>314 4465477</t>
  </si>
  <si>
    <t>pablogonzalez795+3@outlook.com</t>
  </si>
  <si>
    <t>Ewonet83</t>
  </si>
  <si>
    <t>0333</t>
  </si>
  <si>
    <t>Melquin</t>
  </si>
  <si>
    <t>324 5945212</t>
  </si>
  <si>
    <t>cinencasa11+kmk5S@zohomail.com</t>
  </si>
  <si>
    <t>Honksomd5@</t>
  </si>
  <si>
    <t>Michelle Sanchez</t>
  </si>
  <si>
    <t>317 8839318</t>
  </si>
  <si>
    <t xml:space="preserve"> cambio500%</t>
  </si>
  <si>
    <t>302 7871951</t>
  </si>
  <si>
    <t>jrjn7ZS4A@servineira.com</t>
  </si>
  <si>
    <t>Miguel Angel</t>
  </si>
  <si>
    <t>313 6519770</t>
  </si>
  <si>
    <t>Miguel Benavides</t>
  </si>
  <si>
    <t>315 4484611</t>
  </si>
  <si>
    <t>hbomaxsant+anyul@gmail.com</t>
  </si>
  <si>
    <t>Miguel Espinosa</t>
  </si>
  <si>
    <t>315 4407551</t>
  </si>
  <si>
    <t>miguelespinosa</t>
  </si>
  <si>
    <t>Miguel Molina</t>
  </si>
  <si>
    <t xml:space="preserve"> 305 8706814</t>
  </si>
  <si>
    <t>Nahual Martinez</t>
  </si>
  <si>
    <t>310 3721402</t>
  </si>
  <si>
    <t>Nancy Gonzales</t>
  </si>
  <si>
    <t>311 6179500</t>
  </si>
  <si>
    <t>317 7572342</t>
  </si>
  <si>
    <t>Natalia Gomez</t>
  </si>
  <si>
    <t>320 4562023</t>
  </si>
  <si>
    <t>Nataly</t>
  </si>
  <si>
    <t>311 4229299</t>
  </si>
  <si>
    <t>disneyplusjayi+vans@gmail.com</t>
  </si>
  <si>
    <t>Disneyplus000*</t>
  </si>
  <si>
    <t>Nathalia Gonzalez</t>
  </si>
  <si>
    <t>305 7505520</t>
  </si>
  <si>
    <t>Nath</t>
  </si>
  <si>
    <t>Nathalie</t>
  </si>
  <si>
    <t>312 2817360</t>
  </si>
  <si>
    <t>jefewo58+1@gmail.com</t>
  </si>
  <si>
    <t>Ewonet65</t>
  </si>
  <si>
    <t>Nicol Guerrero</t>
  </si>
  <si>
    <t>318 8308021</t>
  </si>
  <si>
    <t>tomex200016@prolivex2.com</t>
  </si>
  <si>
    <t>et25spp5</t>
  </si>
  <si>
    <t>7777</t>
  </si>
  <si>
    <t>Nicolas Ibarra</t>
  </si>
  <si>
    <t>317 0054296</t>
  </si>
  <si>
    <t>ENCRATY1625@PODATAFE.COM</t>
  </si>
  <si>
    <t>KY7425</t>
  </si>
  <si>
    <t>Nolkis Garcia</t>
  </si>
  <si>
    <t>300 8234790</t>
  </si>
  <si>
    <t>primevideojayi+kul24@gmail.com</t>
  </si>
  <si>
    <t>Orlando Villegas</t>
  </si>
  <si>
    <t>312 8630322</t>
  </si>
  <si>
    <t>villegas.orlando</t>
  </si>
  <si>
    <t>Oscar</t>
  </si>
  <si>
    <t>22000</t>
  </si>
  <si>
    <t>Pablo</t>
  </si>
  <si>
    <t>311 8545379</t>
  </si>
  <si>
    <t>ewodigital01@gmail.com</t>
  </si>
  <si>
    <t>Merci01</t>
  </si>
  <si>
    <t>Pablo 1980</t>
  </si>
  <si>
    <t>318 8025886</t>
  </si>
  <si>
    <t>cardonaxw@gmail.com</t>
  </si>
  <si>
    <t>Paula Triana</t>
  </si>
  <si>
    <t>324 3702469</t>
  </si>
  <si>
    <t>Paulina Chaverra</t>
  </si>
  <si>
    <t>317 4965298</t>
  </si>
  <si>
    <t>Revendedor P</t>
  </si>
  <si>
    <t>304 5782327</t>
  </si>
  <si>
    <t>Rose</t>
  </si>
  <si>
    <t>315 3486500</t>
  </si>
  <si>
    <t>2233</t>
  </si>
  <si>
    <t>Samu Primo</t>
  </si>
  <si>
    <t>313 7350957</t>
  </si>
  <si>
    <t>Sandra Milena Porras</t>
  </si>
  <si>
    <t>302 8638467</t>
  </si>
  <si>
    <t>primevideojayi+kgj01@gmail.com</t>
  </si>
  <si>
    <t>Prime4522</t>
  </si>
  <si>
    <t>Santiago Ruiz</t>
  </si>
  <si>
    <t>302 7610047</t>
  </si>
  <si>
    <t>crunchybaqscaglia@baqueramatoday.com</t>
  </si>
  <si>
    <t>crema2020</t>
  </si>
  <si>
    <t>318 2789482</t>
  </si>
  <si>
    <t>ewodigital02+2@hotmail.com</t>
  </si>
  <si>
    <t>Ewohz569</t>
  </si>
  <si>
    <t xml:space="preserve">Sara </t>
  </si>
  <si>
    <t>321 7868546</t>
  </si>
  <si>
    <t>inspiracion@capymax.com</t>
  </si>
  <si>
    <t>mega11#</t>
  </si>
  <si>
    <t>Sebas Okmpo</t>
  </si>
  <si>
    <t>317 5737265</t>
  </si>
  <si>
    <t>Sebastian Foronda</t>
  </si>
  <si>
    <t>314 8461943</t>
  </si>
  <si>
    <t>http://xyz.lattv.com.co:25461</t>
  </si>
  <si>
    <t>prlexploore10</t>
  </si>
  <si>
    <t>Sebastian Ocampo</t>
  </si>
  <si>
    <t>hbomaxjayi+kof31@gmail.com</t>
  </si>
  <si>
    <t>Ewomax1234</t>
  </si>
  <si>
    <t>1100</t>
  </si>
  <si>
    <t>Shirly</t>
  </si>
  <si>
    <t>312 6183780</t>
  </si>
  <si>
    <t>Stefanny</t>
  </si>
  <si>
    <t>302 4226135</t>
  </si>
  <si>
    <t>cr017az@gmail.com</t>
  </si>
  <si>
    <t>cuentas2024</t>
  </si>
  <si>
    <t>Tania</t>
  </si>
  <si>
    <t>321 4275013</t>
  </si>
  <si>
    <t>primevideojayi+obq97@gmail.com</t>
  </si>
  <si>
    <t>88888</t>
  </si>
  <si>
    <t>Tatiana Angulo</t>
  </si>
  <si>
    <t>cf2688@border2.com</t>
  </si>
  <si>
    <t>principal@17</t>
  </si>
  <si>
    <t>Tatiana Melo</t>
  </si>
  <si>
    <t>305 4007323</t>
  </si>
  <si>
    <t>Valentina Fernández</t>
  </si>
  <si>
    <t>312 6110586</t>
  </si>
  <si>
    <t>ewodigital06+2@outlook.com</t>
  </si>
  <si>
    <t>Ewonet9900</t>
  </si>
  <si>
    <t>4545</t>
  </si>
  <si>
    <t>320 4496506</t>
  </si>
  <si>
    <t>luisamariaharo@outlook.com</t>
  </si>
  <si>
    <t>Ewod1132</t>
  </si>
  <si>
    <t>Valeria Valencia</t>
  </si>
  <si>
    <t>300 7536709</t>
  </si>
  <si>
    <t>comboplusjayi+tg6f@gmail.com</t>
  </si>
  <si>
    <t>stream1515</t>
  </si>
  <si>
    <t>Vannesa</t>
  </si>
  <si>
    <t>300 7629359</t>
  </si>
  <si>
    <t>301 3482865</t>
  </si>
  <si>
    <t>Victor Manuel</t>
  </si>
  <si>
    <t>310 7093978</t>
  </si>
  <si>
    <t>streamcell48@gmail.com</t>
  </si>
  <si>
    <t>William</t>
  </si>
  <si>
    <t>302 7008135</t>
  </si>
  <si>
    <t>univallemetalfest@gmail.com</t>
  </si>
  <si>
    <t>JulianOP</t>
  </si>
  <si>
    <t>Willinton tovar</t>
  </si>
  <si>
    <t>320 9871092</t>
  </si>
  <si>
    <t>paulimendez2512@outlook.com</t>
  </si>
  <si>
    <t>Ewonet26</t>
  </si>
  <si>
    <t>Wilmar</t>
  </si>
  <si>
    <t>320 3979918</t>
  </si>
  <si>
    <t>Wilter Gonzales</t>
  </si>
  <si>
    <t>317 3514151</t>
  </si>
  <si>
    <t>Yanira Barrantes</t>
  </si>
  <si>
    <t>311 3692747</t>
  </si>
  <si>
    <t>daniel1726332@outlook.com</t>
  </si>
  <si>
    <t>Yei Valega</t>
  </si>
  <si>
    <t>323 2883657</t>
  </si>
  <si>
    <t>Yeimy Riveros</t>
  </si>
  <si>
    <t>320 3266206</t>
  </si>
  <si>
    <t>DE.NU161+HSC52@KY2B3DUX.COM</t>
  </si>
  <si>
    <t>portatil301</t>
  </si>
  <si>
    <t>2</t>
  </si>
  <si>
    <t>Felipe Hurtado</t>
  </si>
  <si>
    <t>319 6637008</t>
  </si>
  <si>
    <t>Felipe Hurtado Gonzales</t>
  </si>
  <si>
    <t>Nathalia Caicedo</t>
  </si>
  <si>
    <t>317 5186492</t>
  </si>
  <si>
    <t>4</t>
  </si>
  <si>
    <t>Fernando Parra</t>
  </si>
  <si>
    <t>320 7479883</t>
  </si>
  <si>
    <t xml:space="preserve">Mario Orlando </t>
  </si>
  <si>
    <t>350 2386260</t>
  </si>
  <si>
    <t>305 3315176</t>
  </si>
  <si>
    <t>Relojj82xd@outlook.com</t>
  </si>
  <si>
    <t>Maria Alejandra</t>
  </si>
  <si>
    <t>317 5522787</t>
  </si>
  <si>
    <t>Lisboa238@capymax.com</t>
  </si>
  <si>
    <t>Miguel Angel Orozco</t>
  </si>
  <si>
    <t>312 8461637</t>
  </si>
  <si>
    <t>Carmen Aguirre</t>
  </si>
  <si>
    <t>321 7109364</t>
  </si>
  <si>
    <t>Mónica</t>
  </si>
  <si>
    <t>312 2614025</t>
  </si>
  <si>
    <t>Jhon Marin</t>
  </si>
  <si>
    <t>316 6537726</t>
  </si>
  <si>
    <t>Camila</t>
  </si>
  <si>
    <t>311 7849932</t>
  </si>
  <si>
    <t>John</t>
  </si>
  <si>
    <t>311 3112650</t>
  </si>
  <si>
    <t>capyscb+chi063@gmail.com</t>
  </si>
  <si>
    <t>cambio700%</t>
  </si>
  <si>
    <t>313 7624839</t>
  </si>
  <si>
    <t>Maricela</t>
  </si>
  <si>
    <t>capyscb+mak069@gmail.com</t>
  </si>
  <si>
    <t>cambio900%</t>
  </si>
  <si>
    <t>Helkin</t>
  </si>
  <si>
    <t>312 4465497</t>
  </si>
  <si>
    <t>Jhon Fredy</t>
  </si>
  <si>
    <t>321 2007095</t>
  </si>
  <si>
    <t>Carmen Cecilia</t>
  </si>
  <si>
    <t>324 6857872</t>
  </si>
  <si>
    <t>Cambio500%</t>
  </si>
  <si>
    <t>Angel</t>
  </si>
  <si>
    <t>315 6062208</t>
  </si>
  <si>
    <t>323 8056374</t>
  </si>
  <si>
    <t>Yeimy Paola</t>
  </si>
  <si>
    <t>302 2715946</t>
  </si>
  <si>
    <t>Lady</t>
  </si>
  <si>
    <t>316 6953599</t>
  </si>
  <si>
    <t>314 7312167</t>
  </si>
  <si>
    <t>Angeles</t>
  </si>
  <si>
    <t xml:space="preserve"> 310 7146299</t>
  </si>
  <si>
    <t>Luisa Hurtado</t>
  </si>
  <si>
    <t>314 6119923</t>
  </si>
  <si>
    <t>María Paz</t>
  </si>
  <si>
    <t>322 5274663</t>
  </si>
  <si>
    <t>Andrews Arepas</t>
  </si>
  <si>
    <t>305 3167842</t>
  </si>
  <si>
    <t>Miguel Giron</t>
  </si>
  <si>
    <t>301 4274233</t>
  </si>
  <si>
    <t>Adriana Lucumi</t>
  </si>
  <si>
    <t>314 8403500</t>
  </si>
  <si>
    <t>Alejandra</t>
  </si>
  <si>
    <t>315 7235057</t>
  </si>
  <si>
    <t>Jessica Cardona</t>
  </si>
  <si>
    <t>312 2528279</t>
  </si>
  <si>
    <t>305 2850447</t>
  </si>
  <si>
    <t>Yenny Torres</t>
  </si>
  <si>
    <t>301 7529168</t>
  </si>
  <si>
    <t>Ana Maria</t>
  </si>
  <si>
    <t>315 8456748</t>
  </si>
  <si>
    <t xml:space="preserve">Edwin Uribe </t>
  </si>
  <si>
    <t>Arturo</t>
  </si>
  <si>
    <t>305 3426747</t>
  </si>
  <si>
    <t>FECHA</t>
  </si>
  <si>
    <t>DETALLE</t>
  </si>
  <si>
    <t>COSTO</t>
  </si>
  <si>
    <t>VENTA</t>
  </si>
  <si>
    <t>GANANCIA</t>
  </si>
  <si>
    <t>Suma de GANANCIA</t>
  </si>
  <si>
    <t>Suma de VENTA</t>
  </si>
  <si>
    <t xml:space="preserve">Crunchyroll </t>
  </si>
  <si>
    <t>(en blanco)</t>
  </si>
  <si>
    <t>Canva</t>
  </si>
  <si>
    <t>Total general</t>
  </si>
  <si>
    <t>YouTube</t>
  </si>
  <si>
    <t>GamePass</t>
  </si>
  <si>
    <t>Directv</t>
  </si>
  <si>
    <t>Chatgpt</t>
  </si>
  <si>
    <t>Primevideo</t>
  </si>
  <si>
    <t>DirectvOro</t>
  </si>
  <si>
    <t>Office 365</t>
  </si>
  <si>
    <t>GeminiIA</t>
  </si>
  <si>
    <t>MES</t>
  </si>
  <si>
    <t>VALOR</t>
  </si>
  <si>
    <t>Suma de VALOR</t>
  </si>
  <si>
    <t>COMPRAS NEGOCIO</t>
  </si>
  <si>
    <t>PUBLICIDAD</t>
  </si>
  <si>
    <t>enero</t>
  </si>
  <si>
    <t>Datos Celular</t>
  </si>
  <si>
    <t>Ipad 9</t>
  </si>
  <si>
    <t>SPOTIFY</t>
  </si>
  <si>
    <t>Total enero</t>
  </si>
  <si>
    <t>BOLETAS</t>
  </si>
  <si>
    <t>marzo</t>
  </si>
  <si>
    <t>PRESTAMO LICENCIA CONDUCCION</t>
  </si>
  <si>
    <t>Total marzo</t>
  </si>
  <si>
    <t>DOMICILIO</t>
  </si>
  <si>
    <t>julio</t>
  </si>
  <si>
    <t>COMIDA</t>
  </si>
  <si>
    <t>DEUDA</t>
  </si>
  <si>
    <t>RECUPERACION</t>
  </si>
  <si>
    <t>Total julio</t>
  </si>
  <si>
    <t>agosto</t>
  </si>
  <si>
    <t>Camisa</t>
  </si>
  <si>
    <t>esponjas</t>
  </si>
  <si>
    <t>Prestamo Dar</t>
  </si>
  <si>
    <t>Falda</t>
  </si>
  <si>
    <t xml:space="preserve">PRESTAMO   </t>
  </si>
  <si>
    <t>Licra Gym</t>
  </si>
  <si>
    <t>Pilas</t>
  </si>
  <si>
    <t>Prestamo Pencil</t>
  </si>
  <si>
    <t>Youtube Premium</t>
  </si>
  <si>
    <t>Total agosto</t>
  </si>
  <si>
    <t>septiembre</t>
  </si>
  <si>
    <t>IPTV 10 CRDTOS</t>
  </si>
  <si>
    <t>Total septiembre</t>
  </si>
  <si>
    <t>octubre</t>
  </si>
  <si>
    <t>Total octubre</t>
  </si>
  <si>
    <t>noviembre</t>
  </si>
  <si>
    <t>Total noviembre</t>
  </si>
  <si>
    <t>diciembre</t>
  </si>
  <si>
    <t>Total diciembre</t>
  </si>
  <si>
    <t>GASTOS</t>
  </si>
  <si>
    <t>GANANCIA FINAL</t>
  </si>
  <si>
    <t>CUENTA</t>
  </si>
  <si>
    <t>GANANCIA ACUMULADA</t>
  </si>
  <si>
    <t>AHORROS</t>
  </si>
  <si>
    <t>FAC MOVISTAR</t>
  </si>
  <si>
    <t>COLCHON</t>
  </si>
  <si>
    <t>BASE</t>
  </si>
  <si>
    <t>Contraseña</t>
  </si>
  <si>
    <t>Perfil 1</t>
  </si>
  <si>
    <t>Perfil 2</t>
  </si>
  <si>
    <t>Perfil 3</t>
  </si>
  <si>
    <t>Perfil 4</t>
  </si>
  <si>
    <t>Perfil 5</t>
  </si>
  <si>
    <t>Proximo Vencimiento</t>
  </si>
  <si>
    <t>NETFLIXPRO5739@digilpro.com</t>
  </si>
  <si>
    <t>cambio0909*</t>
  </si>
  <si>
    <t>Tina</t>
  </si>
  <si>
    <t xml:space="preserve">Juan Polanco - </t>
  </si>
  <si>
    <t>william@capygod.com</t>
  </si>
  <si>
    <t>anionuev0</t>
  </si>
  <si>
    <t xml:space="preserve">Mariana </t>
  </si>
  <si>
    <t>jacquelinemontserrat@vikicol.com</t>
  </si>
  <si>
    <t>cambio7834</t>
  </si>
  <si>
    <t xml:space="preserve"> Karol Carvajal</t>
  </si>
  <si>
    <t>cambio000w</t>
  </si>
  <si>
    <t>Anionuev0p</t>
  </si>
  <si>
    <t>si</t>
  </si>
  <si>
    <t>Alma@capygod.com</t>
  </si>
  <si>
    <t>anionuev09</t>
  </si>
  <si>
    <t>athens@capygod.com</t>
  </si>
  <si>
    <t>Cambio00x</t>
  </si>
  <si>
    <t xml:space="preserve"> - Maria Jose</t>
  </si>
  <si>
    <t>ipccx@janstore.xyz</t>
  </si>
  <si>
    <t>Cambio1212*</t>
  </si>
  <si>
    <t>Reyes</t>
  </si>
  <si>
    <t>Laura Velez</t>
  </si>
  <si>
    <t>Andes@capygod.com</t>
  </si>
  <si>
    <t>Cambio2165</t>
  </si>
  <si>
    <t>netflixmaxpro33@gmail.com</t>
  </si>
  <si>
    <t>Anionuev011</t>
  </si>
  <si>
    <t>Gira</t>
  </si>
  <si>
    <t>netflixmaxpro181@gmail.com</t>
  </si>
  <si>
    <t>saraNoguera</t>
  </si>
  <si>
    <t>Mama</t>
  </si>
  <si>
    <t>Papa</t>
  </si>
  <si>
    <t>Tio Jose</t>
  </si>
  <si>
    <t>Eidrian</t>
  </si>
  <si>
    <t>Netflix tipo 2</t>
  </si>
  <si>
    <t>netflixmaxpro4@gmail.com</t>
  </si>
  <si>
    <t>Cambio3003j</t>
  </si>
  <si>
    <t xml:space="preserve">Gabriela Martinez </t>
  </si>
  <si>
    <t>Carlos Romero -  Ayda Milena</t>
  </si>
  <si>
    <t>Jhon López</t>
  </si>
  <si>
    <t>Tio Mauro</t>
  </si>
  <si>
    <t>Susan - David Lopez</t>
  </si>
  <si>
    <t>sdne.t.f.li.x.p.ane.l2.02.6@gmail.com</t>
  </si>
  <si>
    <t>Cambio2002l</t>
  </si>
  <si>
    <t>Sara - Catalina</t>
  </si>
  <si>
    <t>sdne.t.f.l.i.x.p.anel.202.6@gmail.com</t>
  </si>
  <si>
    <t>Roshy - Primo santi</t>
  </si>
  <si>
    <t>sdne.t.f.l.i.x.p.anel2.02.6@gmail.com</t>
  </si>
  <si>
    <t>luis arcila</t>
  </si>
  <si>
    <t>Mayra Yela</t>
  </si>
  <si>
    <t>Perfil 6</t>
  </si>
  <si>
    <t>JuliaMoore214386@hotmail.com</t>
  </si>
  <si>
    <t>disney1010</t>
  </si>
  <si>
    <t>Jahir</t>
  </si>
  <si>
    <t>Gabriela vargas</t>
  </si>
  <si>
    <t>Perfil 7</t>
  </si>
  <si>
    <t>capyscb+chi020@gmail.com</t>
  </si>
  <si>
    <t xml:space="preserve">Cambio2002e </t>
  </si>
  <si>
    <t>capyscb+ciu13@capydisney.com</t>
  </si>
  <si>
    <t xml:space="preserve">Juan camilo </t>
  </si>
  <si>
    <t>Capyscb+ciu30@gmail.com</t>
  </si>
  <si>
    <t>cambio8999P</t>
  </si>
  <si>
    <t>Primo</t>
  </si>
  <si>
    <t>osvaldomendez09@vikingostr.com</t>
  </si>
  <si>
    <t>unjo87pm*lo</t>
  </si>
  <si>
    <t>David López</t>
  </si>
  <si>
    <t>vikingostream+vpb49@gmail.com</t>
  </si>
  <si>
    <t>Cambio1616l</t>
  </si>
  <si>
    <t>Eladio Andres</t>
  </si>
  <si>
    <t>Natalia Escobar</t>
  </si>
  <si>
    <t xml:space="preserve">     </t>
  </si>
  <si>
    <t>Cuenta</t>
  </si>
  <si>
    <t>contrseña spotify</t>
  </si>
  <si>
    <t>Direccion</t>
  </si>
  <si>
    <t>streamcell667@gmail.com</t>
  </si>
  <si>
    <t>str34mc3l/</t>
  </si>
  <si>
    <t>v4l3nt1n40</t>
  </si>
  <si>
    <t>Cra. 12b #56-1, Comuna 8, Cali, Valle del Cauca, Colombia</t>
  </si>
  <si>
    <t>18 DE CADA MES</t>
  </si>
  <si>
    <t>ACTIVO</t>
  </si>
  <si>
    <t>andresnitolamoreno@gmail.com</t>
  </si>
  <si>
    <t>Cra. 12b #56-21, Comuna 8, Cali, Valle del Cauca, Colombia</t>
  </si>
  <si>
    <t>23 DE CADA MES</t>
  </si>
  <si>
    <t>Cra. 12b #56-30, Comuna 8, Cali, Valle del Cauca, Colombia</t>
  </si>
  <si>
    <t>29 DE CADA MES</t>
  </si>
  <si>
    <t>DESACTIVADO</t>
  </si>
  <si>
    <t>emilcea@hotmail.com</t>
  </si>
  <si>
    <t>Isamore1951</t>
  </si>
  <si>
    <t>Cra. 12b #56-7, Comuna 8, Cali, Valle del Cauca, Colombia</t>
  </si>
  <si>
    <t>valentinanitola</t>
  </si>
  <si>
    <t>Cra. 12b #56-19, Comuna 8, Cali, Valle del Cauca, Colombia</t>
  </si>
  <si>
    <t>17 DE CADA MES</t>
  </si>
  <si>
    <t>streamcell00@gmail.com</t>
  </si>
  <si>
    <t>Cra. 12b, Comuna 8, Cali, Valle del Cauca, Colombia</t>
  </si>
  <si>
    <t>25 DE CADA MES</t>
  </si>
  <si>
    <t>FAC CLARO</t>
  </si>
  <si>
    <t/>
  </si>
  <si>
    <t>Papá debe</t>
  </si>
  <si>
    <t>Brandon debe</t>
  </si>
  <si>
    <t>Carola</t>
  </si>
  <si>
    <t>Papa debe</t>
  </si>
  <si>
    <t>Plan cumpleaños</t>
  </si>
  <si>
    <t>Gastos</t>
  </si>
  <si>
    <t>Perritos</t>
  </si>
  <si>
    <t>Alojamiento</t>
  </si>
  <si>
    <t>Viaje</t>
  </si>
  <si>
    <t>arepas</t>
  </si>
  <si>
    <t>Comida</t>
  </si>
  <si>
    <t>Datos</t>
  </si>
  <si>
    <t>Decoracion</t>
  </si>
  <si>
    <t>RockCity</t>
  </si>
  <si>
    <t xml:space="preserve">Chorizo </t>
  </si>
  <si>
    <t>Aguacate</t>
  </si>
  <si>
    <t>amazon</t>
  </si>
  <si>
    <t>tienda</t>
  </si>
  <si>
    <t>escojo</t>
  </si>
  <si>
    <t>chasis</t>
  </si>
  <si>
    <t>ram</t>
  </si>
  <si>
    <t>m.2</t>
  </si>
  <si>
    <t>procesador</t>
  </si>
  <si>
    <t>total</t>
  </si>
  <si>
    <t>tengo</t>
  </si>
  <si>
    <t>trabajo</t>
  </si>
  <si>
    <t>pago en sep</t>
  </si>
  <si>
    <t>total julio</t>
  </si>
  <si>
    <t>prestamo</t>
  </si>
  <si>
    <t>Procesador</t>
  </si>
  <si>
    <t>Me prestaron</t>
  </si>
  <si>
    <t>Deuda</t>
  </si>
  <si>
    <t>Abono 1</t>
  </si>
  <si>
    <t>Abono 2</t>
  </si>
  <si>
    <t>Navidad</t>
  </si>
  <si>
    <t>MC donald</t>
  </si>
  <si>
    <t>Tío Mauro</t>
  </si>
  <si>
    <t>Nequi</t>
  </si>
  <si>
    <t>Saldo</t>
  </si>
  <si>
    <t>Netflix Gmail</t>
  </si>
  <si>
    <t>Netflix merca</t>
  </si>
  <si>
    <t>Cantida</t>
  </si>
  <si>
    <t>Dias Restantes</t>
  </si>
  <si>
    <t>Valor</t>
  </si>
  <si>
    <t>stassyns@lobosite.com</t>
  </si>
  <si>
    <t>Total</t>
  </si>
  <si>
    <t>Diferencia</t>
  </si>
  <si>
    <t>carflix80227@digitalctg.com</t>
  </si>
  <si>
    <t>Perdida</t>
  </si>
  <si>
    <t xml:space="preserve">Me subieron </t>
  </si>
  <si>
    <t>Cuentas Netflix</t>
  </si>
  <si>
    <t>streamcellv1</t>
  </si>
  <si>
    <t>lG178U@;^O&amp;9__f</t>
  </si>
  <si>
    <t>streamcellv2</t>
  </si>
  <si>
    <t>pA@!j(638#V4*/M</t>
  </si>
  <si>
    <t>kititomixd</t>
  </si>
  <si>
    <t>estrellas0</t>
  </si>
  <si>
    <t>entretenimiento.mas1234</t>
  </si>
  <si>
    <t>streamcell00</t>
  </si>
  <si>
    <t>streamcell667</t>
  </si>
  <si>
    <t>matheostreamcell</t>
  </si>
  <si>
    <t>Y5.//2Oh,L95</t>
  </si>
  <si>
    <t>Producto</t>
  </si>
  <si>
    <t>Precio Venta</t>
  </si>
  <si>
    <t>NetflixCompleta</t>
  </si>
  <si>
    <t>Netflix1 pantalla</t>
  </si>
  <si>
    <t>Netflix2 pantallas</t>
  </si>
  <si>
    <t>Netflix3 pantallas</t>
  </si>
  <si>
    <t>PrimeVideo1 pantalla</t>
  </si>
  <si>
    <t>PrimeVideoCompleta</t>
  </si>
  <si>
    <t>HBO1 pantalla</t>
  </si>
  <si>
    <t>DisneyE1 pantalla</t>
  </si>
  <si>
    <t>DisneyP1 pantalla</t>
  </si>
  <si>
    <t>Crunchyroll1 pantalla</t>
  </si>
  <si>
    <t>Vix1 pantalla</t>
  </si>
  <si>
    <t>Apple tv</t>
  </si>
  <si>
    <t>MagisTv1 pantalla</t>
  </si>
  <si>
    <t>IPTVCompleta</t>
  </si>
  <si>
    <t>Profenet1 pantalla</t>
  </si>
  <si>
    <t>IPTV1 pantalla</t>
  </si>
  <si>
    <t>Directv GO1 pantalla</t>
  </si>
  <si>
    <t>Claro Video1 pantalla</t>
  </si>
  <si>
    <t>Plex1 pantalla</t>
  </si>
  <si>
    <t>Duolingo</t>
  </si>
  <si>
    <t>3 pantallas</t>
  </si>
  <si>
    <t>MagisTv</t>
  </si>
  <si>
    <t>Plex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</si>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</sst>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2">
    <numFmt numFmtId="43" formatCode="_-* #,##0.00_-;\-* #,##0.00_-;_-* &quot;-&quot;??_-;_-@_-"/>
    <numFmt numFmtId="164" formatCode="_-&quot;$&quot;\ * #,##0.00_-;\-&quot;$&quot;\ * #,##0.00_-;_-&quot;$&quot;\ * &quot;-&quot;??_-;_-@_-"/>
    <numFmt numFmtId="165" formatCode="_(&quot;$&quot;* #,##0_);_(&quot;$&quot;* \(#,##0\);_(&quot;$&quot;* &quot;-&quot;_);_(@_)"/>
    <numFmt numFmtId="166" formatCode="_-&quot;$&quot;\ * #,##0_-;\-&quot;$&quot;\ * #,##0_-;_-&quot;$&quot;\ * &quot;-&quot;_-;_-@"/>
    <numFmt numFmtId="167" formatCode="[$$]#,##0"/>
    <numFmt numFmtId="168" formatCode="d/m/yyyy"/>
    <numFmt numFmtId="169" formatCode="d/m/yy"/>
    <numFmt numFmtId="170" formatCode="mm"/>
    <numFmt numFmtId="171" formatCode="_-* #,##0_-;\-* #,##0_-;_-* &quot;-&quot;_-;_-@"/>
    <numFmt numFmtId="172" formatCode="#,##0_ ;[Red]\-#,##0\ "/>
    <numFmt numFmtId="173" formatCode="_-* #,##0_-;\-* #,##0_-;_-* &quot;-&quot;??_-;_-@_-"/>
    <numFmt numFmtId="174" formatCode="_-&quot;$&quot;\ * #,##0_-;\-&quot;$&quot;\ * #,##0_-;_-&quot;$&quot;\ * &quot;-&quot;??_-;_-@_-"/>
  </numFmts>
  <fonts count="26">
    <font>
      <sz val="10"/>
      <color rgb="FF000000"/>
      <name val="Arial"/>
      <scheme val="minor"/>
    </font>
    <font>
      <b/>
      <sz val="10"/>
      <color theme="1"/>
      <name val="Arial"/>
      <family val="2"/>
    </font>
    <font>
      <sz val="10"/>
      <color rgb="FF000000"/>
      <name val="Arial"/>
      <family val="2"/>
    </font>
    <font>
      <sz val="10"/>
      <color theme="1"/>
      <name val="Arial"/>
      <family val="2"/>
    </font>
    <font>
      <sz val="10"/>
      <color theme="10"/>
      <name val="Arial"/>
      <family val="2"/>
    </font>
    <font>
      <u/>
      <sz val="10"/>
      <color theme="10"/>
      <name val="Arial"/>
      <family val="2"/>
    </font>
    <font>
      <b/>
      <sz val="10"/>
      <color rgb="FF000000"/>
      <name val="Arial"/>
      <family val="2"/>
    </font>
    <font>
      <sz val="10"/>
      <color theme="1"/>
      <name val="Arial"/>
      <family val="2"/>
      <scheme val="minor"/>
    </font>
    <font>
      <u/>
      <sz val="10"/>
      <color theme="10"/>
      <name val="Arial"/>
      <family val="2"/>
      <scheme val="minor"/>
    </font>
    <font>
      <sz val="10"/>
      <color rgb="FF000000"/>
      <name val="Arial"/>
      <family val="2"/>
      <scheme val="minor"/>
    </font>
    <font>
      <sz val="11"/>
      <color rgb="FF000000"/>
      <name val="Arial"/>
      <family val="2"/>
      <scheme val="minor"/>
    </font>
    <font>
      <b/>
      <sz val="10"/>
      <color rgb="FF000000"/>
      <name val="Arial"/>
      <family val="2"/>
      <scheme val="minor"/>
    </font>
    <font>
      <sz val="10"/>
      <color rgb="FFFF0000"/>
      <name val="Arial"/>
      <family val="2"/>
      <scheme val="minor"/>
    </font>
    <font>
      <sz val="10"/>
      <color rgb="FF92D050"/>
      <name val="Arial"/>
      <family val="2"/>
      <scheme val="minor"/>
    </font>
    <font>
      <sz val="8"/>
      <name val="Arial"/>
      <family val="2"/>
      <scheme val="minor"/>
    </font>
    <font>
      <b/>
      <sz val="12"/>
      <color rgb="FF000000"/>
      <name val="Arial"/>
      <family val="2"/>
      <scheme val="minor"/>
    </font>
    <font>
      <sz val="10"/>
      <color rgb="FF8F82A5"/>
      <name val="Arial"/>
      <family val="2"/>
      <scheme val="minor"/>
    </font>
    <font>
      <sz val="11"/>
      <color rgb="FF535353"/>
      <name val="Var(--encore-body-font-stack)"/>
    </font>
    <font>
      <sz val="14"/>
      <color rgb="FF181818"/>
      <name val="Times New Roman"/>
      <family val="1"/>
    </font>
    <font>
      <sz val="11"/>
      <color rgb="FF535353"/>
      <name val="Arial"/>
      <family val="2"/>
      <scheme val="minor"/>
    </font>
    <font>
      <sz val="10"/>
      <color rgb="FF69727D"/>
      <name val="Consolas"/>
      <family val="3"/>
    </font>
    <font>
      <sz val="8"/>
      <name val="Arial"/>
      <family val="2"/>
      <scheme val="minor"/>
    </font>
    <font>
      <sz val="10"/>
      <color rgb="FFA0988A"/>
      <name val="Consolas"/>
      <family val="3"/>
    </font>
    <font>
      <sz val="11"/>
      <color rgb="FF242424"/>
      <name val="Aptos Narrow"/>
    </font>
    <font>
      <sz val="13"/>
      <color rgb="FF958D9E"/>
      <name val="Arial"/>
      <family val="2"/>
      <scheme val="minor"/>
    </font>
    <font>
      <sz val="10"/>
      <color rgb="FF958D9E"/>
      <name val="Poppins"/>
      <family val="18"/>
      <charset val="77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79998168889431442"/>
        <bgColor indexed="64"/>
      </patternFill>
    </fill>
  </fills>
  <borders count="25">
    <border>
      <left/>
      <right/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</borders>
  <cellStyleXfs count="5">
    <xf numFmtId="0" fontId="0" fillId="0" borderId="0"/>
    <xf numFmtId="0" fontId="8" fillId="0" borderId="0" applyNumberFormat="0" applyFill="0" applyBorder="0" applyAlignment="0" applyProtection="0"/>
    <xf numFmtId="43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0" fontId="8" fillId="0" borderId="0" applyNumberFormat="0" applyFill="0" applyBorder="0" applyAlignment="0" applyProtection="0"/>
  </cellStyleXfs>
  <cellXfs count="197">
    <xf numFmtId="0" fontId="0" fillId="0" borderId="0" xfId="0"/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49" fontId="1" fillId="0" borderId="2" xfId="0" applyNumberFormat="1" applyFont="1" applyBorder="1" applyAlignment="1">
      <alignment horizontal="center" vertical="center"/>
    </xf>
    <xf numFmtId="165" fontId="1" fillId="0" borderId="2" xfId="0" applyNumberFormat="1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3" fillId="0" borderId="4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166" fontId="2" fillId="0" borderId="5" xfId="0" applyNumberFormat="1" applyFont="1" applyBorder="1" applyAlignment="1">
      <alignment horizontal="center"/>
    </xf>
    <xf numFmtId="166" fontId="3" fillId="0" borderId="5" xfId="0" applyNumberFormat="1" applyFont="1" applyBorder="1" applyAlignment="1">
      <alignment horizontal="center"/>
    </xf>
    <xf numFmtId="167" fontId="2" fillId="0" borderId="5" xfId="0" applyNumberFormat="1" applyFont="1" applyBorder="1" applyAlignment="1">
      <alignment horizontal="center"/>
    </xf>
    <xf numFmtId="49" fontId="3" fillId="0" borderId="5" xfId="0" applyNumberFormat="1" applyFont="1" applyBorder="1" applyAlignment="1">
      <alignment horizontal="center"/>
    </xf>
    <xf numFmtId="165" fontId="3" fillId="0" borderId="5" xfId="0" applyNumberFormat="1" applyFont="1" applyBorder="1" applyAlignment="1">
      <alignment horizontal="center"/>
    </xf>
    <xf numFmtId="168" fontId="3" fillId="0" borderId="5" xfId="0" applyNumberFormat="1" applyFont="1" applyBorder="1" applyAlignment="1">
      <alignment horizontal="center"/>
    </xf>
    <xf numFmtId="168" fontId="3" fillId="0" borderId="6" xfId="0" applyNumberFormat="1" applyFont="1" applyBorder="1" applyAlignment="1">
      <alignment horizontal="center"/>
    </xf>
    <xf numFmtId="0" fontId="3" fillId="0" borderId="0" xfId="0" applyFont="1"/>
    <xf numFmtId="0" fontId="2" fillId="0" borderId="5" xfId="0" applyFont="1" applyBorder="1" applyAlignment="1">
      <alignment horizontal="center"/>
    </xf>
    <xf numFmtId="49" fontId="2" fillId="0" borderId="5" xfId="0" applyNumberFormat="1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167" fontId="3" fillId="0" borderId="5" xfId="0" applyNumberFormat="1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166" fontId="2" fillId="0" borderId="0" xfId="0" applyNumberFormat="1" applyFont="1" applyAlignment="1">
      <alignment horizontal="center"/>
    </xf>
    <xf numFmtId="167" fontId="3" fillId="0" borderId="0" xfId="0" applyNumberFormat="1" applyFont="1" applyAlignment="1">
      <alignment horizontal="center"/>
    </xf>
    <xf numFmtId="49" fontId="3" fillId="0" borderId="0" xfId="0" applyNumberFormat="1" applyFont="1" applyAlignment="1">
      <alignment horizontal="center"/>
    </xf>
    <xf numFmtId="165" fontId="2" fillId="0" borderId="0" xfId="0" applyNumberFormat="1" applyFont="1"/>
    <xf numFmtId="168" fontId="3" fillId="0" borderId="0" xfId="0" applyNumberFormat="1" applyFont="1" applyAlignment="1">
      <alignment horizontal="center"/>
    </xf>
    <xf numFmtId="14" fontId="6" fillId="0" borderId="5" xfId="0" applyNumberFormat="1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166" fontId="6" fillId="0" borderId="5" xfId="0" applyNumberFormat="1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14" fontId="2" fillId="0" borderId="0" xfId="0" applyNumberFormat="1" applyFont="1"/>
    <xf numFmtId="0" fontId="7" fillId="0" borderId="0" xfId="0" applyFont="1"/>
    <xf numFmtId="14" fontId="2" fillId="0" borderId="5" xfId="0" applyNumberFormat="1" applyFont="1" applyBorder="1"/>
    <xf numFmtId="0" fontId="2" fillId="0" borderId="5" xfId="0" applyFont="1" applyBorder="1"/>
    <xf numFmtId="166" fontId="2" fillId="0" borderId="5" xfId="0" applyNumberFormat="1" applyFont="1" applyBorder="1" applyAlignment="1">
      <alignment horizontal="center" vertical="center"/>
    </xf>
    <xf numFmtId="166" fontId="2" fillId="0" borderId="0" xfId="0" applyNumberFormat="1" applyFont="1" applyAlignment="1">
      <alignment horizontal="center" vertical="center"/>
    </xf>
    <xf numFmtId="14" fontId="6" fillId="0" borderId="5" xfId="0" applyNumberFormat="1" applyFont="1" applyBorder="1" applyAlignment="1">
      <alignment horizontal="center"/>
    </xf>
    <xf numFmtId="170" fontId="6" fillId="0" borderId="5" xfId="0" applyNumberFormat="1" applyFont="1" applyBorder="1" applyAlignment="1">
      <alignment horizontal="center"/>
    </xf>
    <xf numFmtId="0" fontId="6" fillId="0" borderId="5" xfId="0" applyFont="1" applyBorder="1" applyAlignment="1">
      <alignment horizontal="center"/>
    </xf>
    <xf numFmtId="171" fontId="6" fillId="0" borderId="5" xfId="0" applyNumberFormat="1" applyFont="1" applyBorder="1" applyAlignment="1">
      <alignment horizontal="center"/>
    </xf>
    <xf numFmtId="0" fontId="6" fillId="0" borderId="0" xfId="0" applyFont="1" applyAlignment="1">
      <alignment horizontal="center"/>
    </xf>
    <xf numFmtId="170" fontId="2" fillId="0" borderId="5" xfId="0" applyNumberFormat="1" applyFont="1" applyBorder="1"/>
    <xf numFmtId="171" fontId="2" fillId="0" borderId="5" xfId="0" applyNumberFormat="1" applyFont="1" applyBorder="1"/>
    <xf numFmtId="170" fontId="2" fillId="0" borderId="0" xfId="0" applyNumberFormat="1" applyFont="1"/>
    <xf numFmtId="171" fontId="2" fillId="0" borderId="0" xfId="0" applyNumberFormat="1" applyFont="1"/>
    <xf numFmtId="0" fontId="6" fillId="0" borderId="0" xfId="0" applyFont="1" applyAlignment="1">
      <alignment horizontal="center" vertical="center"/>
    </xf>
    <xf numFmtId="172" fontId="6" fillId="0" borderId="0" xfId="0" applyNumberFormat="1" applyFont="1" applyAlignment="1">
      <alignment horizontal="center" vertical="center"/>
    </xf>
    <xf numFmtId="0" fontId="2" fillId="0" borderId="0" xfId="0" applyFont="1"/>
    <xf numFmtId="0" fontId="8" fillId="0" borderId="0" xfId="1" applyAlignment="1">
      <alignment horizontal="center"/>
    </xf>
    <xf numFmtId="14" fontId="3" fillId="0" borderId="6" xfId="0" applyNumberFormat="1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10" xfId="0" applyBorder="1"/>
    <xf numFmtId="0" fontId="0" fillId="0" borderId="11" xfId="0" applyBorder="1"/>
    <xf numFmtId="166" fontId="2" fillId="0" borderId="7" xfId="0" applyNumberFormat="1" applyFont="1" applyBorder="1" applyAlignment="1">
      <alignment horizontal="center" vertical="center"/>
    </xf>
    <xf numFmtId="0" fontId="10" fillId="0" borderId="0" xfId="0" applyFont="1" applyAlignment="1">
      <alignment vertical="center" wrapText="1"/>
    </xf>
    <xf numFmtId="166" fontId="0" fillId="0" borderId="0" xfId="0" applyNumberFormat="1"/>
    <xf numFmtId="171" fontId="0" fillId="0" borderId="0" xfId="0" applyNumberFormat="1"/>
    <xf numFmtId="167" fontId="8" fillId="0" borderId="5" xfId="1" applyNumberFormat="1" applyBorder="1" applyAlignment="1">
      <alignment horizontal="center"/>
    </xf>
    <xf numFmtId="168" fontId="3" fillId="0" borderId="10" xfId="0" applyNumberFormat="1" applyFont="1" applyBorder="1" applyAlignment="1">
      <alignment horizontal="center"/>
    </xf>
    <xf numFmtId="168" fontId="2" fillId="0" borderId="10" xfId="0" applyNumberFormat="1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14" fontId="0" fillId="0" borderId="0" xfId="0" applyNumberFormat="1"/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49" fontId="2" fillId="0" borderId="10" xfId="0" applyNumberFormat="1" applyFont="1" applyBorder="1" applyAlignment="1">
      <alignment horizontal="center"/>
    </xf>
    <xf numFmtId="14" fontId="2" fillId="0" borderId="10" xfId="0" applyNumberFormat="1" applyFont="1" applyBorder="1"/>
    <xf numFmtId="166" fontId="2" fillId="0" borderId="10" xfId="0" applyNumberFormat="1" applyFont="1" applyBorder="1" applyAlignment="1">
      <alignment horizontal="center" vertical="center"/>
    </xf>
    <xf numFmtId="166" fontId="2" fillId="0" borderId="10" xfId="0" applyNumberFormat="1" applyFont="1" applyBorder="1" applyAlignment="1">
      <alignment horizontal="center"/>
    </xf>
    <xf numFmtId="49" fontId="3" fillId="0" borderId="10" xfId="0" applyNumberFormat="1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167" fontId="2" fillId="0" borderId="10" xfId="0" applyNumberFormat="1" applyFont="1" applyBorder="1" applyAlignment="1">
      <alignment horizontal="center"/>
    </xf>
    <xf numFmtId="14" fontId="0" fillId="0" borderId="10" xfId="0" applyNumberFormat="1" applyBorder="1"/>
    <xf numFmtId="166" fontId="2" fillId="0" borderId="11" xfId="0" applyNumberFormat="1" applyFont="1" applyBorder="1" applyAlignment="1">
      <alignment horizontal="center"/>
    </xf>
    <xf numFmtId="0" fontId="2" fillId="0" borderId="10" xfId="0" applyFont="1" applyBorder="1"/>
    <xf numFmtId="167" fontId="3" fillId="0" borderId="10" xfId="0" applyNumberFormat="1" applyFont="1" applyBorder="1" applyAlignment="1">
      <alignment horizontal="center"/>
    </xf>
    <xf numFmtId="174" fontId="0" fillId="0" borderId="10" xfId="3" applyNumberFormat="1" applyFont="1" applyBorder="1"/>
    <xf numFmtId="166" fontId="3" fillId="0" borderId="10" xfId="0" applyNumberFormat="1" applyFont="1" applyBorder="1" applyAlignment="1">
      <alignment horizontal="center"/>
    </xf>
    <xf numFmtId="0" fontId="8" fillId="0" borderId="0" xfId="1"/>
    <xf numFmtId="174" fontId="0" fillId="0" borderId="0" xfId="3" applyNumberFormat="1" applyFont="1"/>
    <xf numFmtId="0" fontId="12" fillId="0" borderId="0" xfId="0" applyFont="1" applyAlignment="1">
      <alignment horizontal="center"/>
    </xf>
    <xf numFmtId="0" fontId="13" fillId="0" borderId="0" xfId="0" applyFont="1" applyAlignment="1">
      <alignment horizontal="center"/>
    </xf>
    <xf numFmtId="0" fontId="11" fillId="0" borderId="0" xfId="0" applyFont="1" applyAlignment="1">
      <alignment horizontal="center" vertical="center"/>
    </xf>
    <xf numFmtId="14" fontId="3" fillId="0" borderId="10" xfId="0" applyNumberFormat="1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167" fontId="3" fillId="0" borderId="12" xfId="0" applyNumberFormat="1" applyFont="1" applyBorder="1" applyAlignment="1">
      <alignment horizontal="center"/>
    </xf>
    <xf numFmtId="49" fontId="3" fillId="0" borderId="12" xfId="0" applyNumberFormat="1" applyFont="1" applyBorder="1" applyAlignment="1">
      <alignment horizontal="center"/>
    </xf>
    <xf numFmtId="49" fontId="2" fillId="0" borderId="12" xfId="0" applyNumberFormat="1" applyFont="1" applyBorder="1" applyAlignment="1">
      <alignment horizontal="center"/>
    </xf>
    <xf numFmtId="0" fontId="0" fillId="0" borderId="10" xfId="0" applyBorder="1" applyAlignment="1">
      <alignment horizontal="center"/>
    </xf>
    <xf numFmtId="166" fontId="3" fillId="0" borderId="11" xfId="0" applyNumberFormat="1" applyFont="1" applyBorder="1" applyAlignment="1">
      <alignment horizontal="center"/>
    </xf>
    <xf numFmtId="167" fontId="2" fillId="0" borderId="12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173" fontId="11" fillId="0" borderId="0" xfId="2" applyNumberFormat="1" applyFont="1" applyAlignment="1">
      <alignment horizontal="center" vertical="center"/>
    </xf>
    <xf numFmtId="0" fontId="15" fillId="0" borderId="0" xfId="0" applyFont="1" applyAlignment="1">
      <alignment horizont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/>
    </xf>
    <xf numFmtId="0" fontId="8" fillId="0" borderId="10" xfId="1" applyBorder="1" applyAlignment="1">
      <alignment horizontal="center"/>
    </xf>
    <xf numFmtId="0" fontId="0" fillId="0" borderId="9" xfId="0" applyBorder="1"/>
    <xf numFmtId="174" fontId="0" fillId="0" borderId="9" xfId="3" applyNumberFormat="1" applyFont="1" applyBorder="1"/>
    <xf numFmtId="166" fontId="2" fillId="0" borderId="9" xfId="0" applyNumberFormat="1" applyFont="1" applyBorder="1" applyAlignment="1">
      <alignment horizontal="center"/>
    </xf>
    <xf numFmtId="174" fontId="0" fillId="0" borderId="0" xfId="0" applyNumberFormat="1"/>
    <xf numFmtId="0" fontId="16" fillId="0" borderId="0" xfId="0" applyFont="1"/>
    <xf numFmtId="165" fontId="3" fillId="0" borderId="7" xfId="0" applyNumberFormat="1" applyFont="1" applyBorder="1" applyAlignment="1">
      <alignment horizontal="center"/>
    </xf>
    <xf numFmtId="165" fontId="3" fillId="0" borderId="10" xfId="0" applyNumberFormat="1" applyFont="1" applyBorder="1" applyAlignment="1">
      <alignment horizontal="center"/>
    </xf>
    <xf numFmtId="0" fontId="8" fillId="0" borderId="0" xfId="4" applyAlignment="1">
      <alignment horizontal="center"/>
    </xf>
    <xf numFmtId="14" fontId="0" fillId="0" borderId="5" xfId="0" applyNumberFormat="1" applyBorder="1" applyAlignment="1">
      <alignment horizontal="center"/>
    </xf>
    <xf numFmtId="0" fontId="17" fillId="0" borderId="0" xfId="0" applyFont="1" applyAlignment="1">
      <alignment vertical="center" wrapText="1"/>
    </xf>
    <xf numFmtId="0" fontId="18" fillId="0" borderId="0" xfId="0" applyFont="1" applyAlignment="1">
      <alignment horizontal="left" vertical="center" wrapText="1" indent="1"/>
    </xf>
    <xf numFmtId="168" fontId="3" fillId="0" borderId="11" xfId="0" applyNumberFormat="1" applyFont="1" applyBorder="1" applyAlignment="1">
      <alignment horizontal="center"/>
    </xf>
    <xf numFmtId="167" fontId="8" fillId="0" borderId="10" xfId="1" applyNumberFormat="1" applyBorder="1" applyAlignment="1">
      <alignment horizontal="center"/>
    </xf>
    <xf numFmtId="0" fontId="8" fillId="0" borderId="0" xfId="4"/>
    <xf numFmtId="14" fontId="0" fillId="0" borderId="9" xfId="0" applyNumberFormat="1" applyBorder="1" applyAlignment="1">
      <alignment horizontal="center"/>
    </xf>
    <xf numFmtId="0" fontId="0" fillId="0" borderId="9" xfId="0" applyBorder="1" applyAlignment="1">
      <alignment horizontal="center"/>
    </xf>
    <xf numFmtId="166" fontId="2" fillId="0" borderId="4" xfId="0" applyNumberFormat="1" applyFont="1" applyBorder="1" applyAlignment="1">
      <alignment horizontal="center"/>
    </xf>
    <xf numFmtId="168" fontId="3" fillId="0" borderId="9" xfId="0" applyNumberFormat="1" applyFont="1" applyBorder="1" applyAlignment="1">
      <alignment horizontal="center"/>
    </xf>
    <xf numFmtId="167" fontId="5" fillId="0" borderId="10" xfId="0" applyNumberFormat="1" applyFont="1" applyBorder="1" applyAlignment="1">
      <alignment horizontal="center"/>
    </xf>
    <xf numFmtId="166" fontId="2" fillId="0" borderId="7" xfId="0" applyNumberFormat="1" applyFont="1" applyBorder="1" applyAlignment="1">
      <alignment horizontal="center"/>
    </xf>
    <xf numFmtId="0" fontId="19" fillId="0" borderId="5" xfId="0" applyFont="1" applyBorder="1"/>
    <xf numFmtId="169" fontId="3" fillId="0" borderId="10" xfId="0" applyNumberFormat="1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0" fillId="3" borderId="0" xfId="0" applyFill="1"/>
    <xf numFmtId="0" fontId="5" fillId="0" borderId="10" xfId="0" applyFont="1" applyBorder="1" applyAlignment="1">
      <alignment horizontal="center"/>
    </xf>
    <xf numFmtId="0" fontId="0" fillId="0" borderId="4" xfId="0" applyBorder="1" applyAlignment="1">
      <alignment horizontal="center" vertical="center"/>
    </xf>
    <xf numFmtId="168" fontId="2" fillId="0" borderId="0" xfId="0" applyNumberFormat="1" applyFont="1" applyAlignment="1">
      <alignment horizontal="center"/>
    </xf>
    <xf numFmtId="0" fontId="0" fillId="2" borderId="0" xfId="0" applyFill="1" applyAlignment="1">
      <alignment horizontal="center"/>
    </xf>
    <xf numFmtId="17" fontId="3" fillId="0" borderId="10" xfId="0" applyNumberFormat="1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49" fontId="2" fillId="0" borderId="7" xfId="0" applyNumberFormat="1" applyFont="1" applyBorder="1" applyAlignment="1">
      <alignment horizontal="center"/>
    </xf>
    <xf numFmtId="0" fontId="0" fillId="0" borderId="0" xfId="0" quotePrefix="1"/>
    <xf numFmtId="0" fontId="20" fillId="0" borderId="0" xfId="0" applyFont="1"/>
    <xf numFmtId="0" fontId="8" fillId="0" borderId="5" xfId="1" applyBorder="1" applyAlignment="1">
      <alignment horizontal="center"/>
    </xf>
    <xf numFmtId="4" fontId="0" fillId="0" borderId="0" xfId="0" applyNumberFormat="1"/>
    <xf numFmtId="0" fontId="8" fillId="0" borderId="0" xfId="1" applyAlignment="1">
      <alignment horizontal="left" vertical="center" wrapText="1" readingOrder="1"/>
    </xf>
    <xf numFmtId="0" fontId="22" fillId="0" borderId="0" xfId="0" applyFont="1" applyAlignment="1">
      <alignment wrapText="1"/>
    </xf>
    <xf numFmtId="0" fontId="8" fillId="0" borderId="0" xfId="1" applyAlignment="1">
      <alignment wrapText="1"/>
    </xf>
    <xf numFmtId="16" fontId="0" fillId="0" borderId="0" xfId="0" applyNumberFormat="1"/>
    <xf numFmtId="168" fontId="3" fillId="0" borderId="8" xfId="0" applyNumberFormat="1" applyFont="1" applyBorder="1" applyAlignment="1">
      <alignment horizontal="center"/>
    </xf>
    <xf numFmtId="0" fontId="9" fillId="0" borderId="0" xfId="0" applyFont="1" applyAlignment="1">
      <alignment horizontal="center"/>
    </xf>
    <xf numFmtId="14" fontId="9" fillId="0" borderId="10" xfId="0" applyNumberFormat="1" applyFont="1" applyBorder="1"/>
    <xf numFmtId="0" fontId="9" fillId="0" borderId="0" xfId="0" applyFont="1"/>
    <xf numFmtId="0" fontId="9" fillId="0" borderId="0" xfId="0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9" fillId="0" borderId="10" xfId="0" applyFont="1" applyBorder="1" applyAlignment="1">
      <alignment horizontal="center"/>
    </xf>
    <xf numFmtId="0" fontId="9" fillId="0" borderId="10" xfId="0" applyFont="1" applyBorder="1"/>
    <xf numFmtId="0" fontId="6" fillId="0" borderId="0" xfId="0" applyFont="1" applyAlignment="1">
      <alignment horizontal="center" vertical="center" wrapText="1"/>
    </xf>
    <xf numFmtId="174" fontId="9" fillId="0" borderId="0" xfId="3" applyNumberFormat="1" applyFont="1"/>
    <xf numFmtId="0" fontId="9" fillId="2" borderId="0" xfId="0" applyFont="1" applyFill="1" applyAlignment="1">
      <alignment horizontal="center"/>
    </xf>
    <xf numFmtId="174" fontId="9" fillId="0" borderId="0" xfId="0" applyNumberFormat="1" applyFont="1"/>
    <xf numFmtId="0" fontId="9" fillId="4" borderId="0" xfId="0" applyFont="1" applyFill="1"/>
    <xf numFmtId="0" fontId="9" fillId="0" borderId="4" xfId="0" applyFont="1" applyBorder="1" applyAlignment="1">
      <alignment horizontal="center" vertical="center"/>
    </xf>
    <xf numFmtId="0" fontId="23" fillId="0" borderId="0" xfId="0" applyFont="1"/>
    <xf numFmtId="0" fontId="0" fillId="0" borderId="12" xfId="0" applyBorder="1" applyAlignment="1">
      <alignment horizontal="center"/>
    </xf>
    <xf numFmtId="49" fontId="1" fillId="0" borderId="10" xfId="0" applyNumberFormat="1" applyFont="1" applyBorder="1" applyAlignment="1">
      <alignment horizontal="center"/>
    </xf>
    <xf numFmtId="168" fontId="2" fillId="0" borderId="6" xfId="0" applyNumberFormat="1" applyFont="1" applyBorder="1" applyAlignment="1">
      <alignment horizontal="center"/>
    </xf>
    <xf numFmtId="14" fontId="0" fillId="0" borderId="10" xfId="0" applyNumberFormat="1" applyBorder="1" applyAlignment="1">
      <alignment horizontal="center"/>
    </xf>
    <xf numFmtId="0" fontId="24" fillId="0" borderId="0" xfId="0" applyFont="1"/>
    <xf numFmtId="174" fontId="0" fillId="0" borderId="15" xfId="0" applyNumberFormat="1" applyBorder="1"/>
    <xf numFmtId="0" fontId="0" fillId="0" borderId="10" xfId="0" applyBorder="1" applyAlignment="1">
      <alignment horizontal="center" vertical="center"/>
    </xf>
    <xf numFmtId="0" fontId="9" fillId="0" borderId="12" xfId="0" applyFont="1" applyBorder="1" applyAlignment="1">
      <alignment horizontal="center"/>
    </xf>
    <xf numFmtId="14" fontId="9" fillId="0" borderId="0" xfId="0" applyNumberFormat="1" applyFont="1"/>
    <xf numFmtId="0" fontId="9" fillId="0" borderId="4" xfId="0" applyFont="1" applyBorder="1"/>
    <xf numFmtId="0" fontId="5" fillId="0" borderId="12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0" fillId="0" borderId="5" xfId="0" applyBorder="1" applyAlignment="1">
      <alignment horizontal="center" vertical="center"/>
    </xf>
    <xf numFmtId="0" fontId="8" fillId="0" borderId="0" xfId="4" applyAlignment="1">
      <alignment wrapText="1"/>
    </xf>
    <xf numFmtId="0" fontId="9" fillId="0" borderId="4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2" fillId="0" borderId="14" xfId="0" applyNumberFormat="1" applyFont="1" applyBorder="1" applyAlignment="1">
      <alignment horizontal="center"/>
    </xf>
    <xf numFmtId="0" fontId="25" fillId="0" borderId="0" xfId="0" applyFont="1" applyAlignment="1">
      <alignment wrapText="1"/>
    </xf>
    <xf numFmtId="0" fontId="0" fillId="0" borderId="16" xfId="0" pivotButton="1" applyBorder="1"/>
    <xf numFmtId="0" fontId="0" fillId="0" borderId="17" xfId="0" applyBorder="1"/>
    <xf numFmtId="14" fontId="0" fillId="0" borderId="16" xfId="0" applyNumberFormat="1" applyBorder="1"/>
    <xf numFmtId="14" fontId="0" fillId="0" borderId="18" xfId="0" applyNumberFormat="1" applyBorder="1"/>
    <xf numFmtId="14" fontId="0" fillId="0" borderId="20" xfId="0" applyNumberFormat="1" applyBorder="1"/>
    <xf numFmtId="170" fontId="0" fillId="0" borderId="16" xfId="0" applyNumberFormat="1" applyBorder="1"/>
    <xf numFmtId="0" fontId="0" fillId="0" borderId="16" xfId="0" applyBorder="1"/>
    <xf numFmtId="0" fontId="0" fillId="0" borderId="22" xfId="0" applyBorder="1"/>
    <xf numFmtId="0" fontId="0" fillId="0" borderId="18" xfId="0" applyBorder="1"/>
    <xf numFmtId="0" fontId="0" fillId="0" borderId="23" xfId="0" applyBorder="1"/>
    <xf numFmtId="170" fontId="0" fillId="0" borderId="20" xfId="0" applyNumberFormat="1" applyBorder="1"/>
    <xf numFmtId="0" fontId="0" fillId="0" borderId="24" xfId="0" applyBorder="1"/>
    <xf numFmtId="0" fontId="0" fillId="0" borderId="7" xfId="0" applyBorder="1" applyAlignment="1">
      <alignment horizontal="center"/>
    </xf>
    <xf numFmtId="49" fontId="2" fillId="0" borderId="11" xfId="0" applyNumberFormat="1" applyFont="1" applyBorder="1" applyAlignment="1">
      <alignment horizontal="center"/>
    </xf>
    <xf numFmtId="167" fontId="8" fillId="0" borderId="4" xfId="1" applyNumberFormat="1" applyBorder="1" applyAlignment="1">
      <alignment horizontal="center"/>
    </xf>
    <xf numFmtId="0" fontId="8" fillId="0" borderId="4" xfId="1" applyBorder="1" applyAlignment="1">
      <alignment horizontal="center"/>
    </xf>
    <xf numFmtId="0" fontId="0" fillId="0" borderId="0" xfId="0" applyAlignment="1">
      <alignment horizontal="center"/>
    </xf>
    <xf numFmtId="0" fontId="0" fillId="0" borderId="17" xfId="0" applyNumberFormat="1" applyBorder="1"/>
    <xf numFmtId="0" fontId="0" fillId="0" borderId="19" xfId="0" applyNumberFormat="1" applyBorder="1"/>
    <xf numFmtId="0" fontId="0" fillId="0" borderId="21" xfId="0" applyNumberFormat="1" applyBorder="1"/>
  </cellXfs>
  <cellStyles count="5">
    <cellStyle name="Hipervínculo" xfId="1" builtinId="8"/>
    <cellStyle name="Hyperlink" xfId="4" xr:uid="{00000000-000B-0000-0000-000008000000}"/>
    <cellStyle name="Millares" xfId="2" builtinId="3"/>
    <cellStyle name="Moneda" xfId="3" builtinId="4"/>
    <cellStyle name="Normal" xfId="0" builtinId="0"/>
  </cellStyles>
  <dxfs count="6">
    <dxf>
      <alignment horizontal="center" vertical="bottom" textRotation="0" wrapText="0" indent="0" justifyLastLine="0" shrinkToFit="0" readingOrder="0"/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ill>
        <patternFill patternType="solid">
          <fgColor rgb="FFD8D8D8"/>
          <bgColor rgb="FFD8D8D8"/>
        </patternFill>
      </fill>
    </dxf>
    <dxf>
      <fill>
        <patternFill patternType="solid">
          <fgColor rgb="FFA5A5A5"/>
          <bgColor rgb="FFA5A5A5"/>
        </patternFill>
      </fill>
    </dxf>
    <dxf>
      <fill>
        <patternFill patternType="solid">
          <fgColor theme="0"/>
          <bgColor theme="0"/>
        </patternFill>
      </fill>
    </dxf>
  </dxfs>
  <tableStyles count="1" defaultTableStyle="TableStyleMedium2" defaultPivotStyle="PivotStyleLight16">
    <tableStyle name="Registro-style" pivot="0" count="3" xr9:uid="{00000000-0011-0000-FFFF-FFFF00000000}">
      <tableStyleElement type="headerRow" dxfId="5"/>
      <tableStyleElement type="firstRowStripe" dxfId="4"/>
      <tableStyleElement type="secondRowStripe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1.xml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3.xml"/><Relationship Id="rId30" Type="http://schemas.openxmlformats.org/officeDocument/2006/relationships/sharedStrings" Target="sharedStrings.xml"/><Relationship Id="rId35" Type="http://schemas.openxmlformats.org/officeDocument/2006/relationships/customXml" Target="../customXml/item3.xml"/><Relationship Id="rId8" Type="http://schemas.openxmlformats.org/officeDocument/2006/relationships/worksheet" Target="worksheets/sheet8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0</xdr:colOff>
      <xdr:row>0</xdr:row>
      <xdr:rowOff>0</xdr:rowOff>
    </xdr:from>
    <xdr:ext cx="828675" cy="361950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4936425" y="3603788"/>
          <a:ext cx="819150" cy="352425"/>
        </a:xfrm>
        <a:prstGeom prst="rect">
          <a:avLst/>
        </a:prstGeom>
        <a:solidFill>
          <a:schemeClr val="lt1"/>
        </a:solidFill>
        <a:ln w="9525" cap="flat" cmpd="sng">
          <a:solidFill>
            <a:srgbClr val="BABABA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1100"/>
            <a:buFont typeface="Arial"/>
            <a:buNone/>
          </a:pPr>
          <a:r>
            <a:rPr lang="en-US" sz="1100">
              <a:solidFill>
                <a:schemeClr val="dk1"/>
              </a:solidFill>
              <a:latin typeface="Arial"/>
              <a:ea typeface="Arial"/>
              <a:cs typeface="Arial"/>
              <a:sym typeface="Arial"/>
            </a:rPr>
            <a:t>Organizar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endParaRPr sz="1100"/>
        </a:p>
      </xdr:txBody>
    </xdr:sp>
    <xdr:clientData fLocksWithSheet="0"/>
  </xdr:one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Vista 1" id="{273162F1-CC26-4AA5-9A75-3DA7944DF8D2}"/>
  <namedSheetView name="Vista 2" id="{D2C5D8DD-9827-4686-A77E-130E2391F0DD}"/>
</namedSheetView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Excel Services" refreshedDate="46231.727183449075" createdVersion="8" refreshedVersion="8" minRefreshableVersion="3" recordCount="1444" xr:uid="{7B9E2574-BAB0-4DB5-B9C5-4E05ED19C235}">
  <cacheSource type="worksheet">
    <worksheetSource ref="A1:E1445" sheet="Ventas"/>
  </cacheSource>
  <cacheFields count="5">
    <cacheField name="FECHA" numFmtId="14">
      <sharedItems containsNonDate="0" containsDate="1" containsString="0" containsBlank="1" minDate="2025-01-02T00:00:00" maxDate="2026-07-29T00:00:00" count="173">
        <d v="2026-01-03T00:00:00"/>
        <d v="2025-01-02T00:00:00"/>
        <d v="2026-01-01T00:00:00"/>
        <d v="2026-01-04T00:00:00"/>
        <d v="2026-01-05T00:00:00"/>
        <d v="2026-01-06T00:00:00"/>
        <d v="2026-01-08T00:00:00"/>
        <d v="2026-01-09T00:00:00"/>
        <d v="2026-01-10T00:00:00"/>
        <d v="2026-01-11T00:00:00"/>
        <d v="2026-01-12T00:00:00"/>
        <d v="2026-01-13T00:00:00"/>
        <d v="2026-01-14T00:00:00"/>
        <d v="2026-01-15T00:00:00"/>
        <d v="2026-01-16T00:00:00"/>
        <d v="2026-01-17T00:00:00"/>
        <d v="2026-01-18T00:00:00"/>
        <d v="2026-01-19T00:00:00"/>
        <d v="2026-01-21T00:00:00"/>
        <d v="2025-01-20T00:00:00"/>
        <d v="2026-01-23T00:00:00"/>
        <d v="2026-01-24T00:00:00"/>
        <d v="2026-01-25T00:00:00"/>
        <d v="2026-01-26T00:00:00"/>
        <d v="2026-01-28T00:00:00"/>
        <d v="2026-01-29T00:00:00"/>
        <d v="2026-01-30T00:00:00"/>
        <d v="2026-02-01T00:00:00"/>
        <d v="2026-01-31T00:00:00"/>
        <d v="2026-02-02T00:00:00"/>
        <d v="2026-02-03T00:00:00"/>
        <d v="2026-02-05T00:00:00"/>
        <d v="2026-02-06T00:00:00"/>
        <d v="2026-02-07T00:00:00"/>
        <d v="2026-02-08T00:00:00"/>
        <d v="2026-02-09T00:00:00"/>
        <d v="2026-02-10T00:00:00"/>
        <d v="2026-02-11T00:00:00"/>
        <d v="2026-02-12T00:00:00"/>
        <d v="2026-02-13T00:00:00"/>
        <d v="2026-02-14T00:00:00"/>
        <d v="2026-02-16T00:00:00"/>
        <d v="2026-02-17T00:00:00"/>
        <d v="2026-02-18T00:00:00"/>
        <d v="2026-02-20T00:00:00"/>
        <d v="2026-02-21T00:00:00"/>
        <d v="2026-02-22T00:00:00"/>
        <d v="2026-02-24T00:00:00"/>
        <d v="2026-02-26T00:00:00"/>
        <d v="2026-02-27T00:00:00"/>
        <d v="2026-02-28T00:00:00"/>
        <d v="2026-03-01T00:00:00"/>
        <d v="2026-03-03T00:00:00"/>
        <d v="2026-03-04T00:00:00"/>
        <d v="2026-03-05T00:00:00"/>
        <d v="2026-03-07T00:00:00"/>
        <d v="2026-03-08T00:00:00"/>
        <d v="2026-03-09T00:00:00"/>
        <d v="2026-03-10T00:00:00"/>
        <d v="2026-03-11T00:00:00"/>
        <d v="2026-03-13T00:00:00"/>
        <d v="2026-03-14T00:00:00"/>
        <d v="2026-03-15T00:00:00"/>
        <d v="2026-03-16T00:00:00"/>
        <d v="2026-03-17T00:00:00"/>
        <d v="2026-03-18T00:00:00"/>
        <d v="2025-03-19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2T00:00:00"/>
        <d v="2026-04-03T00:00:00"/>
        <d v="2026-04-04T00:00:00"/>
        <d v="2026-04-06T00:00:00"/>
        <d v="2026-04-07T00:00:00"/>
        <d v="2026-04-08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7T00:00:00"/>
        <d v="2026-05-08T00:00:00"/>
        <d v="2026-05-11T00:00:00"/>
        <d v="2026-05-13T00:00:00"/>
        <d v="2026-05-12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5T00:00:00"/>
        <d v="2025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5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8T00:00:00"/>
        <d v="2026-06-29T00:00:00"/>
        <d v="2026-06-30T00:00:00"/>
        <d v="2026-07-01T00:00:00"/>
        <d v="2026-07-03T00:00:00"/>
        <d v="2026-07-06T00:00:00"/>
        <d v="2026-07-08T00:00:00"/>
        <d v="2026-07-09T00:00:00"/>
        <d v="2026-07-10T00:00:00"/>
        <d v="2026-07-14T00:00:00"/>
        <d v="2026-07-15T00:00:00"/>
        <d v="2026-07-16T00:00:00"/>
        <d v="2026-07-17T00:00:00"/>
        <d v="2026-07-18T00:00:00"/>
        <d v="2026-07-19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m/>
      </sharedItems>
    </cacheField>
    <cacheField name="DETALLE" numFmtId="0">
      <sharedItems containsBlank="1"/>
    </cacheField>
    <cacheField name="COSTO" numFmtId="0">
      <sharedItems containsString="0" containsBlank="1" containsNumber="1" containsInteger="1" minValue="500" maxValue="38000"/>
    </cacheField>
    <cacheField name="VENTA" numFmtId="0">
      <sharedItems containsDate="1" containsString="0" containsBlank="1" containsMixedTypes="1" minDate="1900-01-05T19:00:04" maxDate="1900-01-03T07:42:04"/>
    </cacheField>
    <cacheField name="GANANCIA" numFmtId="166">
      <sharedItems containsSemiMixedTypes="0" containsString="0" containsNumber="1" containsInteger="1" minValue="-9000" maxValue="18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Excel Services" refreshedDate="46231.727183564813" createdVersion="8" refreshedVersion="8" minRefreshableVersion="3" recordCount="422" xr:uid="{433DE53B-A58E-4297-B68D-3C47B3FDF72D}">
  <cacheSource type="worksheet">
    <worksheetSource ref="A1:E423" sheet="Ventas"/>
  </cacheSource>
  <cacheFields count="5">
    <cacheField name="FECHA" numFmtId="14">
      <sharedItems containsSemiMixedTypes="0" containsNonDate="0" containsDate="1" containsString="0" minDate="2025-01-02T00:00:00" maxDate="2026-04-30T00:00:00" count="100">
        <d v="2026-01-03T00:00:00"/>
        <d v="2025-01-02T00:00:00"/>
        <d v="2026-01-01T00:00:00"/>
        <d v="2026-01-04T00:00:00"/>
        <d v="2026-01-05T00:00:00"/>
        <d v="2026-01-06T00:00:00"/>
        <d v="2026-01-08T00:00:00"/>
        <d v="2026-01-09T00:00:00"/>
        <d v="2026-01-10T00:00:00"/>
        <d v="2026-01-11T00:00:00"/>
        <d v="2026-01-12T00:00:00"/>
        <d v="2026-01-13T00:00:00"/>
        <d v="2026-01-14T00:00:00"/>
        <d v="2026-01-15T00:00:00"/>
        <d v="2026-01-16T00:00:00"/>
        <d v="2026-01-17T00:00:00"/>
        <d v="2026-01-18T00:00:00"/>
        <d v="2026-01-19T00:00:00"/>
        <d v="2026-01-21T00:00:00"/>
        <d v="2025-01-20T00:00:00"/>
        <d v="2026-01-23T00:00:00"/>
        <d v="2026-01-24T00:00:00"/>
        <d v="2026-01-25T00:00:00"/>
        <d v="2026-01-26T00:00:00"/>
        <d v="2026-01-28T00:00:00"/>
        <d v="2026-01-29T00:00:00"/>
        <d v="2026-01-30T00:00:00"/>
        <d v="2026-02-01T00:00:00"/>
        <d v="2026-01-31T00:00:00"/>
        <d v="2026-02-02T00:00:00"/>
        <d v="2026-02-03T00:00:00"/>
        <d v="2026-02-05T00:00:00"/>
        <d v="2026-02-06T00:00:00"/>
        <d v="2026-02-07T00:00:00"/>
        <d v="2026-02-08T00:00:00"/>
        <d v="2026-02-09T00:00:00"/>
        <d v="2026-02-10T00:00:00"/>
        <d v="2026-02-11T00:00:00"/>
        <d v="2026-02-12T00:00:00"/>
        <d v="2026-02-13T00:00:00"/>
        <d v="2026-02-14T00:00:00"/>
        <d v="2026-02-16T00:00:00"/>
        <d v="2026-02-17T00:00:00"/>
        <d v="2026-02-18T00:00:00"/>
        <d v="2026-02-20T00:00:00"/>
        <d v="2026-02-21T00:00:00"/>
        <d v="2026-02-22T00:00:00"/>
        <d v="2026-02-24T00:00:00"/>
        <d v="2026-02-26T00:00:00"/>
        <d v="2026-02-27T00:00:00"/>
        <d v="2026-02-28T00:00:00"/>
        <d v="2026-03-01T00:00:00"/>
        <d v="2026-03-03T00:00:00"/>
        <d v="2026-03-04T00:00:00"/>
        <d v="2026-03-05T00:00:00"/>
        <d v="2026-03-07T00:00:00"/>
        <d v="2026-03-08T00:00:00"/>
        <d v="2026-03-09T00:00:00"/>
        <d v="2026-03-10T00:00:00"/>
        <d v="2026-03-11T00:00:00"/>
        <d v="2026-03-13T00:00:00"/>
        <d v="2026-03-14T00:00:00"/>
        <d v="2026-03-15T00:00:00"/>
        <d v="2026-03-16T00:00:00"/>
        <d v="2026-03-17T00:00:00"/>
        <d v="2026-03-18T00:00:00"/>
        <d v="2025-03-19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2T00:00:00"/>
        <d v="2026-04-03T00:00:00"/>
        <d v="2026-04-04T00:00:00"/>
        <d v="2026-04-06T00:00:00"/>
        <d v="2026-04-07T00:00:00"/>
        <d v="2026-04-08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6T00:00:00"/>
        <d v="2026-04-27T00:00:00"/>
        <d v="2026-04-28T00:00:00"/>
        <d v="2026-04-29T00:00:00"/>
      </sharedItems>
    </cacheField>
    <cacheField name="DETALLE" numFmtId="0">
      <sharedItems/>
    </cacheField>
    <cacheField name="COSTO" numFmtId="0">
      <sharedItems containsSemiMixedTypes="0" containsString="0" containsNumber="1" containsInteger="1" minValue="500" maxValue="38000"/>
    </cacheField>
    <cacheField name="VENTA" numFmtId="0">
      <sharedItems containsString="0" containsBlank="1" containsNumber="1" containsInteger="1" minValue="5000" maxValue="48000"/>
    </cacheField>
    <cacheField name="GANANCIA" numFmtId="166">
      <sharedItems containsSemiMixedTypes="0" containsString="0" containsNumber="1" containsInteger="1" minValue="-9000" maxValue="18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Excel Services" refreshedDate="46231.727183564813" refreshedVersion="8" recordCount="41" xr:uid="{00000000-000A-0000-FFFF-FFFF01000000}">
  <cacheSource type="worksheet">
    <worksheetSource ref="A1:D42" sheet="Gastos"/>
  </cacheSource>
  <cacheFields count="4">
    <cacheField name="FECHA" numFmtId="14">
      <sharedItems containsNonDate="0" containsDate="1" containsString="0" containsBlank="1" minDate="2024-07-20T00:00:00" maxDate="2025-03-11T00:00:00"/>
    </cacheField>
    <cacheField name="MES" numFmtId="170">
      <sharedItems count="9">
        <s v="julio"/>
        <s v="agosto"/>
        <s v="septiembre"/>
        <s v="octubre"/>
        <s v="noviembre"/>
        <s v="diciembre"/>
        <s v="enero"/>
        <s v="marzo"/>
        <s v="24/7/224" u="1"/>
      </sharedItems>
    </cacheField>
    <cacheField name="DETALLE" numFmtId="0">
      <sharedItems containsBlank="1" count="19">
        <s v="PUBLICIDAD"/>
        <s v="SPOTIFY"/>
        <s v="DOMICILIO"/>
        <s v="DEUDA"/>
        <s v="COMIDA"/>
        <s v="Prestamo Dar"/>
        <s v="PRESTAMO   "/>
        <s v="Pilas"/>
        <s v="Falda"/>
        <s v="Camisa"/>
        <s v="esponjas"/>
        <s v="Licra Gym"/>
        <s v="Youtube Premium"/>
        <s v="Prestamo Pencil"/>
        <s v="IPTV 10 CRDTOS"/>
        <m/>
        <s v="Datos Celular"/>
        <s v="Ipad 9"/>
        <s v="PRESTAMO LICENCIA CONDUCCION"/>
      </sharedItems>
    </cacheField>
    <cacheField name="VALOR" numFmtId="171">
      <sharedItems containsString="0" containsBlank="1" containsNumber="1" containsInteger="1" minValue="0" maxValue="10895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44">
  <r>
    <x v="0"/>
    <s v="Spotify"/>
    <n v="6100"/>
    <n v="6500"/>
    <n v="400"/>
  </r>
  <r>
    <x v="0"/>
    <s v="ChatGPT"/>
    <n v="12990"/>
    <n v="25000"/>
    <n v="12010"/>
  </r>
  <r>
    <x v="1"/>
    <s v="Crunchyroll "/>
    <n v="1990"/>
    <n v="6000"/>
    <n v="4010"/>
  </r>
  <r>
    <x v="1"/>
    <s v="Netflix"/>
    <n v="8000"/>
    <n v="11500"/>
    <n v="3500"/>
  </r>
  <r>
    <x v="2"/>
    <s v="Netflix"/>
    <n v="8000"/>
    <n v="11500"/>
    <n v="3500"/>
  </r>
  <r>
    <x v="2"/>
    <s v="Netflix"/>
    <n v="8000"/>
    <n v="11500"/>
    <n v="3500"/>
  </r>
  <r>
    <x v="3"/>
    <s v="Netflix"/>
    <n v="9000"/>
    <n v="10000"/>
    <n v="1000"/>
  </r>
  <r>
    <x v="3"/>
    <s v="PrimeVideo"/>
    <n v="1171"/>
    <n v="5000"/>
    <n v="3829"/>
  </r>
  <r>
    <x v="3"/>
    <s v="DisneyP"/>
    <n v="4300"/>
    <n v="8000"/>
    <n v="3700"/>
  </r>
  <r>
    <x v="3"/>
    <s v="Netflix"/>
    <n v="9000"/>
    <n v="10000"/>
    <n v="1000"/>
  </r>
  <r>
    <x v="3"/>
    <s v="DisneyP"/>
    <n v="4300"/>
    <n v="8000"/>
    <n v="3700"/>
  </r>
  <r>
    <x v="3"/>
    <s v="Netflix"/>
    <n v="9000"/>
    <n v="12000"/>
    <n v="3000"/>
  </r>
  <r>
    <x v="3"/>
    <s v="Netflix"/>
    <n v="9000"/>
    <n v="12000"/>
    <n v="3000"/>
  </r>
  <r>
    <x v="3"/>
    <s v="Spotify"/>
    <n v="6100"/>
    <n v="9000"/>
    <n v="2900"/>
  </r>
  <r>
    <x v="3"/>
    <s v="Netflix"/>
    <n v="9000"/>
    <n v="12000"/>
    <n v="3000"/>
  </r>
  <r>
    <x v="3"/>
    <s v="DisneyP"/>
    <n v="4300"/>
    <n v="10000"/>
    <n v="5700"/>
  </r>
  <r>
    <x v="4"/>
    <s v="Netflix"/>
    <n v="9000"/>
    <n v="12000"/>
    <n v="3000"/>
  </r>
  <r>
    <x v="4"/>
    <s v="Crunchyroll"/>
    <n v="2000"/>
    <n v="6000"/>
    <n v="4000"/>
  </r>
  <r>
    <x v="4"/>
    <s v="DisneyP"/>
    <n v="4300"/>
    <n v="10000"/>
    <n v="5700"/>
  </r>
  <r>
    <x v="4"/>
    <s v="HBO"/>
    <n v="1200"/>
    <n v="5000"/>
    <n v="3800"/>
  </r>
  <r>
    <x v="4"/>
    <s v="Netflix"/>
    <n v="9000"/>
    <n v="10500"/>
    <n v="1500"/>
  </r>
  <r>
    <x v="4"/>
    <s v="HBO"/>
    <n v="1200"/>
    <n v="8000"/>
    <n v="6800"/>
  </r>
  <r>
    <x v="4"/>
    <s v="Netflix"/>
    <n v="9000"/>
    <n v="12000"/>
    <n v="3000"/>
  </r>
  <r>
    <x v="4"/>
    <s v="Crunchyroll"/>
    <n v="2000"/>
    <n v="6000"/>
    <n v="4000"/>
  </r>
  <r>
    <x v="5"/>
    <s v="Netflix"/>
    <n v="9000"/>
    <n v="12000"/>
    <n v="3000"/>
  </r>
  <r>
    <x v="5"/>
    <s v="DisneyP"/>
    <n v="4300"/>
    <n v="8000"/>
    <n v="3700"/>
  </r>
  <r>
    <x v="5"/>
    <s v="Netflix"/>
    <n v="9000"/>
    <n v="10500"/>
    <n v="1500"/>
  </r>
  <r>
    <x v="6"/>
    <s v="Netflix"/>
    <n v="9000"/>
    <n v="12000"/>
    <n v="3000"/>
  </r>
  <r>
    <x v="7"/>
    <s v="DisneyP"/>
    <n v="4300"/>
    <n v="8000"/>
    <n v="3700"/>
  </r>
  <r>
    <x v="7"/>
    <s v="HBO"/>
    <n v="1200"/>
    <n v="5000"/>
    <n v="3800"/>
  </r>
  <r>
    <x v="7"/>
    <s v="Netflix"/>
    <n v="9000"/>
    <n v="12000"/>
    <n v="3000"/>
  </r>
  <r>
    <x v="7"/>
    <s v="HBO"/>
    <n v="1200"/>
    <n v="5000"/>
    <n v="3800"/>
  </r>
  <r>
    <x v="7"/>
    <s v="Netflix"/>
    <n v="9000"/>
    <n v="11000"/>
    <n v="2000"/>
  </r>
  <r>
    <x v="7"/>
    <s v="HBO"/>
    <n v="1200"/>
    <n v="5000"/>
    <n v="3800"/>
  </r>
  <r>
    <x v="7"/>
    <s v="Netflix"/>
    <n v="9000"/>
    <n v="11000"/>
    <n v="2000"/>
  </r>
  <r>
    <x v="8"/>
    <s v="Canva"/>
    <n v="2000"/>
    <n v="8000"/>
    <n v="6000"/>
  </r>
  <r>
    <x v="8"/>
    <s v="HBO"/>
    <n v="1200"/>
    <n v="8000"/>
    <n v="6800"/>
  </r>
  <r>
    <x v="8"/>
    <s v="Netflix"/>
    <n v="9000"/>
    <n v="11000"/>
    <n v="2000"/>
  </r>
  <r>
    <x v="8"/>
    <s v="DisneyP"/>
    <n v="6000"/>
    <n v="8000"/>
    <n v="2000"/>
  </r>
  <r>
    <x v="8"/>
    <s v="DisneyP"/>
    <n v="4300"/>
    <n v="10000"/>
    <n v="5700"/>
  </r>
  <r>
    <x v="8"/>
    <s v="DisneyP"/>
    <n v="6000"/>
    <n v="8000"/>
    <n v="2000"/>
  </r>
  <r>
    <x v="8"/>
    <s v="HBO"/>
    <n v="1200"/>
    <n v="5000"/>
    <n v="3800"/>
  </r>
  <r>
    <x v="8"/>
    <s v="HBO"/>
    <n v="1200"/>
    <n v="8000"/>
    <n v="6800"/>
  </r>
  <r>
    <x v="9"/>
    <s v="DisneyP"/>
    <n v="4300"/>
    <n v="10000"/>
    <n v="5700"/>
  </r>
  <r>
    <x v="9"/>
    <s v="Netflix"/>
    <n v="9000"/>
    <n v="12000"/>
    <n v="3000"/>
  </r>
  <r>
    <x v="10"/>
    <s v="Netflix"/>
    <n v="9000"/>
    <n v="11000"/>
    <n v="2000"/>
  </r>
  <r>
    <x v="10"/>
    <s v="HBO"/>
    <n v="1200"/>
    <n v="5000"/>
    <n v="3800"/>
  </r>
  <r>
    <x v="11"/>
    <s v="Netflix"/>
    <n v="38000"/>
    <n v="40000"/>
    <n v="2000"/>
  </r>
  <r>
    <x v="11"/>
    <s v="DisneyP"/>
    <n v="32000"/>
    <n v="35000"/>
    <n v="3000"/>
  </r>
  <r>
    <x v="10"/>
    <s v="Spotify"/>
    <n v="6100"/>
    <n v="9000"/>
    <n v="2900"/>
  </r>
  <r>
    <x v="11"/>
    <s v="PrimeVideo"/>
    <n v="2000"/>
    <n v="8000"/>
    <n v="6000"/>
  </r>
  <r>
    <x v="10"/>
    <s v="HBO"/>
    <n v="1200"/>
    <n v="5000"/>
    <n v="3800"/>
  </r>
  <r>
    <x v="10"/>
    <s v="DisneyP"/>
    <n v="4300"/>
    <n v="8000"/>
    <n v="3700"/>
  </r>
  <r>
    <x v="10"/>
    <s v="IPTV"/>
    <n v="2990"/>
    <n v="8000"/>
    <n v="5010"/>
  </r>
  <r>
    <x v="11"/>
    <s v="HBO"/>
    <n v="5290"/>
    <n v="12000"/>
    <n v="6710"/>
  </r>
  <r>
    <x v="11"/>
    <s v="Netflix"/>
    <n v="38000"/>
    <n v="45000"/>
    <n v="7000"/>
  </r>
  <r>
    <x v="11"/>
    <s v="Netflix"/>
    <n v="9000"/>
    <n v="12000"/>
    <n v="3000"/>
  </r>
  <r>
    <x v="12"/>
    <s v="PrimeVideo"/>
    <n v="2000"/>
    <n v="8000"/>
    <n v="6000"/>
  </r>
  <r>
    <x v="12"/>
    <s v="DisneyP"/>
    <n v="6000"/>
    <n v="10000"/>
    <n v="4000"/>
  </r>
  <r>
    <x v="12"/>
    <s v="HBO"/>
    <n v="1200"/>
    <n v="8000"/>
    <n v="6800"/>
  </r>
  <r>
    <x v="12"/>
    <s v="HBO"/>
    <n v="1200"/>
    <n v="8000"/>
    <n v="6800"/>
  </r>
  <r>
    <x v="12"/>
    <s v="Netflix"/>
    <n v="9000"/>
    <n v="12000"/>
    <n v="3000"/>
  </r>
  <r>
    <x v="12"/>
    <s v="Netflix"/>
    <n v="9000"/>
    <n v="12000"/>
    <n v="3000"/>
  </r>
  <r>
    <x v="13"/>
    <s v="Spotify"/>
    <n v="6100"/>
    <n v="9000"/>
    <n v="2900"/>
  </r>
  <r>
    <x v="14"/>
    <s v="Netflix"/>
    <n v="9000"/>
    <n v="12000"/>
    <n v="3000"/>
  </r>
  <r>
    <x v="14"/>
    <s v="Netflix"/>
    <n v="9000"/>
    <n v="11000"/>
    <n v="2000"/>
  </r>
  <r>
    <x v="14"/>
    <s v="PrimeVideo"/>
    <n v="2000"/>
    <n v="5000"/>
    <n v="3000"/>
  </r>
  <r>
    <x v="14"/>
    <s v="DisneyP"/>
    <n v="6000"/>
    <n v="8000"/>
    <n v="2000"/>
  </r>
  <r>
    <x v="14"/>
    <s v="HBO"/>
    <n v="1200"/>
    <n v="5000"/>
    <n v="3800"/>
  </r>
  <r>
    <x v="14"/>
    <s v="Netflix"/>
    <n v="9000"/>
    <n v="12000"/>
    <n v="3000"/>
  </r>
  <r>
    <x v="14"/>
    <s v="Netflix"/>
    <n v="9000"/>
    <n v="11000"/>
    <n v="2000"/>
  </r>
  <r>
    <x v="14"/>
    <s v="Spotify"/>
    <n v="6100"/>
    <n v="9000"/>
    <n v="2900"/>
  </r>
  <r>
    <x v="15"/>
    <s v="DisneyP"/>
    <n v="6000"/>
    <n v="10000"/>
    <n v="4000"/>
  </r>
  <r>
    <x v="16"/>
    <s v="PrimeVideo"/>
    <n v="2000"/>
    <n v="8000"/>
    <n v="6000"/>
  </r>
  <r>
    <x v="16"/>
    <s v="DisneyP"/>
    <n v="6000"/>
    <n v="10000"/>
    <n v="4000"/>
  </r>
  <r>
    <x v="17"/>
    <s v="ChatGPT"/>
    <n v="12990"/>
    <n v="25000"/>
    <n v="12010"/>
  </r>
  <r>
    <x v="17"/>
    <s v="Netflix"/>
    <n v="18000"/>
    <n v="22000"/>
    <n v="4000"/>
  </r>
  <r>
    <x v="17"/>
    <s v="Netflix"/>
    <n v="9000"/>
    <n v="12000"/>
    <n v="3000"/>
  </r>
  <r>
    <x v="17"/>
    <s v="Netflix"/>
    <n v="9000"/>
    <n v="12000"/>
    <n v="3000"/>
  </r>
  <r>
    <x v="17"/>
    <s v="DisneyE"/>
    <n v="4500"/>
    <n v="8000"/>
    <n v="3500"/>
  </r>
  <r>
    <x v="18"/>
    <s v="DisneyP"/>
    <n v="4300"/>
    <n v="8000"/>
    <n v="3700"/>
  </r>
  <r>
    <x v="18"/>
    <s v="Netflix"/>
    <n v="9000"/>
    <n v="11000"/>
    <n v="2000"/>
  </r>
  <r>
    <x v="19"/>
    <s v="DisneyP"/>
    <n v="4300"/>
    <n v="8000"/>
    <n v="3700"/>
  </r>
  <r>
    <x v="19"/>
    <s v="PrimeVideo"/>
    <n v="2000"/>
    <n v="5000"/>
    <n v="3000"/>
  </r>
  <r>
    <x v="18"/>
    <s v="ChatGPT"/>
    <n v="12990"/>
    <n v="25000"/>
    <n v="12010"/>
  </r>
  <r>
    <x v="19"/>
    <s v="Netflix"/>
    <n v="9000"/>
    <n v="12000"/>
    <n v="3000"/>
  </r>
  <r>
    <x v="18"/>
    <s v="Spotify"/>
    <n v="6100"/>
    <n v="9000"/>
    <n v="2900"/>
  </r>
  <r>
    <x v="18"/>
    <s v="Spotify"/>
    <n v="6100"/>
    <n v="6500"/>
    <n v="400"/>
  </r>
  <r>
    <x v="18"/>
    <s v="DisneyP"/>
    <n v="6000"/>
    <n v="10000"/>
    <n v="4000"/>
  </r>
  <r>
    <x v="18"/>
    <s v="DisneyP"/>
    <n v="6000"/>
    <n v="10000"/>
    <n v="4000"/>
  </r>
  <r>
    <x v="20"/>
    <s v="DisneyP"/>
    <n v="4300"/>
    <n v="8000"/>
    <n v="3700"/>
  </r>
  <r>
    <x v="20"/>
    <s v="Netflix"/>
    <n v="9000"/>
    <n v="11000"/>
    <n v="2000"/>
  </r>
  <r>
    <x v="20"/>
    <s v="Spotify"/>
    <n v="6100"/>
    <n v="6500"/>
    <n v="400"/>
  </r>
  <r>
    <x v="20"/>
    <s v="Spotify"/>
    <n v="6100"/>
    <n v="6500"/>
    <n v="400"/>
  </r>
  <r>
    <x v="21"/>
    <s v="Spotify"/>
    <n v="6100"/>
    <n v="6500"/>
    <n v="400"/>
  </r>
  <r>
    <x v="21"/>
    <s v="DisneyP"/>
    <n v="4300"/>
    <n v="10000"/>
    <n v="5700"/>
  </r>
  <r>
    <x v="21"/>
    <s v="HBO"/>
    <n v="1200"/>
    <n v="8000"/>
    <n v="6800"/>
  </r>
  <r>
    <x v="22"/>
    <s v="Spotify"/>
    <n v="6100"/>
    <n v="9000"/>
    <n v="2900"/>
  </r>
  <r>
    <x v="22"/>
    <s v="HBO"/>
    <n v="1200"/>
    <n v="8000"/>
    <n v="6800"/>
  </r>
  <r>
    <x v="22"/>
    <s v="HBO"/>
    <n v="1200"/>
    <n v="8000"/>
    <n v="6800"/>
  </r>
  <r>
    <x v="23"/>
    <s v="Netflix"/>
    <n v="9000"/>
    <n v="12000"/>
    <n v="3000"/>
  </r>
  <r>
    <x v="23"/>
    <s v="DisneyP"/>
    <n v="4300"/>
    <n v="10000"/>
    <n v="5700"/>
  </r>
  <r>
    <x v="24"/>
    <s v="Netflix"/>
    <n v="9000"/>
    <n v="12000"/>
    <n v="3000"/>
  </r>
  <r>
    <x v="25"/>
    <s v="DisneyP"/>
    <n v="4300"/>
    <n v="10000"/>
    <n v="5700"/>
  </r>
  <r>
    <x v="25"/>
    <s v="Spotify"/>
    <n v="6100"/>
    <n v="9000"/>
    <n v="2900"/>
  </r>
  <r>
    <x v="25"/>
    <s v="PrimeVideo"/>
    <n v="2000"/>
    <n v="8000"/>
    <n v="6000"/>
  </r>
  <r>
    <x v="24"/>
    <s v="DisneyP"/>
    <n v="4300"/>
    <n v="10000"/>
    <n v="5700"/>
  </r>
  <r>
    <x v="25"/>
    <s v="DisneyP"/>
    <n v="4300"/>
    <n v="10000"/>
    <n v="5700"/>
  </r>
  <r>
    <x v="24"/>
    <s v="HBO"/>
    <n v="1200"/>
    <n v="8000"/>
    <n v="6800"/>
  </r>
  <r>
    <x v="26"/>
    <s v="HBO"/>
    <n v="1200"/>
    <n v="8000"/>
    <n v="6800"/>
  </r>
  <r>
    <x v="25"/>
    <s v="Vix"/>
    <n v="2000"/>
    <n v="6000"/>
    <n v="4000"/>
  </r>
  <r>
    <x v="25"/>
    <s v="DisneyP"/>
    <n v="4300"/>
    <n v="8000"/>
    <n v="3700"/>
  </r>
  <r>
    <x v="25"/>
    <s v="Netflix"/>
    <n v="9000"/>
    <n v="11000"/>
    <n v="2000"/>
  </r>
  <r>
    <x v="25"/>
    <s v="HBO"/>
    <n v="1200"/>
    <n v="5000"/>
    <n v="3800"/>
  </r>
  <r>
    <x v="25"/>
    <s v="PrimeVideo"/>
    <n v="2000"/>
    <n v="5000"/>
    <n v="3000"/>
  </r>
  <r>
    <x v="25"/>
    <s v="Spotify"/>
    <n v="6100"/>
    <n v="9000"/>
    <n v="2900"/>
  </r>
  <r>
    <x v="26"/>
    <s v="Netflix"/>
    <n v="9000"/>
    <n v="12000"/>
    <n v="3000"/>
  </r>
  <r>
    <x v="25"/>
    <s v="PrimeVideo"/>
    <n v="2000"/>
    <n v="8000"/>
    <n v="6000"/>
  </r>
  <r>
    <x v="25"/>
    <s v="HBO"/>
    <n v="1200"/>
    <n v="8000"/>
    <n v="6800"/>
  </r>
  <r>
    <x v="27"/>
    <s v="HBO"/>
    <n v="1900"/>
    <n v="8000"/>
    <n v="6100"/>
  </r>
  <r>
    <x v="28"/>
    <s v="Netflix"/>
    <n v="9000"/>
    <n v="12000"/>
    <n v="3000"/>
  </r>
  <r>
    <x v="27"/>
    <s v="HBO"/>
    <n v="1900"/>
    <n v="8000"/>
    <n v="6100"/>
  </r>
  <r>
    <x v="27"/>
    <s v="Netflix"/>
    <n v="9000"/>
    <n v="12000"/>
    <n v="3000"/>
  </r>
  <r>
    <x v="27"/>
    <s v="DisneyP"/>
    <n v="6000"/>
    <n v="10000"/>
    <n v="4000"/>
  </r>
  <r>
    <x v="27"/>
    <s v="Spotify"/>
    <n v="6100"/>
    <n v="6500"/>
    <n v="400"/>
  </r>
  <r>
    <x v="29"/>
    <s v="Netflix"/>
    <n v="9000"/>
    <n v="11000"/>
    <n v="2000"/>
  </r>
  <r>
    <x v="29"/>
    <s v="DisneyP"/>
    <n v="4300"/>
    <n v="8000"/>
    <n v="3700"/>
  </r>
  <r>
    <x v="29"/>
    <s v="HBO"/>
    <n v="2000"/>
    <n v="8000"/>
    <n v="6000"/>
  </r>
  <r>
    <x v="29"/>
    <s v="Netflix"/>
    <n v="9000"/>
    <n v="12000"/>
    <n v="3000"/>
  </r>
  <r>
    <x v="29"/>
    <s v="Netflix"/>
    <n v="9000"/>
    <n v="12000"/>
    <n v="3000"/>
  </r>
  <r>
    <x v="29"/>
    <s v="Netflix"/>
    <n v="9000"/>
    <n v="12000"/>
    <n v="3000"/>
  </r>
  <r>
    <x v="29"/>
    <s v="HBO"/>
    <n v="12000"/>
    <n v="30000"/>
    <n v="18000"/>
  </r>
  <r>
    <x v="29"/>
    <s v="DisneyP"/>
    <n v="36000"/>
    <n v="48000"/>
    <n v="12000"/>
  </r>
  <r>
    <x v="29"/>
    <s v="PrimeVideo"/>
    <n v="12000"/>
    <n v="30000"/>
    <n v="18000"/>
  </r>
  <r>
    <x v="29"/>
    <s v="Spotify"/>
    <n v="6100"/>
    <n v="9000"/>
    <n v="2900"/>
  </r>
  <r>
    <x v="30"/>
    <s v="Netflix"/>
    <n v="9000"/>
    <n v="10000"/>
    <n v="1000"/>
  </r>
  <r>
    <x v="30"/>
    <s v="DisneyP"/>
    <n v="6000"/>
    <n v="8000"/>
    <n v="2000"/>
  </r>
  <r>
    <x v="30"/>
    <s v="Netflix"/>
    <n v="9000"/>
    <n v="12000"/>
    <n v="3000"/>
  </r>
  <r>
    <x v="30"/>
    <s v="DisneyP"/>
    <n v="4300"/>
    <n v="10000"/>
    <n v="5700"/>
  </r>
  <r>
    <x v="31"/>
    <s v="Crunchyroll"/>
    <n v="2000"/>
    <n v="6000"/>
    <n v="4000"/>
  </r>
  <r>
    <x v="31"/>
    <s v="ChatGPT"/>
    <n v="12990"/>
    <n v="25000"/>
    <n v="12010"/>
  </r>
  <r>
    <x v="31"/>
    <s v="DisneyP"/>
    <n v="6000"/>
    <n v="8000"/>
    <n v="2000"/>
  </r>
  <r>
    <x v="31"/>
    <s v="HBO"/>
    <n v="1400"/>
    <n v="5000"/>
    <n v="3600"/>
  </r>
  <r>
    <x v="31"/>
    <s v="HBO"/>
    <n v="1400"/>
    <n v="5000"/>
    <n v="3600"/>
  </r>
  <r>
    <x v="31"/>
    <s v="Netflix"/>
    <n v="9000"/>
    <n v="11000"/>
    <n v="2000"/>
  </r>
  <r>
    <x v="32"/>
    <s v="HBO"/>
    <n v="1400"/>
    <n v="8000"/>
    <n v="6600"/>
  </r>
  <r>
    <x v="33"/>
    <s v="PrimeVideo"/>
    <n v="2000"/>
    <n v="5000"/>
    <n v="3000"/>
  </r>
  <r>
    <x v="33"/>
    <s v="Netflix"/>
    <n v="9000"/>
    <n v="11000"/>
    <n v="2000"/>
  </r>
  <r>
    <x v="33"/>
    <s v="Netflix"/>
    <n v="9000"/>
    <n v="12000"/>
    <n v="3000"/>
  </r>
  <r>
    <x v="33"/>
    <s v="Netflix"/>
    <n v="9000"/>
    <n v="12000"/>
    <n v="3000"/>
  </r>
  <r>
    <x v="33"/>
    <s v="Netflix"/>
    <n v="9000"/>
    <n v="12000"/>
    <n v="3000"/>
  </r>
  <r>
    <x v="34"/>
    <s v="Netflix"/>
    <n v="9000"/>
    <n v="12000"/>
    <n v="3000"/>
  </r>
  <r>
    <x v="35"/>
    <s v="Netflix"/>
    <n v="9000"/>
    <n v="11000"/>
    <n v="2000"/>
  </r>
  <r>
    <x v="35"/>
    <s v="PrimeVideo"/>
    <n v="2000"/>
    <n v="5000"/>
    <n v="3000"/>
  </r>
  <r>
    <x v="35"/>
    <s v="Spotify"/>
    <n v="6100"/>
    <n v="9000"/>
    <n v="2900"/>
  </r>
  <r>
    <x v="35"/>
    <s v="DisneyP"/>
    <n v="4300"/>
    <n v="10000"/>
    <n v="5700"/>
  </r>
  <r>
    <x v="35"/>
    <s v="Netflix"/>
    <n v="9000"/>
    <n v="12000"/>
    <n v="3000"/>
  </r>
  <r>
    <x v="35"/>
    <s v="Canva"/>
    <n v="2000"/>
    <n v="8000"/>
    <n v="6000"/>
  </r>
  <r>
    <x v="35"/>
    <s v="Netflix"/>
    <n v="9000"/>
    <n v="12000"/>
    <n v="3000"/>
  </r>
  <r>
    <x v="36"/>
    <s v="Netflix"/>
    <n v="9000"/>
    <n v="12000"/>
    <n v="3000"/>
  </r>
  <r>
    <x v="36"/>
    <s v="YouTube"/>
    <n v="28000"/>
    <n v="35000"/>
    <n v="7000"/>
  </r>
  <r>
    <x v="36"/>
    <s v="Netflix"/>
    <n v="9000"/>
    <n v="12000"/>
    <n v="3000"/>
  </r>
  <r>
    <x v="36"/>
    <s v="DisneyE"/>
    <n v="3500"/>
    <n v="8000"/>
    <n v="4500"/>
  </r>
  <r>
    <x v="36"/>
    <s v="DisneyP"/>
    <n v="4300"/>
    <n v="10000"/>
    <n v="5700"/>
  </r>
  <r>
    <x v="37"/>
    <s v="Spotify"/>
    <n v="6100"/>
    <n v="9000"/>
    <n v="2900"/>
  </r>
  <r>
    <x v="38"/>
    <s v="HBO"/>
    <n v="1400"/>
    <n v="5000"/>
    <n v="3600"/>
  </r>
  <r>
    <x v="38"/>
    <s v="IPTV"/>
    <n v="2990"/>
    <n v="8000"/>
    <n v="5010"/>
  </r>
  <r>
    <x v="39"/>
    <s v="DisneyP"/>
    <n v="6000"/>
    <n v="8000"/>
    <n v="2000"/>
  </r>
  <r>
    <x v="39"/>
    <s v="HBO"/>
    <n v="1400"/>
    <n v="5000"/>
    <n v="3600"/>
  </r>
  <r>
    <x v="37"/>
    <s v="Netflix"/>
    <n v="9000"/>
    <n v="12000"/>
    <n v="3000"/>
  </r>
  <r>
    <x v="37"/>
    <s v="ChatGPT"/>
    <n v="8000"/>
    <n v="20000"/>
    <n v="12000"/>
  </r>
  <r>
    <x v="37"/>
    <s v="Netflix"/>
    <n v="18000"/>
    <n v="22000"/>
    <n v="4000"/>
  </r>
  <r>
    <x v="39"/>
    <s v="Netflix"/>
    <n v="9000"/>
    <n v="12000"/>
    <n v="3000"/>
  </r>
  <r>
    <x v="39"/>
    <s v="Netflix"/>
    <n v="9000"/>
    <n v="12000"/>
    <n v="3000"/>
  </r>
  <r>
    <x v="39"/>
    <s v="HBO"/>
    <n v="1400"/>
    <n v="8000"/>
    <n v="6600"/>
  </r>
  <r>
    <x v="39"/>
    <s v="Netflix"/>
    <n v="9000"/>
    <n v="11000"/>
    <n v="2000"/>
  </r>
  <r>
    <x v="39"/>
    <s v="HBO"/>
    <n v="1400"/>
    <n v="5000"/>
    <n v="3600"/>
  </r>
  <r>
    <x v="39"/>
    <s v="DisneyP"/>
    <n v="4300"/>
    <n v="8000"/>
    <n v="3700"/>
  </r>
  <r>
    <x v="39"/>
    <s v="PrimeVideo"/>
    <n v="2000"/>
    <n v="5000"/>
    <n v="3000"/>
  </r>
  <r>
    <x v="39"/>
    <s v="HBO"/>
    <n v="7000"/>
    <n v="12000"/>
    <n v="5000"/>
  </r>
  <r>
    <x v="40"/>
    <s v="DisneyP"/>
    <n v="4300"/>
    <n v="8000"/>
    <n v="3700"/>
  </r>
  <r>
    <x v="40"/>
    <s v="Netflix"/>
    <n v="9000"/>
    <n v="11000"/>
    <n v="2000"/>
  </r>
  <r>
    <x v="40"/>
    <s v="Netflix"/>
    <n v="9000"/>
    <n v="12000"/>
    <n v="3000"/>
  </r>
  <r>
    <x v="40"/>
    <s v="PrimeVideo"/>
    <n v="2000"/>
    <n v="8000"/>
    <n v="6000"/>
  </r>
  <r>
    <x v="40"/>
    <s v="Spotify"/>
    <n v="6100"/>
    <n v="9000"/>
    <n v="2900"/>
  </r>
  <r>
    <x v="40"/>
    <s v="Spotify"/>
    <n v="6100"/>
    <n v="9000"/>
    <n v="2900"/>
  </r>
  <r>
    <x v="40"/>
    <s v="HBO"/>
    <n v="1400"/>
    <n v="8000"/>
    <n v="6600"/>
  </r>
  <r>
    <x v="41"/>
    <s v="Crunchyroll"/>
    <n v="2000"/>
    <n v="6000"/>
    <n v="4000"/>
  </r>
  <r>
    <x v="41"/>
    <s v="DisneyP"/>
    <n v="4300"/>
    <n v="10000"/>
    <n v="5700"/>
  </r>
  <r>
    <x v="41"/>
    <s v="Netflix"/>
    <n v="9000"/>
    <n v="12000"/>
    <n v="3000"/>
  </r>
  <r>
    <x v="42"/>
    <s v="Netflix"/>
    <n v="9000"/>
    <n v="12000"/>
    <n v="3000"/>
  </r>
  <r>
    <x v="42"/>
    <s v="Netflix"/>
    <n v="9000"/>
    <n v="12000"/>
    <n v="3000"/>
  </r>
  <r>
    <x v="42"/>
    <s v="DisneyP"/>
    <n v="25990"/>
    <n v="30000"/>
    <n v="4010"/>
  </r>
  <r>
    <x v="42"/>
    <s v="DisneyP"/>
    <n v="6000"/>
    <n v="10000"/>
    <n v="4000"/>
  </r>
  <r>
    <x v="43"/>
    <s v="ChatGPT"/>
    <n v="8000"/>
    <n v="20000"/>
    <n v="12000"/>
  </r>
  <r>
    <x v="44"/>
    <s v="Netflix"/>
    <n v="9000"/>
    <n v="12000"/>
    <n v="3000"/>
  </r>
  <r>
    <x v="44"/>
    <s v="Netflix"/>
    <n v="9000"/>
    <n v="11000"/>
    <n v="2000"/>
  </r>
  <r>
    <x v="44"/>
    <s v="HBO"/>
    <n v="1400"/>
    <n v="5000"/>
    <n v="3600"/>
  </r>
  <r>
    <x v="45"/>
    <s v="Spotify"/>
    <n v="6100"/>
    <n v="6500"/>
    <n v="400"/>
  </r>
  <r>
    <x v="45"/>
    <s v="Spotify"/>
    <n v="6100"/>
    <n v="6500"/>
    <n v="400"/>
  </r>
  <r>
    <x v="45"/>
    <s v="ChatGPT"/>
    <n v="8000"/>
    <n v="20000"/>
    <n v="12000"/>
  </r>
  <r>
    <x v="45"/>
    <s v="Netflix"/>
    <n v="9000"/>
    <n v="12000"/>
    <n v="3000"/>
  </r>
  <r>
    <x v="45"/>
    <s v="DisneyP"/>
    <n v="3500"/>
    <n v="8000"/>
    <n v="4500"/>
  </r>
  <r>
    <x v="45"/>
    <s v="Netflix"/>
    <n v="9000"/>
    <n v="12000"/>
    <n v="3000"/>
  </r>
  <r>
    <x v="45"/>
    <s v="DisneyP"/>
    <n v="4300"/>
    <n v="10000"/>
    <n v="5700"/>
  </r>
  <r>
    <x v="45"/>
    <s v="Netflix"/>
    <n v="9000"/>
    <n v="12000"/>
    <n v="3000"/>
  </r>
  <r>
    <x v="45"/>
    <s v="DisneyP"/>
    <n v="4600"/>
    <n v="10000"/>
    <n v="5400"/>
  </r>
  <r>
    <x v="45"/>
    <s v="Spotify"/>
    <n v="6100"/>
    <n v="9000"/>
    <n v="2900"/>
  </r>
  <r>
    <x v="45"/>
    <s v="Netflix"/>
    <n v="9000"/>
    <n v="12000"/>
    <n v="3000"/>
  </r>
  <r>
    <x v="46"/>
    <s v="HBO"/>
    <n v="1600"/>
    <n v="8000"/>
    <n v="6400"/>
  </r>
  <r>
    <x v="46"/>
    <s v="GamePass"/>
    <n v="15500"/>
    <n v="25000"/>
    <n v="9500"/>
  </r>
  <r>
    <x v="47"/>
    <s v="Spotify"/>
    <n v="6100"/>
    <n v="9000"/>
    <n v="2900"/>
  </r>
  <r>
    <x v="48"/>
    <s v="Netflix"/>
    <n v="9000"/>
    <n v="12000"/>
    <n v="3000"/>
  </r>
  <r>
    <x v="49"/>
    <s v="Netflix"/>
    <n v="9000"/>
    <n v="12000"/>
    <n v="3000"/>
  </r>
  <r>
    <x v="50"/>
    <s v="Spotify"/>
    <n v="6100"/>
    <n v="6500"/>
    <n v="400"/>
  </r>
  <r>
    <x v="50"/>
    <s v="HBO"/>
    <n v="1600"/>
    <n v="8000"/>
    <n v="6400"/>
  </r>
  <r>
    <x v="50"/>
    <s v="Netflix"/>
    <n v="9000"/>
    <n v="12000"/>
    <n v="3000"/>
  </r>
  <r>
    <x v="50"/>
    <s v="PrimeVideo"/>
    <n v="2000"/>
    <n v="5000"/>
    <n v="3000"/>
  </r>
  <r>
    <x v="50"/>
    <s v="DisneyP"/>
    <n v="4600"/>
    <n v="8000"/>
    <n v="3400"/>
  </r>
  <r>
    <x v="51"/>
    <s v="HBO"/>
    <n v="1600"/>
    <n v="8000"/>
    <n v="6400"/>
  </r>
  <r>
    <x v="51"/>
    <s v="Netflix"/>
    <n v="9000"/>
    <n v="12000"/>
    <n v="3000"/>
  </r>
  <r>
    <x v="50"/>
    <s v="Spotify"/>
    <n v="6100"/>
    <n v="9000"/>
    <n v="2900"/>
  </r>
  <r>
    <x v="50"/>
    <s v="PrimeVideo"/>
    <n v="2000"/>
    <n v="8000"/>
    <n v="6000"/>
  </r>
  <r>
    <x v="50"/>
    <s v="Spotify"/>
    <n v="6100"/>
    <n v="9000"/>
    <n v="2900"/>
  </r>
  <r>
    <x v="50"/>
    <s v="DisneyP"/>
    <n v="4600"/>
    <n v="10000"/>
    <n v="5400"/>
  </r>
  <r>
    <x v="50"/>
    <s v="DisneyP"/>
    <n v="4600"/>
    <n v="8000"/>
    <n v="3400"/>
  </r>
  <r>
    <x v="50"/>
    <s v="PrimeVideo"/>
    <n v="2000"/>
    <n v="5000"/>
    <n v="3000"/>
  </r>
  <r>
    <x v="50"/>
    <s v="Netflix"/>
    <n v="9000"/>
    <n v="11000"/>
    <n v="2000"/>
  </r>
  <r>
    <x v="50"/>
    <s v="HBO"/>
    <n v="1600"/>
    <n v="5000"/>
    <n v="3400"/>
  </r>
  <r>
    <x v="52"/>
    <s v="HBO"/>
    <n v="1600"/>
    <n v="8000"/>
    <n v="6400"/>
  </r>
  <r>
    <x v="52"/>
    <s v="HBO"/>
    <n v="1600"/>
    <n v="8000"/>
    <n v="6400"/>
  </r>
  <r>
    <x v="52"/>
    <s v="Netflix"/>
    <n v="9000"/>
    <n v="12000"/>
    <n v="3000"/>
  </r>
  <r>
    <x v="53"/>
    <s v="PrimeVideo"/>
    <n v="2000"/>
    <n v="8000"/>
    <n v="6000"/>
  </r>
  <r>
    <x v="53"/>
    <s v="Spotify"/>
    <n v="6100"/>
    <n v="6500"/>
    <n v="400"/>
  </r>
  <r>
    <x v="53"/>
    <s v="Spotify"/>
    <n v="6100"/>
    <n v="9000"/>
    <n v="2900"/>
  </r>
  <r>
    <x v="52"/>
    <s v="HBO"/>
    <n v="1600"/>
    <n v="8000"/>
    <n v="6400"/>
  </r>
  <r>
    <x v="52"/>
    <s v="HBO"/>
    <n v="1600"/>
    <n v="8000"/>
    <n v="6400"/>
  </r>
  <r>
    <x v="54"/>
    <s v="DisneyP"/>
    <n v="6000"/>
    <n v="10000"/>
    <n v="4000"/>
  </r>
  <r>
    <x v="55"/>
    <s v="DisneyP"/>
    <n v="6000"/>
    <n v="10000"/>
    <n v="4000"/>
  </r>
  <r>
    <x v="55"/>
    <s v="Netflix"/>
    <n v="9000"/>
    <n v="12000"/>
    <n v="3000"/>
  </r>
  <r>
    <x v="56"/>
    <s v="PrimeVideo"/>
    <n v="2000"/>
    <n v="5000"/>
    <n v="3000"/>
  </r>
  <r>
    <x v="56"/>
    <s v="DisneyP"/>
    <n v="3500"/>
    <n v="6000"/>
    <n v="2500"/>
  </r>
  <r>
    <x v="56"/>
    <s v="Netflix"/>
    <n v="9000"/>
    <n v="12000"/>
    <n v="3000"/>
  </r>
  <r>
    <x v="56"/>
    <s v="HBO"/>
    <n v="1600"/>
    <n v="5000"/>
    <n v="3400"/>
  </r>
  <r>
    <x v="56"/>
    <s v="DisneyP"/>
    <n v="6000"/>
    <n v="8000"/>
    <n v="2000"/>
  </r>
  <r>
    <x v="56"/>
    <s v="DisneyP"/>
    <n v="6000"/>
    <n v="10000"/>
    <n v="4000"/>
  </r>
  <r>
    <x v="56"/>
    <s v="Netflix"/>
    <n v="9000"/>
    <n v="12000"/>
    <n v="3000"/>
  </r>
  <r>
    <x v="56"/>
    <s v="Netflix"/>
    <n v="9000"/>
    <n v="12000"/>
    <n v="3000"/>
  </r>
  <r>
    <x v="56"/>
    <s v="Netflix"/>
    <n v="9000"/>
    <n v="12000"/>
    <n v="3000"/>
  </r>
  <r>
    <x v="57"/>
    <s v="Directv"/>
    <n v="9900"/>
    <n v="15000"/>
    <n v="5100"/>
  </r>
  <r>
    <x v="57"/>
    <s v="Netflix"/>
    <n v="9000"/>
    <n v="12000"/>
    <n v="3000"/>
  </r>
  <r>
    <x v="58"/>
    <s v="Netflix"/>
    <n v="9000"/>
    <n v="12000"/>
    <n v="3000"/>
  </r>
  <r>
    <x v="58"/>
    <s v="Spotify"/>
    <n v="6100"/>
    <n v="9000"/>
    <n v="2900"/>
  </r>
  <r>
    <x v="59"/>
    <s v="Netflix"/>
    <n v="9000"/>
    <n v="12000"/>
    <n v="3000"/>
  </r>
  <r>
    <x v="58"/>
    <s v="Canva"/>
    <n v="2000"/>
    <n v="8000"/>
    <n v="6000"/>
  </r>
  <r>
    <x v="57"/>
    <s v="Netflix"/>
    <n v="9000"/>
    <n v="11000"/>
    <n v="2000"/>
  </r>
  <r>
    <x v="57"/>
    <s v="DisneyP"/>
    <n v="6000"/>
    <n v="8000"/>
    <n v="2000"/>
  </r>
  <r>
    <x v="57"/>
    <s v="Paramount"/>
    <n v="1500"/>
    <n v="5000"/>
    <n v="3500"/>
  </r>
  <r>
    <x v="57"/>
    <s v="PrimeVideo"/>
    <n v="2000"/>
    <n v="5000"/>
    <n v="3000"/>
  </r>
  <r>
    <x v="60"/>
    <s v="Crunchyroll"/>
    <n v="2000"/>
    <n v="6000"/>
    <n v="4000"/>
  </r>
  <r>
    <x v="60"/>
    <s v="Netflix"/>
    <n v="18000"/>
    <n v="22000"/>
    <n v="4000"/>
  </r>
  <r>
    <x v="60"/>
    <s v="PrimeVideo"/>
    <n v="4000"/>
    <n v="10000"/>
    <n v="6000"/>
  </r>
  <r>
    <x v="61"/>
    <s v="Netflix"/>
    <n v="9000"/>
    <n v="12000"/>
    <n v="3000"/>
  </r>
  <r>
    <x v="61"/>
    <s v="Netflix"/>
    <n v="9000"/>
    <n v="12000"/>
    <n v="3000"/>
  </r>
  <r>
    <x v="61"/>
    <s v="ChatGPT"/>
    <n v="8000"/>
    <n v="20000"/>
    <n v="12000"/>
  </r>
  <r>
    <x v="61"/>
    <s v="Netflix"/>
    <n v="9000"/>
    <n v="11000"/>
    <n v="2000"/>
  </r>
  <r>
    <x v="61"/>
    <s v="HBO"/>
    <n v="1600"/>
    <n v="5000"/>
    <n v="3400"/>
  </r>
  <r>
    <x v="62"/>
    <s v="Netflix"/>
    <n v="9000"/>
    <n v="12000"/>
    <n v="3000"/>
  </r>
  <r>
    <x v="62"/>
    <s v="Netflix"/>
    <n v="9000"/>
    <n v="11000"/>
    <n v="2000"/>
  </r>
  <r>
    <x v="62"/>
    <s v="DisneyP"/>
    <n v="4600"/>
    <n v="8000"/>
    <n v="3400"/>
  </r>
  <r>
    <x v="62"/>
    <s v="PrimeVideo"/>
    <n v="2500"/>
    <n v="8000"/>
    <n v="5500"/>
  </r>
  <r>
    <x v="63"/>
    <s v="HBO"/>
    <n v="1600"/>
    <n v="8000"/>
    <n v="6400"/>
  </r>
  <r>
    <x v="63"/>
    <s v="Spotify"/>
    <n v="6100"/>
    <n v="9000"/>
    <n v="2900"/>
  </r>
  <r>
    <x v="63"/>
    <s v="HBO"/>
    <n v="1600"/>
    <n v="5000"/>
    <n v="3400"/>
  </r>
  <r>
    <x v="63"/>
    <s v="PrimeVideo"/>
    <n v="2500"/>
    <n v="8000"/>
    <n v="5500"/>
  </r>
  <r>
    <x v="63"/>
    <s v="Netflix"/>
    <n v="9000"/>
    <n v="12000"/>
    <n v="3000"/>
  </r>
  <r>
    <x v="64"/>
    <s v="Spotify"/>
    <n v="6100"/>
    <n v="9000"/>
    <n v="2900"/>
  </r>
  <r>
    <x v="64"/>
    <s v="Spotify"/>
    <n v="6100"/>
    <n v="9000"/>
    <n v="2900"/>
  </r>
  <r>
    <x v="64"/>
    <s v="Netflix"/>
    <n v="18000"/>
    <n v="22000"/>
    <n v="4000"/>
  </r>
  <r>
    <x v="64"/>
    <s v="Canva"/>
    <n v="2000"/>
    <n v="8000"/>
    <n v="6000"/>
  </r>
  <r>
    <x v="65"/>
    <s v="DisneyP"/>
    <n v="7000"/>
    <n v="10000"/>
    <n v="3000"/>
  </r>
  <r>
    <x v="65"/>
    <s v="DisneyP"/>
    <n v="7000"/>
    <n v="10000"/>
    <n v="3000"/>
  </r>
  <r>
    <x v="65"/>
    <s v="ChatGPT"/>
    <n v="8000"/>
    <n v="20000"/>
    <n v="12000"/>
  </r>
  <r>
    <x v="65"/>
    <s v="Netflix"/>
    <n v="9000"/>
    <n v="12000"/>
    <n v="3000"/>
  </r>
  <r>
    <x v="65"/>
    <s v="Netflix"/>
    <n v="9000"/>
    <n v="11000"/>
    <n v="2000"/>
  </r>
  <r>
    <x v="66"/>
    <s v="Spotify"/>
    <n v="18300"/>
    <n v="27000"/>
    <n v="8700"/>
  </r>
  <r>
    <x v="66"/>
    <s v="Netflix"/>
    <n v="9000"/>
    <n v="12000"/>
    <n v="3000"/>
  </r>
  <r>
    <x v="66"/>
    <s v="Netflix"/>
    <n v="9000"/>
    <n v="12000"/>
    <n v="3000"/>
  </r>
  <r>
    <x v="66"/>
    <s v="DisneyP"/>
    <n v="6000"/>
    <n v="10000"/>
    <n v="4000"/>
  </r>
  <r>
    <x v="66"/>
    <s v="Netflix"/>
    <n v="9000"/>
    <n v="11000"/>
    <n v="2000"/>
  </r>
  <r>
    <x v="66"/>
    <s v="DisneyP"/>
    <n v="4600"/>
    <n v="8000"/>
    <n v="3400"/>
  </r>
  <r>
    <x v="66"/>
    <s v="PrimeVideo"/>
    <n v="2500"/>
    <n v="5000"/>
    <n v="2500"/>
  </r>
  <r>
    <x v="66"/>
    <s v="HBO"/>
    <n v="2000"/>
    <n v="5000"/>
    <n v="3000"/>
  </r>
  <r>
    <x v="67"/>
    <s v="ChatGPT"/>
    <n v="8000"/>
    <n v="20000"/>
    <n v="12000"/>
  </r>
  <r>
    <x v="67"/>
    <s v="DisneyP"/>
    <n v="7000"/>
    <n v="10000"/>
    <n v="3000"/>
  </r>
  <r>
    <x v="67"/>
    <s v="HBO"/>
    <n v="2000"/>
    <n v="8000"/>
    <n v="6000"/>
  </r>
  <r>
    <x v="67"/>
    <s v="HBO"/>
    <n v="2000"/>
    <n v="8000"/>
    <n v="6000"/>
  </r>
  <r>
    <x v="67"/>
    <s v="Spotify"/>
    <n v="6100"/>
    <n v="6500"/>
    <n v="400"/>
  </r>
  <r>
    <x v="67"/>
    <s v="Netflix"/>
    <n v="9000"/>
    <n v="12000"/>
    <n v="3000"/>
  </r>
  <r>
    <x v="67"/>
    <s v="Netflix"/>
    <n v="9000"/>
    <n v="12000"/>
    <n v="3000"/>
  </r>
  <r>
    <x v="68"/>
    <s v="Spotify"/>
    <n v="6100"/>
    <n v="9000"/>
    <n v="2900"/>
  </r>
  <r>
    <x v="68"/>
    <s v="Spotify"/>
    <n v="6100"/>
    <n v="9000"/>
    <n v="2900"/>
  </r>
  <r>
    <x v="68"/>
    <s v="Netflix"/>
    <n v="9000"/>
    <n v="12000"/>
    <n v="3000"/>
  </r>
  <r>
    <x v="69"/>
    <s v="Netflix"/>
    <n v="9000"/>
    <n v="12000"/>
    <n v="3000"/>
  </r>
  <r>
    <x v="69"/>
    <s v="Netflix"/>
    <n v="9000"/>
    <n v="12000"/>
    <n v="3000"/>
  </r>
  <r>
    <x v="70"/>
    <s v="Spotify"/>
    <n v="6100"/>
    <n v="6500"/>
    <n v="400"/>
  </r>
  <r>
    <x v="70"/>
    <s v="Netflix"/>
    <n v="9000"/>
    <n v="12000"/>
    <n v="3000"/>
  </r>
  <r>
    <x v="71"/>
    <s v="Netflix"/>
    <n v="9000"/>
    <n v="11000"/>
    <n v="2000"/>
  </r>
  <r>
    <x v="71"/>
    <s v="PrimeVideo"/>
    <n v="2500"/>
    <n v="5000"/>
    <n v="2500"/>
  </r>
  <r>
    <x v="71"/>
    <s v="HBO"/>
    <n v="2000"/>
    <n v="5000"/>
    <n v="3000"/>
  </r>
  <r>
    <x v="71"/>
    <s v="Netflix"/>
    <n v="9000"/>
    <n v="12000"/>
    <n v="3000"/>
  </r>
  <r>
    <x v="71"/>
    <s v="Netflix"/>
    <n v="9000"/>
    <n v="12000"/>
    <n v="3000"/>
  </r>
  <r>
    <x v="72"/>
    <s v="DisneyP"/>
    <n v="4600"/>
    <n v="10000"/>
    <n v="5400"/>
  </r>
  <r>
    <x v="72"/>
    <s v="Netflix"/>
    <n v="9000"/>
    <n v="12000"/>
    <n v="3000"/>
  </r>
  <r>
    <x v="72"/>
    <s v="Spotify"/>
    <n v="6100"/>
    <n v="9000"/>
    <n v="2900"/>
  </r>
  <r>
    <x v="73"/>
    <s v="DisneyP"/>
    <n v="4600"/>
    <n v="8000"/>
    <n v="3400"/>
  </r>
  <r>
    <x v="73"/>
    <s v="Netflix"/>
    <n v="9000"/>
    <n v="11000"/>
    <n v="2000"/>
  </r>
  <r>
    <x v="73"/>
    <s v="PrimeVideo"/>
    <n v="2500"/>
    <n v="5000"/>
    <n v="2500"/>
  </r>
  <r>
    <x v="73"/>
    <s v="HBO"/>
    <n v="2000"/>
    <n v="5000"/>
    <n v="3000"/>
  </r>
  <r>
    <x v="73"/>
    <s v="Netflix"/>
    <n v="9000"/>
    <n v="12000"/>
    <n v="3000"/>
  </r>
  <r>
    <x v="73"/>
    <s v="PrimeVideo"/>
    <n v="2500"/>
    <n v="5000"/>
    <n v="2500"/>
  </r>
  <r>
    <x v="73"/>
    <s v="Spotify"/>
    <n v="6100"/>
    <n v="9000"/>
    <n v="2900"/>
  </r>
  <r>
    <x v="73"/>
    <s v="PrimeVideo"/>
    <n v="2500"/>
    <n v="5000"/>
    <n v="2500"/>
  </r>
  <r>
    <x v="73"/>
    <s v="DisneyP"/>
    <n v="4600"/>
    <n v="8000"/>
    <n v="3400"/>
  </r>
  <r>
    <x v="73"/>
    <s v="DisneyP"/>
    <n v="4600"/>
    <n v="10000"/>
    <n v="5400"/>
  </r>
  <r>
    <x v="73"/>
    <s v="HBO"/>
    <n v="2000"/>
    <n v="8000"/>
    <n v="6000"/>
  </r>
  <r>
    <x v="74"/>
    <s v="HBO"/>
    <n v="2000"/>
    <n v="8000"/>
    <n v="6000"/>
  </r>
  <r>
    <x v="75"/>
    <s v="ChatGPT"/>
    <n v="8000"/>
    <n v="20000"/>
    <n v="12000"/>
  </r>
  <r>
    <x v="75"/>
    <s v="HBO"/>
    <n v="2000"/>
    <n v="8000"/>
    <n v="6000"/>
  </r>
  <r>
    <x v="76"/>
    <s v="Spotify"/>
    <n v="6100"/>
    <n v="6500"/>
    <n v="400"/>
  </r>
  <r>
    <x v="75"/>
    <s v="Spotify"/>
    <n v="6100"/>
    <n v="6500"/>
    <n v="400"/>
  </r>
  <r>
    <x v="76"/>
    <s v="PrimeVideo"/>
    <n v="2500"/>
    <n v="8000"/>
    <n v="5500"/>
  </r>
  <r>
    <x v="75"/>
    <s v="Netflix"/>
    <n v="9000"/>
    <n v="12000"/>
    <n v="3000"/>
  </r>
  <r>
    <x v="76"/>
    <s v="Spotify"/>
    <n v="6100"/>
    <n v="6500"/>
    <n v="400"/>
  </r>
  <r>
    <x v="75"/>
    <s v="HBO"/>
    <n v="2000"/>
    <n v="5000"/>
    <n v="3000"/>
  </r>
  <r>
    <x v="75"/>
    <s v="DisneyP"/>
    <n v="7000"/>
    <n v="8000"/>
    <n v="1000"/>
  </r>
  <r>
    <x v="75"/>
    <s v="Netflix"/>
    <n v="9000"/>
    <n v="11000"/>
    <n v="2000"/>
  </r>
  <r>
    <x v="75"/>
    <s v="HBO"/>
    <n v="2000"/>
    <n v="8000"/>
    <n v="6000"/>
  </r>
  <r>
    <x v="76"/>
    <s v="Spotify"/>
    <n v="6100"/>
    <n v="9000"/>
    <n v="2900"/>
  </r>
  <r>
    <x v="77"/>
    <s v="DisneyP"/>
    <n v="7000"/>
    <n v="10000"/>
    <n v="3000"/>
  </r>
  <r>
    <x v="78"/>
    <s v="Netflix"/>
    <n v="9000"/>
    <n v="12000"/>
    <n v="3000"/>
  </r>
  <r>
    <x v="79"/>
    <s v="DisneyP"/>
    <n v="6000"/>
    <n v="10000"/>
    <n v="4000"/>
  </r>
  <r>
    <x v="80"/>
    <s v="Netflix"/>
    <n v="9000"/>
    <n v="12000"/>
    <n v="3000"/>
  </r>
  <r>
    <x v="80"/>
    <s v="DisneyP"/>
    <n v="5000"/>
    <n v="10000"/>
    <n v="5000"/>
  </r>
  <r>
    <x v="80"/>
    <s v="DisneyP"/>
    <n v="6000"/>
    <n v="8000"/>
    <n v="2000"/>
  </r>
  <r>
    <x v="80"/>
    <s v="Paramount"/>
    <n v="1500"/>
    <n v="5000"/>
    <n v="3500"/>
  </r>
  <r>
    <x v="79"/>
    <s v="PrimeVideo"/>
    <n v="2500"/>
    <n v="8000"/>
    <n v="5500"/>
  </r>
  <r>
    <x v="79"/>
    <s v="DisneyP"/>
    <n v="5000"/>
    <n v="10000"/>
    <n v="5000"/>
  </r>
  <r>
    <x v="79"/>
    <s v="ChatGPT"/>
    <n v="12990"/>
    <n v="25000"/>
    <n v="12010"/>
  </r>
  <r>
    <x v="80"/>
    <s v="Netflix"/>
    <n v="9000"/>
    <n v="12000"/>
    <n v="3000"/>
  </r>
  <r>
    <x v="81"/>
    <s v="HBO"/>
    <n v="2000"/>
    <n v="8000"/>
    <n v="6000"/>
  </r>
  <r>
    <x v="81"/>
    <s v="Canva"/>
    <n v="2000"/>
    <n v="8000"/>
    <n v="6000"/>
  </r>
  <r>
    <x v="81"/>
    <s v="Spotify"/>
    <n v="6100"/>
    <n v="9000"/>
    <n v="2900"/>
  </r>
  <r>
    <x v="81"/>
    <s v="HBO"/>
    <n v="2000"/>
    <n v="8000"/>
    <n v="6000"/>
  </r>
  <r>
    <x v="82"/>
    <s v="Netflix"/>
    <n v="9000"/>
    <n v="12000"/>
    <n v="3000"/>
  </r>
  <r>
    <x v="83"/>
    <s v="HBO"/>
    <n v="2000"/>
    <n v="8000"/>
    <n v="6000"/>
  </r>
  <r>
    <x v="84"/>
    <s v="HBO"/>
    <n v="1900"/>
    <n v="8000"/>
    <n v="6100"/>
  </r>
  <r>
    <x v="83"/>
    <s v="HBO"/>
    <n v="1900"/>
    <n v="8000"/>
    <n v="6100"/>
  </r>
  <r>
    <x v="84"/>
    <s v="HBO"/>
    <n v="1900"/>
    <n v="12000"/>
    <n v="10100"/>
  </r>
  <r>
    <x v="85"/>
    <s v="Netflix"/>
    <n v="9000"/>
    <n v="12000"/>
    <n v="3000"/>
  </r>
  <r>
    <x v="85"/>
    <s v="PrimeVideo"/>
    <n v="2500"/>
    <n v="8000"/>
    <n v="5500"/>
  </r>
  <r>
    <x v="84"/>
    <s v="Netflix"/>
    <n v="9000"/>
    <n v="12000"/>
    <n v="3000"/>
  </r>
  <r>
    <x v="84"/>
    <s v="Netflix"/>
    <n v="9000"/>
    <m/>
    <n v="-9000"/>
  </r>
  <r>
    <x v="85"/>
    <s v="DisneyP"/>
    <n v="5490"/>
    <n v="10000"/>
    <n v="4510"/>
  </r>
  <r>
    <x v="86"/>
    <s v="HBO"/>
    <n v="1900"/>
    <n v="8000"/>
    <n v="6100"/>
  </r>
  <r>
    <x v="86"/>
    <s v="HBO"/>
    <n v="1900"/>
    <n v="5000"/>
    <n v="3100"/>
  </r>
  <r>
    <x v="86"/>
    <s v="Netflix"/>
    <n v="9000"/>
    <n v="11000"/>
    <n v="2000"/>
  </r>
  <r>
    <x v="86"/>
    <s v="DisneyP"/>
    <n v="5490"/>
    <n v="10000"/>
    <n v="4510"/>
  </r>
  <r>
    <x v="86"/>
    <s v="Vix"/>
    <n v="500"/>
    <n v="6000"/>
    <n v="5500"/>
  </r>
  <r>
    <x v="86"/>
    <s v="HBO"/>
    <n v="1900"/>
    <n v="8000"/>
    <n v="6100"/>
  </r>
  <r>
    <x v="86"/>
    <s v="Spotify"/>
    <n v="6100"/>
    <n v="9000"/>
    <n v="2900"/>
  </r>
  <r>
    <x v="86"/>
    <s v="Netflix"/>
    <n v="9000"/>
    <n v="11000"/>
    <n v="2000"/>
  </r>
  <r>
    <x v="86"/>
    <s v="PrimeVideo"/>
    <n v="2990"/>
    <n v="5000"/>
    <n v="2010"/>
  </r>
  <r>
    <x v="86"/>
    <s v="HBO"/>
    <n v="1900"/>
    <n v="8000"/>
    <n v="6100"/>
  </r>
  <r>
    <x v="86"/>
    <s v="Spotify"/>
    <n v="6100"/>
    <n v="9000"/>
    <n v="2900"/>
  </r>
  <r>
    <x v="87"/>
    <s v="Netflix"/>
    <n v="9000"/>
    <n v="11000"/>
    <n v="2000"/>
  </r>
  <r>
    <x v="87"/>
    <s v="DisneyP"/>
    <n v="5490"/>
    <n v="8000"/>
    <n v="2510"/>
  </r>
  <r>
    <x v="88"/>
    <s v="Spotify"/>
    <n v="6100"/>
    <n v="9000"/>
    <n v="2900"/>
  </r>
  <r>
    <x v="88"/>
    <s v="PrimeVideo"/>
    <n v="2500"/>
    <n v="8000"/>
    <n v="5500"/>
  </r>
  <r>
    <x v="89"/>
    <s v="Netflix"/>
    <n v="6800"/>
    <n v="10000"/>
    <n v="3200"/>
  </r>
  <r>
    <x v="90"/>
    <s v="Netflix"/>
    <n v="13600"/>
    <n v="22000"/>
    <n v="8400"/>
  </r>
  <r>
    <x v="91"/>
    <s v="Netflix"/>
    <n v="6800"/>
    <n v="10000"/>
    <n v="3200"/>
  </r>
  <r>
    <x v="88"/>
    <s v="Netflix"/>
    <n v="13600"/>
    <n v="22000"/>
    <n v="8400"/>
  </r>
  <r>
    <x v="91"/>
    <s v="Netflix"/>
    <n v="6800"/>
    <n v="11000"/>
    <n v="4200"/>
  </r>
  <r>
    <x v="92"/>
    <s v="Netflix"/>
    <n v="6800"/>
    <n v="11000"/>
    <n v="4200"/>
  </r>
  <r>
    <x v="92"/>
    <s v="DisneyP"/>
    <n v="5490"/>
    <n v="8000"/>
    <n v="2510"/>
  </r>
  <r>
    <x v="92"/>
    <s v="PrimeVideo"/>
    <n v="2500"/>
    <n v="5000"/>
    <n v="2500"/>
  </r>
  <r>
    <x v="92"/>
    <s v="HBO"/>
    <n v="1900"/>
    <n v="5000"/>
    <n v="3100"/>
  </r>
  <r>
    <x v="92"/>
    <s v="Netflix"/>
    <n v="6800"/>
    <n v="12000"/>
    <n v="5200"/>
  </r>
  <r>
    <x v="92"/>
    <s v="Spotify"/>
    <n v="6100"/>
    <n v="9000"/>
    <n v="2900"/>
  </r>
  <r>
    <x v="92"/>
    <s v="DisneyP"/>
    <n v="6000"/>
    <n v="10000"/>
    <n v="4000"/>
  </r>
  <r>
    <x v="92"/>
    <s v="PrimeVideo"/>
    <n v="2500"/>
    <n v="8000"/>
    <n v="5500"/>
  </r>
  <r>
    <x v="92"/>
    <s v="Netflix"/>
    <n v="6800"/>
    <n v="11000"/>
    <n v="4200"/>
  </r>
  <r>
    <x v="92"/>
    <s v="HBO"/>
    <n v="1900"/>
    <n v="5000"/>
    <n v="3100"/>
  </r>
  <r>
    <x v="92"/>
    <s v="Netflix"/>
    <n v="6800"/>
    <n v="12000"/>
    <n v="5200"/>
  </r>
  <r>
    <x v="92"/>
    <s v="DisneyP"/>
    <n v="6000"/>
    <n v="10000"/>
    <n v="4000"/>
  </r>
  <r>
    <x v="92"/>
    <s v="Netflix"/>
    <n v="6800"/>
    <n v="12000"/>
    <n v="5200"/>
  </r>
  <r>
    <x v="93"/>
    <s v="ChatGPT"/>
    <n v="9500"/>
    <n v="20000"/>
    <n v="10500"/>
  </r>
  <r>
    <x v="93"/>
    <s v="Spotify"/>
    <n v="6100"/>
    <n v="6500"/>
    <n v="400"/>
  </r>
  <r>
    <x v="93"/>
    <s v="Spotify"/>
    <n v="6100"/>
    <n v="6500"/>
    <n v="400"/>
  </r>
  <r>
    <x v="93"/>
    <s v="ChatGPT"/>
    <n v="9500"/>
    <n v="20000"/>
    <n v="10500"/>
  </r>
  <r>
    <x v="94"/>
    <s v="HBO"/>
    <n v="1900"/>
    <n v="8000"/>
    <n v="6100"/>
  </r>
  <r>
    <x v="94"/>
    <s v="Spotify"/>
    <n v="6100"/>
    <n v="9000"/>
    <n v="2900"/>
  </r>
  <r>
    <x v="95"/>
    <s v="ChatGPT"/>
    <n v="9500"/>
    <n v="20000"/>
    <n v="10500"/>
  </r>
  <r>
    <x v="95"/>
    <s v="Netflix"/>
    <n v="6800"/>
    <n v="12000"/>
    <n v="5200"/>
  </r>
  <r>
    <x v="95"/>
    <s v="Netflix"/>
    <n v="6800"/>
    <n v="12000"/>
    <n v="5200"/>
  </r>
  <r>
    <x v="96"/>
    <s v="Crunchyroll"/>
    <n v="2000"/>
    <n v="6000"/>
    <n v="4000"/>
  </r>
  <r>
    <x v="97"/>
    <s v="Netflix"/>
    <n v="6800"/>
    <n v="11000"/>
    <n v="4200"/>
  </r>
  <r>
    <x v="97"/>
    <s v="DisneyP"/>
    <n v="5500"/>
    <n v="8000"/>
    <n v="2500"/>
  </r>
  <r>
    <x v="97"/>
    <s v="Netflix"/>
    <n v="6800"/>
    <n v="12000"/>
    <n v="5200"/>
  </r>
  <r>
    <x v="97"/>
    <s v="DisneyP"/>
    <n v="5500"/>
    <n v="10000"/>
    <n v="4500"/>
  </r>
  <r>
    <x v="97"/>
    <s v="Spotify"/>
    <n v="6100"/>
    <n v="9000"/>
    <n v="2900"/>
  </r>
  <r>
    <x v="97"/>
    <s v="DisneyP"/>
    <n v="6000"/>
    <n v="10000"/>
    <n v="4000"/>
  </r>
  <r>
    <x v="97"/>
    <s v="HBO"/>
    <n v="2000"/>
    <n v="5000"/>
    <n v="3000"/>
  </r>
  <r>
    <x v="97"/>
    <s v="DisneyP"/>
    <n v="6000"/>
    <n v="8000"/>
    <n v="2000"/>
  </r>
  <r>
    <x v="97"/>
    <s v="Netflix"/>
    <n v="6800"/>
    <n v="11000"/>
    <n v="4200"/>
  </r>
  <r>
    <x v="97"/>
    <s v="PrimeVideo"/>
    <n v="2500"/>
    <n v="5000"/>
    <n v="2500"/>
  </r>
  <r>
    <x v="97"/>
    <s v="Netflix"/>
    <n v="6800"/>
    <n v="12000"/>
    <n v="5200"/>
  </r>
  <r>
    <x v="98"/>
    <s v="Spotify"/>
    <n v="6100"/>
    <n v="9000"/>
    <n v="2900"/>
  </r>
  <r>
    <x v="98"/>
    <s v="PrimeVideo"/>
    <n v="2500"/>
    <n v="8000"/>
    <n v="5500"/>
  </r>
  <r>
    <x v="98"/>
    <s v="Crunchyroll"/>
    <n v="2000"/>
    <n v="6000"/>
    <n v="4000"/>
  </r>
  <r>
    <x v="99"/>
    <s v="Netflix"/>
    <n v="6800"/>
    <n v="12000"/>
    <n v="5200"/>
  </r>
  <r>
    <x v="99"/>
    <s v="PrimeVideo"/>
    <n v="2500"/>
    <n v="5000"/>
    <n v="2500"/>
  </r>
  <r>
    <x v="99"/>
    <s v="DisneyP"/>
    <n v="6000"/>
    <n v="8000"/>
    <n v="2000"/>
  </r>
  <r>
    <x v="100"/>
    <s v="HBO"/>
    <n v="1600"/>
    <n v="8000"/>
    <n v="6400"/>
  </r>
  <r>
    <x v="100"/>
    <s v="HBO"/>
    <n v="1600"/>
    <n v="8000"/>
    <n v="6400"/>
  </r>
  <r>
    <x v="101"/>
    <s v="HBO"/>
    <n v="1600"/>
    <n v="5000"/>
    <n v="3400"/>
  </r>
  <r>
    <x v="101"/>
    <s v="PrimeVideo"/>
    <m/>
    <m/>
    <n v="0"/>
  </r>
  <r>
    <x v="101"/>
    <s v="HBO"/>
    <n v="1600"/>
    <n v="5000"/>
    <n v="3400"/>
  </r>
  <r>
    <x v="101"/>
    <s v="Netflix"/>
    <n v="6800"/>
    <n v="11000"/>
    <n v="4200"/>
  </r>
  <r>
    <x v="101"/>
    <s v="PrimeVideo"/>
    <m/>
    <n v="5000"/>
    <n v="5000"/>
  </r>
  <r>
    <x v="101"/>
    <s v="Netflix"/>
    <n v="6800"/>
    <n v="12000"/>
    <n v="5200"/>
  </r>
  <r>
    <x v="102"/>
    <s v="HBO"/>
    <n v="1600"/>
    <n v="8000"/>
    <n v="6400"/>
  </r>
  <r>
    <x v="102"/>
    <s v="Netflix"/>
    <n v="6800"/>
    <n v="12000"/>
    <n v="5200"/>
  </r>
  <r>
    <x v="102"/>
    <s v="Netflix"/>
    <n v="6800"/>
    <n v="12000"/>
    <n v="5200"/>
  </r>
  <r>
    <x v="103"/>
    <s v="Spotify"/>
    <n v="6100"/>
    <n v="6500"/>
    <n v="400"/>
  </r>
  <r>
    <x v="104"/>
    <s v="Netflix"/>
    <n v="6800"/>
    <n v="12000"/>
    <n v="5200"/>
  </r>
  <r>
    <x v="103"/>
    <s v="ChatGPT"/>
    <n v="17990"/>
    <n v="20000"/>
    <n v="2010"/>
  </r>
  <r>
    <x v="104"/>
    <s v="DisneyP"/>
    <n v="4000"/>
    <n v="10000"/>
    <n v="6000"/>
  </r>
  <r>
    <x v="105"/>
    <s v="DisneyP"/>
    <n v="5000"/>
    <n v="10000"/>
    <n v="5000"/>
  </r>
  <r>
    <x v="104"/>
    <s v="Spotify"/>
    <n v="6100"/>
    <n v="6500"/>
    <n v="400"/>
  </r>
  <r>
    <x v="106"/>
    <s v="Spotify"/>
    <n v="6100"/>
    <n v="9000"/>
    <n v="2900"/>
  </r>
  <r>
    <x v="106"/>
    <s v="DisneyP"/>
    <n v="5000"/>
    <n v="10000"/>
    <n v="5000"/>
  </r>
  <r>
    <x v="106"/>
    <s v="DisneyP"/>
    <n v="6000"/>
    <n v="8000"/>
    <n v="2000"/>
  </r>
  <r>
    <x v="106"/>
    <s v="DisneyP"/>
    <n v="6000"/>
    <n v="8000"/>
    <n v="2000"/>
  </r>
  <r>
    <x v="106"/>
    <s v="DirectvOro"/>
    <n v="11900"/>
    <n v="16000"/>
    <n v="4100"/>
  </r>
  <r>
    <x v="106"/>
    <s v="Crunchyroll"/>
    <n v="2000"/>
    <n v="6000"/>
    <n v="4000"/>
  </r>
  <r>
    <x v="106"/>
    <s v="Netflix"/>
    <n v="6800"/>
    <n v="12000"/>
    <n v="5200"/>
  </r>
  <r>
    <x v="107"/>
    <s v="Netflix"/>
    <n v="6800"/>
    <n v="12000"/>
    <n v="5200"/>
  </r>
  <r>
    <x v="106"/>
    <s v="DisneyP"/>
    <n v="8400"/>
    <n v="12000"/>
    <n v="3600"/>
  </r>
  <r>
    <x v="107"/>
    <s v="HBO"/>
    <n v="7000"/>
    <n v="12000"/>
    <n v="5000"/>
  </r>
  <r>
    <x v="108"/>
    <s v="Canva"/>
    <n v="2000"/>
    <n v="8000"/>
    <n v="6000"/>
  </r>
  <r>
    <x v="108"/>
    <s v="Netflix"/>
    <n v="6800"/>
    <n v="12000"/>
    <n v="5200"/>
  </r>
  <r>
    <x v="108"/>
    <s v="PrimeVideo"/>
    <n v="2500"/>
    <n v="8000"/>
    <n v="5500"/>
  </r>
  <r>
    <x v="108"/>
    <s v="Netflix"/>
    <n v="6800"/>
    <n v="12000"/>
    <n v="5200"/>
  </r>
  <r>
    <x v="109"/>
    <s v="Spotify"/>
    <n v="6100"/>
    <d v="1924-08-21T00:00:00"/>
    <n v="2900"/>
  </r>
  <r>
    <x v="110"/>
    <s v="Paramount"/>
    <n v="4500"/>
    <n v="18000"/>
    <n v="13500"/>
  </r>
  <r>
    <x v="111"/>
    <s v="Paramount"/>
    <n v="1500"/>
    <n v="6000"/>
    <n v="4500"/>
  </r>
  <r>
    <x v="111"/>
    <s v="HBO"/>
    <n v="2000"/>
    <n v="8000"/>
    <n v="6000"/>
  </r>
  <r>
    <x v="111"/>
    <s v="Netflix"/>
    <n v="8400"/>
    <n v="12000"/>
    <n v="3600"/>
  </r>
  <r>
    <x v="111"/>
    <s v="Netflix"/>
    <n v="8400"/>
    <n v="12000"/>
    <n v="3600"/>
  </r>
  <r>
    <x v="112"/>
    <s v="Netflix"/>
    <n v="8400"/>
    <n v="12000"/>
    <n v="3600"/>
  </r>
  <r>
    <x v="113"/>
    <s v="Netflix"/>
    <n v="8400"/>
    <n v="12000"/>
    <n v="3600"/>
  </r>
  <r>
    <x v="113"/>
    <s v="Spotify"/>
    <n v="6100"/>
    <n v="9000"/>
    <n v="2900"/>
  </r>
  <r>
    <x v="113"/>
    <s v="HBO"/>
    <n v="2000"/>
    <n v="8000"/>
    <n v="6000"/>
  </r>
  <r>
    <x v="112"/>
    <s v="Netflix"/>
    <n v="8400"/>
    <n v="11000"/>
    <n v="2600"/>
  </r>
  <r>
    <x v="112"/>
    <s v="DisneyP"/>
    <n v="6000"/>
    <n v="8000"/>
    <n v="2000"/>
  </r>
  <r>
    <x v="111"/>
    <s v="Netflix"/>
    <n v="8400"/>
    <n v="12000"/>
    <n v="3600"/>
  </r>
  <r>
    <x v="114"/>
    <s v="Spotify"/>
    <n v="6100"/>
    <n v="9000"/>
    <n v="2900"/>
  </r>
  <r>
    <x v="115"/>
    <s v="Netflix"/>
    <n v="8400"/>
    <n v="11000"/>
    <n v="2600"/>
  </r>
  <r>
    <x v="114"/>
    <s v="Netflix"/>
    <n v="8400"/>
    <n v="12000"/>
    <n v="3600"/>
  </r>
  <r>
    <x v="114"/>
    <s v="HBO"/>
    <n v="2000"/>
    <n v="8000"/>
    <n v="6000"/>
  </r>
  <r>
    <x v="115"/>
    <s v="Netflix"/>
    <n v="8400"/>
    <n v="11000"/>
    <n v="2600"/>
  </r>
  <r>
    <x v="115"/>
    <s v="HBO"/>
    <n v="2000"/>
    <n v="5000"/>
    <n v="3000"/>
  </r>
  <r>
    <x v="114"/>
    <s v="PrimeVideo"/>
    <n v="2500"/>
    <n v="8000"/>
    <n v="5500"/>
  </r>
  <r>
    <x v="116"/>
    <s v="Netflix"/>
    <n v="8400"/>
    <n v="11000"/>
    <n v="2600"/>
  </r>
  <r>
    <x v="116"/>
    <s v="HBO"/>
    <n v="2000"/>
    <n v="5000"/>
    <n v="3000"/>
  </r>
  <r>
    <x v="116"/>
    <s v="PrimeVideo"/>
    <n v="2500"/>
    <n v="5000"/>
    <n v="2500"/>
  </r>
  <r>
    <x v="116"/>
    <s v="DisneyP"/>
    <n v="9000"/>
    <n v="11000"/>
    <n v="2000"/>
  </r>
  <r>
    <x v="116"/>
    <s v="Netflix"/>
    <n v="8400"/>
    <n v="12000"/>
    <n v="3600"/>
  </r>
  <r>
    <x v="116"/>
    <s v="Netflix"/>
    <n v="8400"/>
    <n v="12000"/>
    <n v="3600"/>
  </r>
  <r>
    <x v="117"/>
    <s v="PrimeVideo"/>
    <n v="2500"/>
    <n v="8000"/>
    <n v="5500"/>
  </r>
  <r>
    <x v="117"/>
    <s v="DisneyP"/>
    <n v="9000"/>
    <n v="12000"/>
    <n v="3000"/>
  </r>
  <r>
    <x v="117"/>
    <s v="Spotify"/>
    <n v="6100"/>
    <n v="9000"/>
    <n v="2900"/>
  </r>
  <r>
    <x v="118"/>
    <s v="Spotify"/>
    <n v="6100"/>
    <n v="6500"/>
    <n v="400"/>
  </r>
  <r>
    <x v="119"/>
    <s v="Netflix"/>
    <n v="8400"/>
    <n v="12000"/>
    <n v="3600"/>
  </r>
  <r>
    <x v="119"/>
    <s v="Netflix"/>
    <n v="8400"/>
    <n v="12000"/>
    <n v="3600"/>
  </r>
  <r>
    <x v="120"/>
    <s v="HBO"/>
    <n v="2000"/>
    <n v="8000"/>
    <n v="6000"/>
  </r>
  <r>
    <x v="120"/>
    <s v="Netflix"/>
    <n v="8400"/>
    <n v="12000"/>
    <n v="3600"/>
  </r>
  <r>
    <x v="120"/>
    <s v="DirectvOro"/>
    <n v="11900"/>
    <n v="20000"/>
    <n v="8100"/>
  </r>
  <r>
    <x v="121"/>
    <s v="Spotify"/>
    <n v="6100"/>
    <n v="9000"/>
    <n v="2900"/>
  </r>
  <r>
    <x v="122"/>
    <s v="Netflix"/>
    <n v="8400"/>
    <n v="12000"/>
    <n v="3600"/>
  </r>
  <r>
    <x v="121"/>
    <s v="Netflix"/>
    <n v="8400"/>
    <n v="12000"/>
    <n v="3600"/>
  </r>
  <r>
    <x v="123"/>
    <s v="Crunchyroll"/>
    <n v="2000"/>
    <n v="6000"/>
    <n v="4000"/>
  </r>
  <r>
    <x v="124"/>
    <s v="Netflix"/>
    <n v="8400"/>
    <n v="12000"/>
    <n v="3600"/>
  </r>
  <r>
    <x v="124"/>
    <s v="Netflix"/>
    <n v="8400"/>
    <n v="12000"/>
    <n v="3600"/>
  </r>
  <r>
    <x v="125"/>
    <s v="DisneyP"/>
    <n v="9000"/>
    <n v="12000"/>
    <n v="3000"/>
  </r>
  <r>
    <x v="125"/>
    <s v="ChatGPT"/>
    <n v="25000"/>
    <n v="30000"/>
    <n v="5000"/>
  </r>
  <r>
    <x v="126"/>
    <s v="Office 365"/>
    <n v="12500"/>
    <n v="30000"/>
    <n v="17500"/>
  </r>
  <r>
    <x v="126"/>
    <s v="DisneyP"/>
    <n v="5800"/>
    <n v="12000"/>
    <n v="6200"/>
  </r>
  <r>
    <x v="126"/>
    <s v="DisneyP"/>
    <n v="5800"/>
    <n v="12000"/>
    <n v="6200"/>
  </r>
  <r>
    <x v="126"/>
    <s v="DisneyP"/>
    <n v="5800"/>
    <n v="12000"/>
    <n v="6200"/>
  </r>
  <r>
    <x v="126"/>
    <s v="Netflix"/>
    <n v="8400"/>
    <n v="12000"/>
    <n v="3600"/>
  </r>
  <r>
    <x v="126"/>
    <s v="Netflix"/>
    <n v="8400"/>
    <n v="12000"/>
    <n v="3600"/>
  </r>
  <r>
    <x v="126"/>
    <s v="PrimeVideo"/>
    <n v="2500"/>
    <n v="5000"/>
    <n v="2500"/>
  </r>
  <r>
    <x v="126"/>
    <s v="GeminiIA"/>
    <n v="12990"/>
    <n v="20000"/>
    <n v="7010"/>
  </r>
  <r>
    <x v="127"/>
    <s v="HBO"/>
    <n v="2000"/>
    <n v="8000"/>
    <n v="6000"/>
  </r>
  <r>
    <x v="127"/>
    <s v="Spotify"/>
    <n v="6100"/>
    <n v="9000"/>
    <n v="2900"/>
  </r>
  <r>
    <x v="128"/>
    <s v="Netflix"/>
    <n v="8400"/>
    <n v="10000"/>
    <n v="1600"/>
  </r>
  <r>
    <x v="128"/>
    <s v="HBO"/>
    <n v="2000"/>
    <n v="5000"/>
    <n v="3000"/>
  </r>
  <r>
    <x v="128"/>
    <s v="PrimeVideo"/>
    <n v="2500"/>
    <n v="5000"/>
    <n v="2500"/>
  </r>
  <r>
    <x v="128"/>
    <s v="DisneyP"/>
    <n v="5800"/>
    <n v="10000"/>
    <n v="4200"/>
  </r>
  <r>
    <x v="128"/>
    <s v="Spotify"/>
    <n v="6100"/>
    <n v="6500"/>
    <n v="400"/>
  </r>
  <r>
    <x v="128"/>
    <s v="Spotify"/>
    <n v="6100"/>
    <n v="6500"/>
    <n v="400"/>
  </r>
  <r>
    <x v="128"/>
    <s v="Spotify"/>
    <n v="6100"/>
    <n v="9000"/>
    <n v="2900"/>
  </r>
  <r>
    <x v="128"/>
    <s v="PrimeVideo"/>
    <n v="2500"/>
    <n v="8000"/>
    <n v="5500"/>
  </r>
  <r>
    <x v="128"/>
    <s v="Netflix"/>
    <n v="8400"/>
    <n v="12000"/>
    <n v="3600"/>
  </r>
  <r>
    <x v="129"/>
    <s v="Netflix"/>
    <n v="8400"/>
    <n v="12000"/>
    <n v="3600"/>
  </r>
  <r>
    <x v="130"/>
    <s v="DisneyP"/>
    <n v="5800"/>
    <n v="12000"/>
    <n v="6200"/>
  </r>
  <r>
    <x v="130"/>
    <s v="Netflix"/>
    <n v="8400"/>
    <n v="12000"/>
    <n v="3600"/>
  </r>
  <r>
    <x v="130"/>
    <s v="HBO"/>
    <n v="2000"/>
    <n v="8000"/>
    <n v="6000"/>
  </r>
  <r>
    <x v="131"/>
    <s v="DisneyP"/>
    <n v="5800"/>
    <n v="12000"/>
    <n v="6200"/>
  </r>
  <r>
    <x v="131"/>
    <s v="PrimeVideo"/>
    <n v="2500"/>
    <n v="8000"/>
    <n v="5500"/>
  </r>
  <r>
    <x v="131"/>
    <s v="DisneyP"/>
    <n v="5800"/>
    <n v="12000"/>
    <n v="6200"/>
  </r>
  <r>
    <x v="131"/>
    <s v="Crunchyroll"/>
    <n v="2000"/>
    <n v="5000"/>
    <n v="3000"/>
  </r>
  <r>
    <x v="131"/>
    <s v="Netflix"/>
    <n v="8400"/>
    <n v="12000"/>
    <n v="3600"/>
  </r>
  <r>
    <x v="131"/>
    <s v="Netflix"/>
    <n v="8400"/>
    <n v="12000"/>
    <n v="3600"/>
  </r>
  <r>
    <x v="132"/>
    <s v="Netflix"/>
    <n v="8400"/>
    <n v="12000"/>
    <n v="3600"/>
  </r>
  <r>
    <x v="133"/>
    <s v="Netflix"/>
    <n v="8400"/>
    <n v="12000"/>
    <n v="3600"/>
  </r>
  <r>
    <x v="133"/>
    <s v="Netflix"/>
    <n v="8400"/>
    <n v="12000"/>
    <n v="3600"/>
  </r>
  <r>
    <x v="133"/>
    <s v="Netflix"/>
    <n v="8400"/>
    <n v="12000"/>
    <n v="3600"/>
  </r>
  <r>
    <x v="133"/>
    <s v="PrimeVideo"/>
    <n v="2500"/>
    <n v="8000"/>
    <n v="5500"/>
  </r>
  <r>
    <x v="133"/>
    <s v="Netflix"/>
    <n v="8400"/>
    <n v="12000"/>
    <n v="3600"/>
  </r>
  <r>
    <x v="133"/>
    <s v="Netflix"/>
    <n v="8400"/>
    <n v="12000"/>
    <n v="3600"/>
  </r>
  <r>
    <x v="133"/>
    <s v="Netflix"/>
    <n v="8400"/>
    <n v="12000"/>
    <n v="3600"/>
  </r>
  <r>
    <x v="133"/>
    <s v="Paramount"/>
    <m/>
    <n v="8000"/>
    <n v="8000"/>
  </r>
  <r>
    <x v="134"/>
    <s v="Paramount"/>
    <m/>
    <n v="8000"/>
    <n v="8000"/>
  </r>
  <r>
    <x v="134"/>
    <s v="PrimeVideo"/>
    <n v="2500"/>
    <n v="8000"/>
    <n v="5500"/>
  </r>
  <r>
    <x v="135"/>
    <s v="Paramount"/>
    <n v="5900"/>
    <n v="8000"/>
    <n v="2100"/>
  </r>
  <r>
    <x v="135"/>
    <s v="Paramount"/>
    <n v="5900"/>
    <n v="8000"/>
    <n v="2100"/>
  </r>
  <r>
    <x v="135"/>
    <s v="Paramount"/>
    <n v="5900"/>
    <n v="8000"/>
    <n v="2100"/>
  </r>
  <r>
    <x v="135"/>
    <s v="GeminiIA"/>
    <n v="12990"/>
    <n v="20000"/>
    <n v="7010"/>
  </r>
  <r>
    <x v="134"/>
    <s v="Netflix"/>
    <n v="8400"/>
    <n v="12000"/>
    <n v="3600"/>
  </r>
  <r>
    <x v="136"/>
    <s v="Canva"/>
    <m/>
    <n v="8000"/>
    <n v="8000"/>
  </r>
  <r>
    <x v="137"/>
    <s v="Netflix"/>
    <n v="8400"/>
    <n v="11000"/>
    <n v="2600"/>
  </r>
  <r>
    <x v="137"/>
    <s v="DisneyP"/>
    <n v="5800"/>
    <n v="10000"/>
    <n v="4200"/>
  </r>
  <r>
    <x v="137"/>
    <s v="DisneyP"/>
    <n v="5800"/>
    <n v="10000"/>
    <n v="4200"/>
  </r>
  <r>
    <x v="137"/>
    <s v="HBO"/>
    <n v="2000"/>
    <n v="8000"/>
    <n v="6000"/>
  </r>
  <r>
    <x v="137"/>
    <s v="HBO"/>
    <n v="2000"/>
    <n v="5000"/>
    <n v="3000"/>
  </r>
  <r>
    <x v="137"/>
    <s v="PrimeVideo"/>
    <m/>
    <n v="5000"/>
    <n v="5000"/>
  </r>
  <r>
    <x v="137"/>
    <s v="Netflix"/>
    <n v="8400"/>
    <n v="12000"/>
    <n v="3600"/>
  </r>
  <r>
    <x v="138"/>
    <s v="DisneyP"/>
    <n v="5800"/>
    <n v="12000"/>
    <n v="6200"/>
  </r>
  <r>
    <x v="139"/>
    <s v="Paramount"/>
    <n v="8500"/>
    <n v="14000"/>
    <n v="5500"/>
  </r>
  <r>
    <x v="139"/>
    <s v="DisneyP"/>
    <n v="5800"/>
    <n v="12000"/>
    <n v="6200"/>
  </r>
  <r>
    <x v="140"/>
    <s v="Spotify"/>
    <n v="6100"/>
    <n v="9000"/>
    <n v="2900"/>
  </r>
  <r>
    <x v="140"/>
    <s v="Crunchyroll"/>
    <n v="12000"/>
    <n v="30000"/>
    <n v="18000"/>
  </r>
  <r>
    <x v="140"/>
    <s v="Spotify"/>
    <n v="6100"/>
    <n v="9000"/>
    <n v="2900"/>
  </r>
  <r>
    <x v="140"/>
    <s v="DirectvOro"/>
    <n v="18900"/>
    <n v="22000"/>
    <n v="3100"/>
  </r>
  <r>
    <x v="140"/>
    <s v="DirectvOro"/>
    <n v="18900"/>
    <n v="30000"/>
    <n v="11100"/>
  </r>
  <r>
    <x v="140"/>
    <s v="Paramount"/>
    <n v="8500"/>
    <n v="14000"/>
    <n v="5500"/>
  </r>
  <r>
    <x v="140"/>
    <s v="HBO"/>
    <n v="2000"/>
    <n v="5000"/>
    <n v="3000"/>
  </r>
  <r>
    <x v="140"/>
    <s v="Netflix"/>
    <n v="8400"/>
    <n v="11000"/>
    <n v="2600"/>
  </r>
  <r>
    <x v="140"/>
    <s v="Netflix"/>
    <n v="8400"/>
    <n v="11000"/>
    <n v="2600"/>
  </r>
  <r>
    <x v="140"/>
    <s v="DisneyP"/>
    <n v="5800"/>
    <n v="10000"/>
    <n v="4200"/>
  </r>
  <r>
    <x v="140"/>
    <s v="Paramount"/>
    <n v="8500"/>
    <n v="14000"/>
    <n v="5500"/>
  </r>
  <r>
    <x v="141"/>
    <s v="DirectvOro"/>
    <n v="18900"/>
    <n v="30000"/>
    <n v="11100"/>
  </r>
  <r>
    <x v="141"/>
    <s v="Netflix"/>
    <n v="8400"/>
    <n v="12000"/>
    <n v="3600"/>
  </r>
  <r>
    <x v="141"/>
    <s v="Spotify"/>
    <n v="6100"/>
    <n v="9000"/>
    <n v="2900"/>
  </r>
  <r>
    <x v="141"/>
    <s v="HBO"/>
    <n v="1900"/>
    <n v="8000"/>
    <n v="6100"/>
  </r>
  <r>
    <x v="141"/>
    <s v="DisneyP"/>
    <n v="7000"/>
    <n v="12000"/>
    <n v="5000"/>
  </r>
  <r>
    <x v="141"/>
    <s v="Paramount"/>
    <n v="8500"/>
    <n v="14000"/>
    <n v="5500"/>
  </r>
  <r>
    <x v="142"/>
    <s v="Netflix"/>
    <n v="8400"/>
    <n v="12000"/>
    <n v="3600"/>
  </r>
  <r>
    <x v="142"/>
    <s v="Netflix"/>
    <n v="8400"/>
    <n v="12000"/>
    <n v="3600"/>
  </r>
  <r>
    <x v="143"/>
    <s v="Netflix"/>
    <n v="8400"/>
    <n v="12000"/>
    <n v="3600"/>
  </r>
  <r>
    <x v="143"/>
    <s v="Netflix"/>
    <n v="8400"/>
    <n v="12000"/>
    <n v="3600"/>
  </r>
  <r>
    <x v="143"/>
    <s v="DisneyP"/>
    <n v="7000"/>
    <n v="12000"/>
    <n v="5000"/>
  </r>
  <r>
    <x v="144"/>
    <s v="Netflix"/>
    <n v="8400"/>
    <n v="12000"/>
    <n v="3600"/>
  </r>
  <r>
    <x v="144"/>
    <s v="Spotify"/>
    <n v="18300"/>
    <n v="27000"/>
    <n v="8700"/>
  </r>
  <r>
    <x v="145"/>
    <s v="HBO"/>
    <n v="1900"/>
    <n v="8000"/>
    <n v="6100"/>
  </r>
  <r>
    <x v="145"/>
    <s v="HBO"/>
    <n v="1900"/>
    <n v="8000"/>
    <n v="6100"/>
  </r>
  <r>
    <x v="144"/>
    <s v="Spotify"/>
    <n v="6100"/>
    <n v="9000"/>
    <n v="2900"/>
  </r>
  <r>
    <x v="144"/>
    <s v="Netflix"/>
    <n v="8400"/>
    <n v="12000"/>
    <n v="3600"/>
  </r>
  <r>
    <x v="144"/>
    <s v="DisneyP"/>
    <n v="5800"/>
    <n v="10000"/>
    <n v="4200"/>
  </r>
  <r>
    <x v="144"/>
    <s v="PrimeVideo"/>
    <n v="2500"/>
    <n v="5000"/>
    <n v="2500"/>
  </r>
  <r>
    <x v="144"/>
    <s v="HBO"/>
    <n v="1900"/>
    <n v="5000"/>
    <n v="3100"/>
  </r>
  <r>
    <x v="144"/>
    <s v="Netflix"/>
    <n v="8400"/>
    <n v="11000"/>
    <n v="2600"/>
  </r>
  <r>
    <x v="146"/>
    <s v="DisneyP"/>
    <n v="5800"/>
    <n v="12000"/>
    <n v="6200"/>
  </r>
  <r>
    <x v="147"/>
    <s v="Netflix"/>
    <n v="8400"/>
    <n v="11000"/>
    <n v="2600"/>
  </r>
  <r>
    <x v="147"/>
    <s v="PrimeVideo"/>
    <n v="2900"/>
    <n v="5000"/>
    <n v="2100"/>
  </r>
  <r>
    <x v="148"/>
    <s v="Netflix"/>
    <n v="8400"/>
    <n v="11000"/>
    <n v="2600"/>
  </r>
  <r>
    <x v="148"/>
    <s v="PrimeVideo"/>
    <n v="2900"/>
    <n v="5000"/>
    <n v="2100"/>
  </r>
  <r>
    <x v="144"/>
    <s v="Spotify"/>
    <n v="6100"/>
    <n v="6500"/>
    <n v="400"/>
  </r>
  <r>
    <x v="148"/>
    <s v="Netflix"/>
    <n v="8400"/>
    <n v="12000"/>
    <n v="3600"/>
  </r>
  <r>
    <x v="148"/>
    <s v="Netflix"/>
    <n v="8400"/>
    <n v="12000"/>
    <n v="3600"/>
  </r>
  <r>
    <x v="149"/>
    <s v="Netflix"/>
    <n v="8400"/>
    <n v="12000"/>
    <n v="3600"/>
  </r>
  <r>
    <x v="149"/>
    <s v="Netflix"/>
    <n v="8400"/>
    <n v="12000"/>
    <n v="3600"/>
  </r>
  <r>
    <x v="150"/>
    <s v="DirectvOro"/>
    <n v="18900"/>
    <n v="30000"/>
    <n v="11100"/>
  </r>
  <r>
    <x v="150"/>
    <s v="Spotify"/>
    <n v="6100"/>
    <n v="9000"/>
    <n v="2900"/>
  </r>
  <r>
    <x v="150"/>
    <s v="Spotify"/>
    <n v="6100"/>
    <n v="9000"/>
    <n v="2900"/>
  </r>
  <r>
    <x v="150"/>
    <s v="PrimeVideo"/>
    <n v="2500"/>
    <n v="5000"/>
    <n v="2500"/>
  </r>
  <r>
    <x v="150"/>
    <s v="GeminiIA"/>
    <n v="12990"/>
    <n v="20000"/>
    <n v="7010"/>
  </r>
  <r>
    <x v="151"/>
    <s v="Netflix"/>
    <n v="8000"/>
    <n v="12000"/>
    <n v="4000"/>
  </r>
  <r>
    <x v="151"/>
    <s v="Spotify"/>
    <n v="6100"/>
    <n v="9000"/>
    <n v="2900"/>
  </r>
  <r>
    <x v="152"/>
    <s v="HBO"/>
    <n v="1900"/>
    <n v="8000"/>
    <n v="6100"/>
  </r>
  <r>
    <x v="152"/>
    <s v="PrimeVideo"/>
    <n v="2500"/>
    <n v="8000"/>
    <n v="5500"/>
  </r>
  <r>
    <x v="152"/>
    <s v="HBO"/>
    <n v="7000"/>
    <n v="12000"/>
    <n v="5000"/>
  </r>
  <r>
    <x v="153"/>
    <s v="Spotify"/>
    <n v="6100"/>
    <n v="6500"/>
    <n v="400"/>
  </r>
  <r>
    <x v="153"/>
    <s v="DisneyP"/>
    <n v="3500"/>
    <n v="8000"/>
    <n v="4500"/>
  </r>
  <r>
    <x v="153"/>
    <s v="DisneyP"/>
    <n v="3500"/>
    <n v="8000"/>
    <n v="4500"/>
  </r>
  <r>
    <x v="153"/>
    <s v="Netflix"/>
    <n v="8000"/>
    <n v="12000"/>
    <n v="4000"/>
  </r>
  <r>
    <x v="153"/>
    <s v="Netflix"/>
    <n v="8000"/>
    <n v="12000"/>
    <n v="4000"/>
  </r>
  <r>
    <x v="154"/>
    <s v="Crunchyroll"/>
    <n v="2000"/>
    <n v="6000"/>
    <n v="4000"/>
  </r>
  <r>
    <x v="155"/>
    <s v="Crunchyroll"/>
    <m/>
    <n v="6000"/>
    <n v="6000"/>
  </r>
  <r>
    <x v="156"/>
    <s v="Netflix"/>
    <n v="8000"/>
    <n v="12000"/>
    <n v="4000"/>
  </r>
  <r>
    <x v="156"/>
    <s v="Netflix"/>
    <n v="8000"/>
    <n v="11000"/>
    <n v="3000"/>
  </r>
  <r>
    <x v="156"/>
    <s v="HBO"/>
    <n v="1900"/>
    <n v="5000"/>
    <n v="3100"/>
  </r>
  <r>
    <x v="156"/>
    <s v="PrimeVideo"/>
    <n v="2000"/>
    <n v="5000"/>
    <n v="3000"/>
  </r>
  <r>
    <x v="156"/>
    <s v="DisneyP"/>
    <n v="6000"/>
    <n v="10000"/>
    <n v="4000"/>
  </r>
  <r>
    <x v="156"/>
    <s v="Crunchyroll"/>
    <n v="2000"/>
    <n v="6000"/>
    <n v="4000"/>
  </r>
  <r>
    <x v="156"/>
    <s v="Netflix"/>
    <n v="8000"/>
    <n v="11000"/>
    <n v="3000"/>
  </r>
  <r>
    <x v="156"/>
    <s v="HBO"/>
    <n v="1900"/>
    <n v="5000"/>
    <n v="3100"/>
  </r>
  <r>
    <x v="156"/>
    <s v="PrimeVideo"/>
    <n v="2000"/>
    <n v="5000"/>
    <n v="3000"/>
  </r>
  <r>
    <x v="156"/>
    <s v="DisneyP"/>
    <n v="3500"/>
    <n v="7000"/>
    <n v="3500"/>
  </r>
  <r>
    <x v="157"/>
    <s v="PrimeVideo"/>
    <n v="2000"/>
    <n v="8000"/>
    <n v="6000"/>
  </r>
  <r>
    <x v="158"/>
    <s v="Netflix"/>
    <n v="8000"/>
    <n v="11000"/>
    <n v="3000"/>
  </r>
  <r>
    <x v="159"/>
    <s v="Netflix"/>
    <n v="8000"/>
    <n v="11000"/>
    <n v="3000"/>
  </r>
  <r>
    <x v="159"/>
    <s v="Spotify"/>
    <n v="6100"/>
    <n v="9000"/>
    <n v="2900"/>
  </r>
  <r>
    <x v="159"/>
    <s v="HBO"/>
    <n v="1900"/>
    <n v="8000"/>
    <n v="6100"/>
  </r>
  <r>
    <x v="159"/>
    <s v="HBO"/>
    <n v="1900"/>
    <n v="8000"/>
    <n v="6100"/>
  </r>
  <r>
    <x v="160"/>
    <s v="Netflix"/>
    <n v="8000"/>
    <n v="12000"/>
    <n v="4000"/>
  </r>
  <r>
    <x v="160"/>
    <s v="Spotify"/>
    <n v="6100"/>
    <n v="9000"/>
    <n v="2900"/>
  </r>
  <r>
    <x v="160"/>
    <s v="Netflix"/>
    <n v="8000"/>
    <n v="12000"/>
    <n v="4000"/>
  </r>
  <r>
    <x v="161"/>
    <s v="Netflix"/>
    <n v="8000"/>
    <n v="11000"/>
    <n v="3000"/>
  </r>
  <r>
    <x v="161"/>
    <s v="HBO"/>
    <n v="1900"/>
    <n v="5000"/>
    <n v="3100"/>
  </r>
  <r>
    <x v="162"/>
    <s v="Netflix"/>
    <n v="8000"/>
    <n v="12000"/>
    <n v="4000"/>
  </r>
  <r>
    <x v="163"/>
    <s v="Netflix"/>
    <n v="8000"/>
    <n v="12000"/>
    <n v="4000"/>
  </r>
  <r>
    <x v="163"/>
    <s v="DisneyP"/>
    <n v="3500"/>
    <n v="8000"/>
    <n v="4500"/>
  </r>
  <r>
    <x v="163"/>
    <s v="HBO"/>
    <n v="1900"/>
    <n v="8000"/>
    <n v="6100"/>
  </r>
  <r>
    <x v="164"/>
    <s v="Spotify"/>
    <n v="6100"/>
    <n v="9000"/>
    <n v="2900"/>
  </r>
  <r>
    <x v="164"/>
    <s v="Netflix"/>
    <n v="8000"/>
    <n v="11000"/>
    <n v="3000"/>
  </r>
  <r>
    <x v="164"/>
    <s v="DisneyP"/>
    <n v="6500"/>
    <n v="10000"/>
    <n v="3500"/>
  </r>
  <r>
    <x v="164"/>
    <s v="HBO"/>
    <n v="1900"/>
    <n v="5000"/>
    <n v="3100"/>
  </r>
  <r>
    <x v="164"/>
    <s v="PrimeVideo"/>
    <n v="2000"/>
    <n v="5000"/>
    <n v="3000"/>
  </r>
  <r>
    <x v="164"/>
    <s v="Netflix"/>
    <n v="8000"/>
    <n v="12000"/>
    <n v="4000"/>
  </r>
  <r>
    <x v="164"/>
    <s v="DisneyP"/>
    <n v="3500"/>
    <n v="8000"/>
    <n v="4500"/>
  </r>
  <r>
    <x v="164"/>
    <s v="Netflix"/>
    <n v="8000"/>
    <n v="12000"/>
    <n v="4000"/>
  </r>
  <r>
    <x v="165"/>
    <s v="Spotify"/>
    <n v="6100"/>
    <n v="6500"/>
    <n v="400"/>
  </r>
  <r>
    <x v="165"/>
    <s v="Netflix"/>
    <n v="8000"/>
    <n v="12000"/>
    <n v="4000"/>
  </r>
  <r>
    <x v="165"/>
    <s v="Netflix"/>
    <n v="8000"/>
    <n v="12000"/>
    <n v="4000"/>
  </r>
  <r>
    <x v="165"/>
    <s v="HBO"/>
    <n v="1900"/>
    <n v="8000"/>
    <n v="6100"/>
  </r>
  <r>
    <x v="166"/>
    <s v="Netflix"/>
    <n v="8000"/>
    <n v="12000"/>
    <n v="4000"/>
  </r>
  <r>
    <x v="167"/>
    <s v="Netflix"/>
    <n v="8000"/>
    <n v="12000"/>
    <n v="4000"/>
  </r>
  <r>
    <x v="167"/>
    <s v="DisneyP"/>
    <n v="3500"/>
    <n v="8000"/>
    <n v="4500"/>
  </r>
  <r>
    <x v="168"/>
    <s v="Netflix"/>
    <n v="8000"/>
    <n v="12000"/>
    <n v="4000"/>
  </r>
  <r>
    <x v="169"/>
    <s v="HBO"/>
    <n v="4000"/>
    <n v="10000"/>
    <n v="6000"/>
  </r>
  <r>
    <x v="170"/>
    <s v="Netflix"/>
    <n v="8000"/>
    <n v="12000"/>
    <n v="4000"/>
  </r>
  <r>
    <x v="169"/>
    <s v="Netflix"/>
    <n v="8000"/>
    <n v="11000"/>
    <n v="3000"/>
  </r>
  <r>
    <x v="169"/>
    <s v="Netflix"/>
    <n v="8000"/>
    <n v="11000"/>
    <n v="3000"/>
  </r>
  <r>
    <x v="170"/>
    <s v="DisneyP"/>
    <n v="6500"/>
    <n v="16000"/>
    <n v="9500"/>
  </r>
  <r>
    <x v="170"/>
    <s v="Crunchyroll"/>
    <n v="3000"/>
    <n v="6000"/>
    <n v="3000"/>
  </r>
  <r>
    <x v="170"/>
    <s v="Netflix"/>
    <n v="8000"/>
    <n v="12000"/>
    <n v="4000"/>
  </r>
  <r>
    <x v="171"/>
    <s v="DisneyP"/>
    <n v="3500"/>
    <n v="8000"/>
    <n v="4500"/>
  </r>
  <r>
    <x v="171"/>
    <s v="Netflix"/>
    <n v="8000"/>
    <n v="11000"/>
    <n v="3000"/>
  </r>
  <r>
    <x v="171"/>
    <s v="Netflix"/>
    <n v="8000"/>
    <n v="11000"/>
    <n v="3000"/>
  </r>
  <r>
    <x v="171"/>
    <s v="HBO"/>
    <n v="1900"/>
    <n v="5000"/>
    <n v="3100"/>
  </r>
  <r>
    <x v="171"/>
    <s v="Spotify"/>
    <n v="6100"/>
    <n v="9000"/>
    <n v="2900"/>
  </r>
  <r>
    <x v="171"/>
    <s v="PrimeVideo"/>
    <n v="1500"/>
    <n v="8000"/>
    <n v="650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  <r>
    <x v="172"/>
    <m/>
    <m/>
    <m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22">
  <r>
    <x v="0"/>
    <s v="Spotify"/>
    <n v="6100"/>
    <n v="6500"/>
    <n v="400"/>
  </r>
  <r>
    <x v="0"/>
    <s v="ChatGPT"/>
    <n v="12990"/>
    <n v="25000"/>
    <n v="12010"/>
  </r>
  <r>
    <x v="1"/>
    <s v="Crunchyroll "/>
    <n v="1990"/>
    <n v="6000"/>
    <n v="4010"/>
  </r>
  <r>
    <x v="1"/>
    <s v="Netflix"/>
    <n v="8000"/>
    <n v="11500"/>
    <n v="3500"/>
  </r>
  <r>
    <x v="2"/>
    <s v="Netflix"/>
    <n v="8000"/>
    <n v="11500"/>
    <n v="3500"/>
  </r>
  <r>
    <x v="2"/>
    <s v="Netflix"/>
    <n v="8000"/>
    <n v="11500"/>
    <n v="3500"/>
  </r>
  <r>
    <x v="3"/>
    <s v="Netflix"/>
    <n v="9000"/>
    <n v="10000"/>
    <n v="1000"/>
  </r>
  <r>
    <x v="3"/>
    <s v="PrimeVideo"/>
    <n v="1171"/>
    <n v="5000"/>
    <n v="3829"/>
  </r>
  <r>
    <x v="3"/>
    <s v="DisneyP"/>
    <n v="4300"/>
    <n v="8000"/>
    <n v="3700"/>
  </r>
  <r>
    <x v="3"/>
    <s v="Netflix"/>
    <n v="9000"/>
    <n v="10000"/>
    <n v="1000"/>
  </r>
  <r>
    <x v="3"/>
    <s v="DisneyP"/>
    <n v="4300"/>
    <n v="8000"/>
    <n v="3700"/>
  </r>
  <r>
    <x v="3"/>
    <s v="Netflix"/>
    <n v="9000"/>
    <n v="12000"/>
    <n v="3000"/>
  </r>
  <r>
    <x v="3"/>
    <s v="Netflix"/>
    <n v="9000"/>
    <n v="12000"/>
    <n v="3000"/>
  </r>
  <r>
    <x v="3"/>
    <s v="Spotify"/>
    <n v="6100"/>
    <n v="9000"/>
    <n v="2900"/>
  </r>
  <r>
    <x v="3"/>
    <s v="Netflix"/>
    <n v="9000"/>
    <n v="12000"/>
    <n v="3000"/>
  </r>
  <r>
    <x v="3"/>
    <s v="DisneyP"/>
    <n v="4300"/>
    <n v="10000"/>
    <n v="5700"/>
  </r>
  <r>
    <x v="4"/>
    <s v="Netflix"/>
    <n v="9000"/>
    <n v="12000"/>
    <n v="3000"/>
  </r>
  <r>
    <x v="4"/>
    <s v="Crunchyroll"/>
    <n v="2000"/>
    <n v="6000"/>
    <n v="4000"/>
  </r>
  <r>
    <x v="4"/>
    <s v="DisneyP"/>
    <n v="4300"/>
    <n v="10000"/>
    <n v="5700"/>
  </r>
  <r>
    <x v="4"/>
    <s v="HBO"/>
    <n v="1200"/>
    <n v="5000"/>
    <n v="3800"/>
  </r>
  <r>
    <x v="4"/>
    <s v="Netflix"/>
    <n v="9000"/>
    <n v="10500"/>
    <n v="1500"/>
  </r>
  <r>
    <x v="4"/>
    <s v="HBO"/>
    <n v="1200"/>
    <n v="8000"/>
    <n v="6800"/>
  </r>
  <r>
    <x v="4"/>
    <s v="Netflix"/>
    <n v="9000"/>
    <n v="12000"/>
    <n v="3000"/>
  </r>
  <r>
    <x v="4"/>
    <s v="Crunchyroll"/>
    <n v="2000"/>
    <n v="6000"/>
    <n v="4000"/>
  </r>
  <r>
    <x v="5"/>
    <s v="Netflix"/>
    <n v="9000"/>
    <n v="12000"/>
    <n v="3000"/>
  </r>
  <r>
    <x v="5"/>
    <s v="DisneyP"/>
    <n v="4300"/>
    <n v="8000"/>
    <n v="3700"/>
  </r>
  <r>
    <x v="5"/>
    <s v="Netflix"/>
    <n v="9000"/>
    <n v="10500"/>
    <n v="1500"/>
  </r>
  <r>
    <x v="6"/>
    <s v="Netflix"/>
    <n v="9000"/>
    <n v="12000"/>
    <n v="3000"/>
  </r>
  <r>
    <x v="7"/>
    <s v="DisneyP"/>
    <n v="4300"/>
    <n v="8000"/>
    <n v="3700"/>
  </r>
  <r>
    <x v="7"/>
    <s v="HBO"/>
    <n v="1200"/>
    <n v="5000"/>
    <n v="3800"/>
  </r>
  <r>
    <x v="7"/>
    <s v="Netflix"/>
    <n v="9000"/>
    <n v="12000"/>
    <n v="3000"/>
  </r>
  <r>
    <x v="7"/>
    <s v="HBO"/>
    <n v="1200"/>
    <n v="5000"/>
    <n v="3800"/>
  </r>
  <r>
    <x v="7"/>
    <s v="Netflix"/>
    <n v="9000"/>
    <n v="11000"/>
    <n v="2000"/>
  </r>
  <r>
    <x v="7"/>
    <s v="HBO"/>
    <n v="1200"/>
    <n v="5000"/>
    <n v="3800"/>
  </r>
  <r>
    <x v="7"/>
    <s v="Netflix"/>
    <n v="9000"/>
    <n v="11000"/>
    <n v="2000"/>
  </r>
  <r>
    <x v="8"/>
    <s v="Canva"/>
    <n v="2000"/>
    <n v="8000"/>
    <n v="6000"/>
  </r>
  <r>
    <x v="8"/>
    <s v="HBO"/>
    <n v="1200"/>
    <n v="8000"/>
    <n v="6800"/>
  </r>
  <r>
    <x v="8"/>
    <s v="Netflix"/>
    <n v="9000"/>
    <n v="11000"/>
    <n v="2000"/>
  </r>
  <r>
    <x v="8"/>
    <s v="DisneyP"/>
    <n v="6000"/>
    <n v="8000"/>
    <n v="2000"/>
  </r>
  <r>
    <x v="8"/>
    <s v="DisneyP"/>
    <n v="4300"/>
    <n v="10000"/>
    <n v="5700"/>
  </r>
  <r>
    <x v="8"/>
    <s v="DisneyP"/>
    <n v="6000"/>
    <n v="8000"/>
    <n v="2000"/>
  </r>
  <r>
    <x v="8"/>
    <s v="HBO"/>
    <n v="1200"/>
    <n v="5000"/>
    <n v="3800"/>
  </r>
  <r>
    <x v="8"/>
    <s v="HBO"/>
    <n v="1200"/>
    <n v="8000"/>
    <n v="6800"/>
  </r>
  <r>
    <x v="9"/>
    <s v="DisneyP"/>
    <n v="4300"/>
    <n v="10000"/>
    <n v="5700"/>
  </r>
  <r>
    <x v="9"/>
    <s v="Netflix"/>
    <n v="9000"/>
    <n v="12000"/>
    <n v="3000"/>
  </r>
  <r>
    <x v="10"/>
    <s v="Netflix"/>
    <n v="9000"/>
    <n v="11000"/>
    <n v="2000"/>
  </r>
  <r>
    <x v="10"/>
    <s v="HBO"/>
    <n v="1200"/>
    <n v="5000"/>
    <n v="3800"/>
  </r>
  <r>
    <x v="11"/>
    <s v="Netflix"/>
    <n v="38000"/>
    <n v="40000"/>
    <n v="2000"/>
  </r>
  <r>
    <x v="11"/>
    <s v="DisneyP"/>
    <n v="32000"/>
    <n v="35000"/>
    <n v="3000"/>
  </r>
  <r>
    <x v="10"/>
    <s v="Spotify"/>
    <n v="6100"/>
    <n v="9000"/>
    <n v="2900"/>
  </r>
  <r>
    <x v="11"/>
    <s v="PrimeVideo"/>
    <n v="2000"/>
    <n v="8000"/>
    <n v="6000"/>
  </r>
  <r>
    <x v="10"/>
    <s v="HBO"/>
    <n v="1200"/>
    <n v="5000"/>
    <n v="3800"/>
  </r>
  <r>
    <x v="10"/>
    <s v="DisneyP"/>
    <n v="4300"/>
    <n v="8000"/>
    <n v="3700"/>
  </r>
  <r>
    <x v="10"/>
    <s v="IPTV"/>
    <n v="2990"/>
    <n v="8000"/>
    <n v="5010"/>
  </r>
  <r>
    <x v="11"/>
    <s v="HBO"/>
    <n v="5290"/>
    <n v="12000"/>
    <n v="6710"/>
  </r>
  <r>
    <x v="11"/>
    <s v="Netflix"/>
    <n v="38000"/>
    <n v="45000"/>
    <n v="7000"/>
  </r>
  <r>
    <x v="11"/>
    <s v="Netflix"/>
    <n v="9000"/>
    <n v="12000"/>
    <n v="3000"/>
  </r>
  <r>
    <x v="12"/>
    <s v="PrimeVideo"/>
    <n v="2000"/>
    <n v="8000"/>
    <n v="6000"/>
  </r>
  <r>
    <x v="12"/>
    <s v="DisneyP"/>
    <n v="6000"/>
    <n v="10000"/>
    <n v="4000"/>
  </r>
  <r>
    <x v="12"/>
    <s v="HBO"/>
    <n v="1200"/>
    <n v="8000"/>
    <n v="6800"/>
  </r>
  <r>
    <x v="12"/>
    <s v="HBO"/>
    <n v="1200"/>
    <n v="8000"/>
    <n v="6800"/>
  </r>
  <r>
    <x v="12"/>
    <s v="Netflix"/>
    <n v="9000"/>
    <n v="12000"/>
    <n v="3000"/>
  </r>
  <r>
    <x v="12"/>
    <s v="Netflix"/>
    <n v="9000"/>
    <n v="12000"/>
    <n v="3000"/>
  </r>
  <r>
    <x v="13"/>
    <s v="Spotify"/>
    <n v="6100"/>
    <n v="9000"/>
    <n v="2900"/>
  </r>
  <r>
    <x v="14"/>
    <s v="Netflix"/>
    <n v="9000"/>
    <n v="12000"/>
    <n v="3000"/>
  </r>
  <r>
    <x v="14"/>
    <s v="Netflix"/>
    <n v="9000"/>
    <n v="11000"/>
    <n v="2000"/>
  </r>
  <r>
    <x v="14"/>
    <s v="PrimeVideo"/>
    <n v="2000"/>
    <n v="5000"/>
    <n v="3000"/>
  </r>
  <r>
    <x v="14"/>
    <s v="DisneyP"/>
    <n v="6000"/>
    <n v="8000"/>
    <n v="2000"/>
  </r>
  <r>
    <x v="14"/>
    <s v="HBO"/>
    <n v="1200"/>
    <n v="5000"/>
    <n v="3800"/>
  </r>
  <r>
    <x v="14"/>
    <s v="Netflix"/>
    <n v="9000"/>
    <n v="12000"/>
    <n v="3000"/>
  </r>
  <r>
    <x v="14"/>
    <s v="Netflix"/>
    <n v="9000"/>
    <n v="11000"/>
    <n v="2000"/>
  </r>
  <r>
    <x v="14"/>
    <s v="Spotify"/>
    <n v="6100"/>
    <n v="9000"/>
    <n v="2900"/>
  </r>
  <r>
    <x v="15"/>
    <s v="DisneyP"/>
    <n v="6000"/>
    <n v="10000"/>
    <n v="4000"/>
  </r>
  <r>
    <x v="16"/>
    <s v="PrimeVideo"/>
    <n v="2000"/>
    <n v="8000"/>
    <n v="6000"/>
  </r>
  <r>
    <x v="16"/>
    <s v="DisneyP"/>
    <n v="6000"/>
    <n v="10000"/>
    <n v="4000"/>
  </r>
  <r>
    <x v="17"/>
    <s v="ChatGPT"/>
    <n v="12990"/>
    <n v="25000"/>
    <n v="12010"/>
  </r>
  <r>
    <x v="17"/>
    <s v="Netflix"/>
    <n v="18000"/>
    <n v="22000"/>
    <n v="4000"/>
  </r>
  <r>
    <x v="17"/>
    <s v="Netflix"/>
    <n v="9000"/>
    <n v="12000"/>
    <n v="3000"/>
  </r>
  <r>
    <x v="17"/>
    <s v="Netflix"/>
    <n v="9000"/>
    <n v="12000"/>
    <n v="3000"/>
  </r>
  <r>
    <x v="17"/>
    <s v="DisneyE"/>
    <n v="4500"/>
    <n v="8000"/>
    <n v="3500"/>
  </r>
  <r>
    <x v="18"/>
    <s v="DisneyP"/>
    <n v="4300"/>
    <n v="8000"/>
    <n v="3700"/>
  </r>
  <r>
    <x v="18"/>
    <s v="Netflix"/>
    <n v="9000"/>
    <n v="11000"/>
    <n v="2000"/>
  </r>
  <r>
    <x v="19"/>
    <s v="DisneyP"/>
    <n v="4300"/>
    <n v="8000"/>
    <n v="3700"/>
  </r>
  <r>
    <x v="19"/>
    <s v="PrimeVideo"/>
    <n v="2000"/>
    <n v="5000"/>
    <n v="3000"/>
  </r>
  <r>
    <x v="18"/>
    <s v="ChatGPT"/>
    <n v="12990"/>
    <n v="25000"/>
    <n v="12010"/>
  </r>
  <r>
    <x v="19"/>
    <s v="Netflix"/>
    <n v="9000"/>
    <n v="12000"/>
    <n v="3000"/>
  </r>
  <r>
    <x v="18"/>
    <s v="Spotify"/>
    <n v="6100"/>
    <n v="9000"/>
    <n v="2900"/>
  </r>
  <r>
    <x v="18"/>
    <s v="Spotify"/>
    <n v="6100"/>
    <n v="6500"/>
    <n v="400"/>
  </r>
  <r>
    <x v="18"/>
    <s v="DisneyP"/>
    <n v="6000"/>
    <n v="10000"/>
    <n v="4000"/>
  </r>
  <r>
    <x v="18"/>
    <s v="DisneyP"/>
    <n v="6000"/>
    <n v="10000"/>
    <n v="4000"/>
  </r>
  <r>
    <x v="20"/>
    <s v="DisneyP"/>
    <n v="4300"/>
    <n v="8000"/>
    <n v="3700"/>
  </r>
  <r>
    <x v="20"/>
    <s v="Netflix"/>
    <n v="9000"/>
    <n v="11000"/>
    <n v="2000"/>
  </r>
  <r>
    <x v="20"/>
    <s v="Spotify"/>
    <n v="6100"/>
    <n v="6500"/>
    <n v="400"/>
  </r>
  <r>
    <x v="20"/>
    <s v="Spotify"/>
    <n v="6100"/>
    <n v="6500"/>
    <n v="400"/>
  </r>
  <r>
    <x v="21"/>
    <s v="Spotify"/>
    <n v="6100"/>
    <n v="6500"/>
    <n v="400"/>
  </r>
  <r>
    <x v="21"/>
    <s v="DisneyP"/>
    <n v="4300"/>
    <n v="10000"/>
    <n v="5700"/>
  </r>
  <r>
    <x v="21"/>
    <s v="HBO"/>
    <n v="1200"/>
    <n v="8000"/>
    <n v="6800"/>
  </r>
  <r>
    <x v="22"/>
    <s v="Spotify"/>
    <n v="6100"/>
    <n v="9000"/>
    <n v="2900"/>
  </r>
  <r>
    <x v="22"/>
    <s v="HBO"/>
    <n v="1200"/>
    <n v="8000"/>
    <n v="6800"/>
  </r>
  <r>
    <x v="22"/>
    <s v="HBO"/>
    <n v="1200"/>
    <n v="8000"/>
    <n v="6800"/>
  </r>
  <r>
    <x v="23"/>
    <s v="Netflix"/>
    <n v="9000"/>
    <n v="12000"/>
    <n v="3000"/>
  </r>
  <r>
    <x v="23"/>
    <s v="DisneyP"/>
    <n v="4300"/>
    <n v="10000"/>
    <n v="5700"/>
  </r>
  <r>
    <x v="24"/>
    <s v="Netflix"/>
    <n v="9000"/>
    <n v="12000"/>
    <n v="3000"/>
  </r>
  <r>
    <x v="25"/>
    <s v="DisneyP"/>
    <n v="4300"/>
    <n v="10000"/>
    <n v="5700"/>
  </r>
  <r>
    <x v="25"/>
    <s v="Spotify"/>
    <n v="6100"/>
    <n v="9000"/>
    <n v="2900"/>
  </r>
  <r>
    <x v="25"/>
    <s v="PrimeVideo"/>
    <n v="2000"/>
    <n v="8000"/>
    <n v="6000"/>
  </r>
  <r>
    <x v="24"/>
    <s v="DisneyP"/>
    <n v="4300"/>
    <n v="10000"/>
    <n v="5700"/>
  </r>
  <r>
    <x v="25"/>
    <s v="DisneyP"/>
    <n v="4300"/>
    <n v="10000"/>
    <n v="5700"/>
  </r>
  <r>
    <x v="24"/>
    <s v="HBO"/>
    <n v="1200"/>
    <n v="8000"/>
    <n v="6800"/>
  </r>
  <r>
    <x v="26"/>
    <s v="HBO"/>
    <n v="1200"/>
    <n v="8000"/>
    <n v="6800"/>
  </r>
  <r>
    <x v="25"/>
    <s v="Vix"/>
    <n v="2000"/>
    <n v="6000"/>
    <n v="4000"/>
  </r>
  <r>
    <x v="25"/>
    <s v="DisneyP"/>
    <n v="4300"/>
    <n v="8000"/>
    <n v="3700"/>
  </r>
  <r>
    <x v="25"/>
    <s v="Netflix"/>
    <n v="9000"/>
    <n v="11000"/>
    <n v="2000"/>
  </r>
  <r>
    <x v="25"/>
    <s v="HBO"/>
    <n v="1200"/>
    <n v="5000"/>
    <n v="3800"/>
  </r>
  <r>
    <x v="25"/>
    <s v="PrimeVideo"/>
    <n v="2000"/>
    <n v="5000"/>
    <n v="3000"/>
  </r>
  <r>
    <x v="25"/>
    <s v="Spotify"/>
    <n v="6100"/>
    <n v="9000"/>
    <n v="2900"/>
  </r>
  <r>
    <x v="26"/>
    <s v="Netflix"/>
    <n v="9000"/>
    <n v="12000"/>
    <n v="3000"/>
  </r>
  <r>
    <x v="25"/>
    <s v="PrimeVideo"/>
    <n v="2000"/>
    <n v="8000"/>
    <n v="6000"/>
  </r>
  <r>
    <x v="25"/>
    <s v="HBO"/>
    <n v="1200"/>
    <n v="8000"/>
    <n v="6800"/>
  </r>
  <r>
    <x v="27"/>
    <s v="HBO"/>
    <n v="1900"/>
    <n v="8000"/>
    <n v="6100"/>
  </r>
  <r>
    <x v="28"/>
    <s v="Netflix"/>
    <n v="9000"/>
    <n v="12000"/>
    <n v="3000"/>
  </r>
  <r>
    <x v="27"/>
    <s v="HBO"/>
    <n v="1900"/>
    <n v="8000"/>
    <n v="6100"/>
  </r>
  <r>
    <x v="27"/>
    <s v="Netflix"/>
    <n v="9000"/>
    <n v="12000"/>
    <n v="3000"/>
  </r>
  <r>
    <x v="27"/>
    <s v="DisneyP"/>
    <n v="6000"/>
    <n v="10000"/>
    <n v="4000"/>
  </r>
  <r>
    <x v="27"/>
    <s v="Spotify"/>
    <n v="6100"/>
    <n v="6500"/>
    <n v="400"/>
  </r>
  <r>
    <x v="29"/>
    <s v="Netflix"/>
    <n v="9000"/>
    <n v="11000"/>
    <n v="2000"/>
  </r>
  <r>
    <x v="29"/>
    <s v="DisneyP"/>
    <n v="4300"/>
    <n v="8000"/>
    <n v="3700"/>
  </r>
  <r>
    <x v="29"/>
    <s v="HBO"/>
    <n v="2000"/>
    <n v="8000"/>
    <n v="6000"/>
  </r>
  <r>
    <x v="29"/>
    <s v="Netflix"/>
    <n v="9000"/>
    <n v="12000"/>
    <n v="3000"/>
  </r>
  <r>
    <x v="29"/>
    <s v="Netflix"/>
    <n v="9000"/>
    <n v="12000"/>
    <n v="3000"/>
  </r>
  <r>
    <x v="29"/>
    <s v="Netflix"/>
    <n v="9000"/>
    <n v="12000"/>
    <n v="3000"/>
  </r>
  <r>
    <x v="29"/>
    <s v="HBO"/>
    <n v="12000"/>
    <n v="30000"/>
    <n v="18000"/>
  </r>
  <r>
    <x v="29"/>
    <s v="DisneyP"/>
    <n v="36000"/>
    <n v="48000"/>
    <n v="12000"/>
  </r>
  <r>
    <x v="29"/>
    <s v="PrimeVideo"/>
    <n v="12000"/>
    <n v="30000"/>
    <n v="18000"/>
  </r>
  <r>
    <x v="29"/>
    <s v="Spotify"/>
    <n v="6100"/>
    <n v="9000"/>
    <n v="2900"/>
  </r>
  <r>
    <x v="30"/>
    <s v="Netflix"/>
    <n v="9000"/>
    <n v="10000"/>
    <n v="1000"/>
  </r>
  <r>
    <x v="30"/>
    <s v="DisneyP"/>
    <n v="6000"/>
    <n v="8000"/>
    <n v="2000"/>
  </r>
  <r>
    <x v="30"/>
    <s v="Netflix"/>
    <n v="9000"/>
    <n v="12000"/>
    <n v="3000"/>
  </r>
  <r>
    <x v="30"/>
    <s v="DisneyP"/>
    <n v="4300"/>
    <n v="10000"/>
    <n v="5700"/>
  </r>
  <r>
    <x v="31"/>
    <s v="Crunchyroll"/>
    <n v="2000"/>
    <n v="6000"/>
    <n v="4000"/>
  </r>
  <r>
    <x v="31"/>
    <s v="ChatGPT"/>
    <n v="12990"/>
    <n v="25000"/>
    <n v="12010"/>
  </r>
  <r>
    <x v="31"/>
    <s v="DisneyP"/>
    <n v="6000"/>
    <n v="8000"/>
    <n v="2000"/>
  </r>
  <r>
    <x v="31"/>
    <s v="HBO"/>
    <n v="1400"/>
    <n v="5000"/>
    <n v="3600"/>
  </r>
  <r>
    <x v="31"/>
    <s v="HBO"/>
    <n v="1400"/>
    <n v="5000"/>
    <n v="3600"/>
  </r>
  <r>
    <x v="31"/>
    <s v="Netflix"/>
    <n v="9000"/>
    <n v="11000"/>
    <n v="2000"/>
  </r>
  <r>
    <x v="32"/>
    <s v="HBO"/>
    <n v="1400"/>
    <n v="8000"/>
    <n v="6600"/>
  </r>
  <r>
    <x v="33"/>
    <s v="PrimeVideo"/>
    <n v="2000"/>
    <n v="5000"/>
    <n v="3000"/>
  </r>
  <r>
    <x v="33"/>
    <s v="Netflix"/>
    <n v="9000"/>
    <n v="11000"/>
    <n v="2000"/>
  </r>
  <r>
    <x v="33"/>
    <s v="Netflix"/>
    <n v="9000"/>
    <n v="12000"/>
    <n v="3000"/>
  </r>
  <r>
    <x v="33"/>
    <s v="Netflix"/>
    <n v="9000"/>
    <n v="12000"/>
    <n v="3000"/>
  </r>
  <r>
    <x v="33"/>
    <s v="Netflix"/>
    <n v="9000"/>
    <n v="12000"/>
    <n v="3000"/>
  </r>
  <r>
    <x v="34"/>
    <s v="Netflix"/>
    <n v="9000"/>
    <n v="12000"/>
    <n v="3000"/>
  </r>
  <r>
    <x v="35"/>
    <s v="Netflix"/>
    <n v="9000"/>
    <n v="11000"/>
    <n v="2000"/>
  </r>
  <r>
    <x v="35"/>
    <s v="PrimeVideo"/>
    <n v="2000"/>
    <n v="5000"/>
    <n v="3000"/>
  </r>
  <r>
    <x v="35"/>
    <s v="Spotify"/>
    <n v="6100"/>
    <n v="9000"/>
    <n v="2900"/>
  </r>
  <r>
    <x v="35"/>
    <s v="DisneyP"/>
    <n v="4300"/>
    <n v="10000"/>
    <n v="5700"/>
  </r>
  <r>
    <x v="35"/>
    <s v="Netflix"/>
    <n v="9000"/>
    <n v="12000"/>
    <n v="3000"/>
  </r>
  <r>
    <x v="35"/>
    <s v="Canva"/>
    <n v="2000"/>
    <n v="8000"/>
    <n v="6000"/>
  </r>
  <r>
    <x v="35"/>
    <s v="Netflix"/>
    <n v="9000"/>
    <n v="12000"/>
    <n v="3000"/>
  </r>
  <r>
    <x v="36"/>
    <s v="Netflix"/>
    <n v="9000"/>
    <n v="12000"/>
    <n v="3000"/>
  </r>
  <r>
    <x v="36"/>
    <s v="YouTube"/>
    <n v="28000"/>
    <n v="35000"/>
    <n v="7000"/>
  </r>
  <r>
    <x v="36"/>
    <s v="Netflix"/>
    <n v="9000"/>
    <n v="12000"/>
    <n v="3000"/>
  </r>
  <r>
    <x v="36"/>
    <s v="DisneyE"/>
    <n v="3500"/>
    <n v="8000"/>
    <n v="4500"/>
  </r>
  <r>
    <x v="36"/>
    <s v="DisneyP"/>
    <n v="4300"/>
    <n v="10000"/>
    <n v="5700"/>
  </r>
  <r>
    <x v="37"/>
    <s v="Spotify"/>
    <n v="6100"/>
    <n v="9000"/>
    <n v="2900"/>
  </r>
  <r>
    <x v="38"/>
    <s v="HBO"/>
    <n v="1400"/>
    <n v="5000"/>
    <n v="3600"/>
  </r>
  <r>
    <x v="38"/>
    <s v="IPTV"/>
    <n v="2990"/>
    <n v="8000"/>
    <n v="5010"/>
  </r>
  <r>
    <x v="39"/>
    <s v="DisneyP"/>
    <n v="6000"/>
    <n v="8000"/>
    <n v="2000"/>
  </r>
  <r>
    <x v="39"/>
    <s v="HBO"/>
    <n v="1400"/>
    <n v="5000"/>
    <n v="3600"/>
  </r>
  <r>
    <x v="37"/>
    <s v="Netflix"/>
    <n v="9000"/>
    <n v="12000"/>
    <n v="3000"/>
  </r>
  <r>
    <x v="37"/>
    <s v="ChatGPT"/>
    <n v="8000"/>
    <n v="20000"/>
    <n v="12000"/>
  </r>
  <r>
    <x v="37"/>
    <s v="Netflix"/>
    <n v="18000"/>
    <n v="22000"/>
    <n v="4000"/>
  </r>
  <r>
    <x v="39"/>
    <s v="Netflix"/>
    <n v="9000"/>
    <n v="12000"/>
    <n v="3000"/>
  </r>
  <r>
    <x v="39"/>
    <s v="Netflix"/>
    <n v="9000"/>
    <n v="12000"/>
    <n v="3000"/>
  </r>
  <r>
    <x v="39"/>
    <s v="HBO"/>
    <n v="1400"/>
    <n v="8000"/>
    <n v="6600"/>
  </r>
  <r>
    <x v="39"/>
    <s v="Netflix"/>
    <n v="9000"/>
    <n v="11000"/>
    <n v="2000"/>
  </r>
  <r>
    <x v="39"/>
    <s v="HBO"/>
    <n v="1400"/>
    <n v="5000"/>
    <n v="3600"/>
  </r>
  <r>
    <x v="39"/>
    <s v="DisneyP"/>
    <n v="4300"/>
    <n v="8000"/>
    <n v="3700"/>
  </r>
  <r>
    <x v="39"/>
    <s v="PrimeVideo"/>
    <n v="2000"/>
    <n v="5000"/>
    <n v="3000"/>
  </r>
  <r>
    <x v="39"/>
    <s v="HBO"/>
    <n v="7000"/>
    <n v="12000"/>
    <n v="5000"/>
  </r>
  <r>
    <x v="40"/>
    <s v="DisneyP"/>
    <n v="4300"/>
    <n v="8000"/>
    <n v="3700"/>
  </r>
  <r>
    <x v="40"/>
    <s v="Netflix"/>
    <n v="9000"/>
    <n v="11000"/>
    <n v="2000"/>
  </r>
  <r>
    <x v="40"/>
    <s v="Netflix"/>
    <n v="9000"/>
    <n v="12000"/>
    <n v="3000"/>
  </r>
  <r>
    <x v="40"/>
    <s v="PrimeVideo"/>
    <n v="2000"/>
    <n v="8000"/>
    <n v="6000"/>
  </r>
  <r>
    <x v="40"/>
    <s v="Spotify"/>
    <n v="6100"/>
    <n v="9000"/>
    <n v="2900"/>
  </r>
  <r>
    <x v="40"/>
    <s v="Spotify"/>
    <n v="6100"/>
    <n v="9000"/>
    <n v="2900"/>
  </r>
  <r>
    <x v="40"/>
    <s v="HBO"/>
    <n v="1400"/>
    <n v="8000"/>
    <n v="6600"/>
  </r>
  <r>
    <x v="41"/>
    <s v="Crunchyroll"/>
    <n v="2000"/>
    <n v="6000"/>
    <n v="4000"/>
  </r>
  <r>
    <x v="41"/>
    <s v="DisneyP"/>
    <n v="4300"/>
    <n v="10000"/>
    <n v="5700"/>
  </r>
  <r>
    <x v="41"/>
    <s v="Netflix"/>
    <n v="9000"/>
    <n v="12000"/>
    <n v="3000"/>
  </r>
  <r>
    <x v="42"/>
    <s v="Netflix"/>
    <n v="9000"/>
    <n v="12000"/>
    <n v="3000"/>
  </r>
  <r>
    <x v="42"/>
    <s v="Netflix"/>
    <n v="9000"/>
    <n v="12000"/>
    <n v="3000"/>
  </r>
  <r>
    <x v="42"/>
    <s v="DisneyP"/>
    <n v="25990"/>
    <n v="30000"/>
    <n v="4010"/>
  </r>
  <r>
    <x v="42"/>
    <s v="DisneyP"/>
    <n v="6000"/>
    <n v="10000"/>
    <n v="4000"/>
  </r>
  <r>
    <x v="43"/>
    <s v="ChatGPT"/>
    <n v="8000"/>
    <n v="20000"/>
    <n v="12000"/>
  </r>
  <r>
    <x v="44"/>
    <s v="Netflix"/>
    <n v="9000"/>
    <n v="12000"/>
    <n v="3000"/>
  </r>
  <r>
    <x v="44"/>
    <s v="Netflix"/>
    <n v="9000"/>
    <n v="11000"/>
    <n v="2000"/>
  </r>
  <r>
    <x v="44"/>
    <s v="HBO"/>
    <n v="1400"/>
    <n v="5000"/>
    <n v="3600"/>
  </r>
  <r>
    <x v="45"/>
    <s v="Spotify"/>
    <n v="6100"/>
    <n v="6500"/>
    <n v="400"/>
  </r>
  <r>
    <x v="45"/>
    <s v="Spotify"/>
    <n v="6100"/>
    <n v="6500"/>
    <n v="400"/>
  </r>
  <r>
    <x v="45"/>
    <s v="ChatGPT"/>
    <n v="8000"/>
    <n v="20000"/>
    <n v="12000"/>
  </r>
  <r>
    <x v="45"/>
    <s v="Netflix"/>
    <n v="9000"/>
    <n v="12000"/>
    <n v="3000"/>
  </r>
  <r>
    <x v="45"/>
    <s v="DisneyP"/>
    <n v="3500"/>
    <n v="8000"/>
    <n v="4500"/>
  </r>
  <r>
    <x v="45"/>
    <s v="Netflix"/>
    <n v="9000"/>
    <n v="12000"/>
    <n v="3000"/>
  </r>
  <r>
    <x v="45"/>
    <s v="DisneyP"/>
    <n v="4300"/>
    <n v="10000"/>
    <n v="5700"/>
  </r>
  <r>
    <x v="45"/>
    <s v="Netflix"/>
    <n v="9000"/>
    <n v="12000"/>
    <n v="3000"/>
  </r>
  <r>
    <x v="45"/>
    <s v="DisneyP"/>
    <n v="4600"/>
    <n v="10000"/>
    <n v="5400"/>
  </r>
  <r>
    <x v="45"/>
    <s v="Spotify"/>
    <n v="6100"/>
    <n v="9000"/>
    <n v="2900"/>
  </r>
  <r>
    <x v="45"/>
    <s v="Netflix"/>
    <n v="9000"/>
    <n v="12000"/>
    <n v="3000"/>
  </r>
  <r>
    <x v="46"/>
    <s v="HBO"/>
    <n v="1600"/>
    <n v="8000"/>
    <n v="6400"/>
  </r>
  <r>
    <x v="46"/>
    <s v="GamePass"/>
    <n v="15500"/>
    <n v="25000"/>
    <n v="9500"/>
  </r>
  <r>
    <x v="47"/>
    <s v="Spotify"/>
    <n v="6100"/>
    <n v="9000"/>
    <n v="2900"/>
  </r>
  <r>
    <x v="48"/>
    <s v="Netflix"/>
    <n v="9000"/>
    <n v="12000"/>
    <n v="3000"/>
  </r>
  <r>
    <x v="49"/>
    <s v="Netflix"/>
    <n v="9000"/>
    <n v="12000"/>
    <n v="3000"/>
  </r>
  <r>
    <x v="50"/>
    <s v="Spotify"/>
    <n v="6100"/>
    <n v="6500"/>
    <n v="400"/>
  </r>
  <r>
    <x v="50"/>
    <s v="HBO"/>
    <n v="1600"/>
    <n v="8000"/>
    <n v="6400"/>
  </r>
  <r>
    <x v="50"/>
    <s v="Netflix"/>
    <n v="9000"/>
    <n v="12000"/>
    <n v="3000"/>
  </r>
  <r>
    <x v="50"/>
    <s v="PrimeVideo"/>
    <n v="2000"/>
    <n v="5000"/>
    <n v="3000"/>
  </r>
  <r>
    <x v="50"/>
    <s v="DisneyP"/>
    <n v="4600"/>
    <n v="8000"/>
    <n v="3400"/>
  </r>
  <r>
    <x v="51"/>
    <s v="HBO"/>
    <n v="1600"/>
    <n v="8000"/>
    <n v="6400"/>
  </r>
  <r>
    <x v="51"/>
    <s v="Netflix"/>
    <n v="9000"/>
    <n v="12000"/>
    <n v="3000"/>
  </r>
  <r>
    <x v="50"/>
    <s v="Spotify"/>
    <n v="6100"/>
    <n v="9000"/>
    <n v="2900"/>
  </r>
  <r>
    <x v="50"/>
    <s v="PrimeVideo"/>
    <n v="2000"/>
    <n v="8000"/>
    <n v="6000"/>
  </r>
  <r>
    <x v="50"/>
    <s v="Spotify"/>
    <n v="6100"/>
    <n v="9000"/>
    <n v="2900"/>
  </r>
  <r>
    <x v="50"/>
    <s v="DisneyP"/>
    <n v="4600"/>
    <n v="10000"/>
    <n v="5400"/>
  </r>
  <r>
    <x v="50"/>
    <s v="DisneyP"/>
    <n v="4600"/>
    <n v="8000"/>
    <n v="3400"/>
  </r>
  <r>
    <x v="50"/>
    <s v="PrimeVideo"/>
    <n v="2000"/>
    <n v="5000"/>
    <n v="3000"/>
  </r>
  <r>
    <x v="50"/>
    <s v="Netflix"/>
    <n v="9000"/>
    <n v="11000"/>
    <n v="2000"/>
  </r>
  <r>
    <x v="50"/>
    <s v="HBO"/>
    <n v="1600"/>
    <n v="5000"/>
    <n v="3400"/>
  </r>
  <r>
    <x v="52"/>
    <s v="HBO"/>
    <n v="1600"/>
    <n v="8000"/>
    <n v="6400"/>
  </r>
  <r>
    <x v="52"/>
    <s v="HBO"/>
    <n v="1600"/>
    <n v="8000"/>
    <n v="6400"/>
  </r>
  <r>
    <x v="52"/>
    <s v="Netflix"/>
    <n v="9000"/>
    <n v="12000"/>
    <n v="3000"/>
  </r>
  <r>
    <x v="53"/>
    <s v="PrimeVideo"/>
    <n v="2000"/>
    <n v="8000"/>
    <n v="6000"/>
  </r>
  <r>
    <x v="53"/>
    <s v="Spotify"/>
    <n v="6100"/>
    <n v="6500"/>
    <n v="400"/>
  </r>
  <r>
    <x v="53"/>
    <s v="Spotify"/>
    <n v="6100"/>
    <n v="9000"/>
    <n v="2900"/>
  </r>
  <r>
    <x v="52"/>
    <s v="HBO"/>
    <n v="1600"/>
    <n v="8000"/>
    <n v="6400"/>
  </r>
  <r>
    <x v="52"/>
    <s v="HBO"/>
    <n v="1600"/>
    <n v="8000"/>
    <n v="6400"/>
  </r>
  <r>
    <x v="54"/>
    <s v="DisneyP"/>
    <n v="6000"/>
    <n v="10000"/>
    <n v="4000"/>
  </r>
  <r>
    <x v="55"/>
    <s v="DisneyP"/>
    <n v="6000"/>
    <n v="10000"/>
    <n v="4000"/>
  </r>
  <r>
    <x v="55"/>
    <s v="Netflix"/>
    <n v="9000"/>
    <n v="12000"/>
    <n v="3000"/>
  </r>
  <r>
    <x v="56"/>
    <s v="PrimeVideo"/>
    <n v="2000"/>
    <n v="5000"/>
    <n v="3000"/>
  </r>
  <r>
    <x v="56"/>
    <s v="DisneyP"/>
    <n v="3500"/>
    <n v="6000"/>
    <n v="2500"/>
  </r>
  <r>
    <x v="56"/>
    <s v="Netflix"/>
    <n v="9000"/>
    <n v="12000"/>
    <n v="3000"/>
  </r>
  <r>
    <x v="56"/>
    <s v="HBO"/>
    <n v="1600"/>
    <n v="5000"/>
    <n v="3400"/>
  </r>
  <r>
    <x v="56"/>
    <s v="DisneyP"/>
    <n v="6000"/>
    <n v="8000"/>
    <n v="2000"/>
  </r>
  <r>
    <x v="56"/>
    <s v="DisneyP"/>
    <n v="6000"/>
    <n v="10000"/>
    <n v="4000"/>
  </r>
  <r>
    <x v="56"/>
    <s v="Netflix"/>
    <n v="9000"/>
    <n v="12000"/>
    <n v="3000"/>
  </r>
  <r>
    <x v="56"/>
    <s v="Netflix"/>
    <n v="9000"/>
    <n v="12000"/>
    <n v="3000"/>
  </r>
  <r>
    <x v="56"/>
    <s v="Netflix"/>
    <n v="9000"/>
    <n v="12000"/>
    <n v="3000"/>
  </r>
  <r>
    <x v="57"/>
    <s v="Directv"/>
    <n v="9900"/>
    <n v="15000"/>
    <n v="5100"/>
  </r>
  <r>
    <x v="57"/>
    <s v="Netflix"/>
    <n v="9000"/>
    <n v="12000"/>
    <n v="3000"/>
  </r>
  <r>
    <x v="58"/>
    <s v="Netflix"/>
    <n v="9000"/>
    <n v="12000"/>
    <n v="3000"/>
  </r>
  <r>
    <x v="58"/>
    <s v="Spotify"/>
    <n v="6100"/>
    <n v="9000"/>
    <n v="2900"/>
  </r>
  <r>
    <x v="59"/>
    <s v="Netflix"/>
    <n v="9000"/>
    <n v="12000"/>
    <n v="3000"/>
  </r>
  <r>
    <x v="58"/>
    <s v="Canva"/>
    <n v="2000"/>
    <n v="8000"/>
    <n v="6000"/>
  </r>
  <r>
    <x v="57"/>
    <s v="Netflix"/>
    <n v="9000"/>
    <n v="11000"/>
    <n v="2000"/>
  </r>
  <r>
    <x v="57"/>
    <s v="DisneyP"/>
    <n v="6000"/>
    <n v="8000"/>
    <n v="2000"/>
  </r>
  <r>
    <x v="57"/>
    <s v="Paramount"/>
    <n v="1500"/>
    <n v="5000"/>
    <n v="3500"/>
  </r>
  <r>
    <x v="57"/>
    <s v="PrimeVideo"/>
    <n v="2000"/>
    <n v="5000"/>
    <n v="3000"/>
  </r>
  <r>
    <x v="60"/>
    <s v="Crunchyroll"/>
    <n v="2000"/>
    <n v="6000"/>
    <n v="4000"/>
  </r>
  <r>
    <x v="60"/>
    <s v="Netflix"/>
    <n v="18000"/>
    <n v="22000"/>
    <n v="4000"/>
  </r>
  <r>
    <x v="60"/>
    <s v="PrimeVideo"/>
    <n v="4000"/>
    <n v="10000"/>
    <n v="6000"/>
  </r>
  <r>
    <x v="61"/>
    <s v="Netflix"/>
    <n v="9000"/>
    <n v="12000"/>
    <n v="3000"/>
  </r>
  <r>
    <x v="61"/>
    <s v="Netflix"/>
    <n v="9000"/>
    <n v="12000"/>
    <n v="3000"/>
  </r>
  <r>
    <x v="61"/>
    <s v="ChatGPT"/>
    <n v="8000"/>
    <n v="20000"/>
    <n v="12000"/>
  </r>
  <r>
    <x v="61"/>
    <s v="Netflix"/>
    <n v="9000"/>
    <n v="11000"/>
    <n v="2000"/>
  </r>
  <r>
    <x v="61"/>
    <s v="HBO"/>
    <n v="1600"/>
    <n v="5000"/>
    <n v="3400"/>
  </r>
  <r>
    <x v="62"/>
    <s v="Netflix"/>
    <n v="9000"/>
    <n v="12000"/>
    <n v="3000"/>
  </r>
  <r>
    <x v="62"/>
    <s v="Netflix"/>
    <n v="9000"/>
    <n v="11000"/>
    <n v="2000"/>
  </r>
  <r>
    <x v="62"/>
    <s v="DisneyP"/>
    <n v="4600"/>
    <n v="8000"/>
    <n v="3400"/>
  </r>
  <r>
    <x v="62"/>
    <s v="PrimeVideo"/>
    <n v="2500"/>
    <n v="8000"/>
    <n v="5500"/>
  </r>
  <r>
    <x v="63"/>
    <s v="HBO"/>
    <n v="1600"/>
    <n v="8000"/>
    <n v="6400"/>
  </r>
  <r>
    <x v="63"/>
    <s v="Spotify"/>
    <n v="6100"/>
    <n v="9000"/>
    <n v="2900"/>
  </r>
  <r>
    <x v="63"/>
    <s v="HBO"/>
    <n v="1600"/>
    <n v="5000"/>
    <n v="3400"/>
  </r>
  <r>
    <x v="63"/>
    <s v="PrimeVideo"/>
    <n v="2500"/>
    <n v="8000"/>
    <n v="5500"/>
  </r>
  <r>
    <x v="63"/>
    <s v="Netflix"/>
    <n v="9000"/>
    <n v="12000"/>
    <n v="3000"/>
  </r>
  <r>
    <x v="64"/>
    <s v="Spotify"/>
    <n v="6100"/>
    <n v="9000"/>
    <n v="2900"/>
  </r>
  <r>
    <x v="64"/>
    <s v="Spotify"/>
    <n v="6100"/>
    <n v="9000"/>
    <n v="2900"/>
  </r>
  <r>
    <x v="64"/>
    <s v="Netflix"/>
    <n v="18000"/>
    <n v="22000"/>
    <n v="4000"/>
  </r>
  <r>
    <x v="64"/>
    <s v="Canva"/>
    <n v="2000"/>
    <n v="8000"/>
    <n v="6000"/>
  </r>
  <r>
    <x v="65"/>
    <s v="DisneyP"/>
    <n v="7000"/>
    <n v="10000"/>
    <n v="3000"/>
  </r>
  <r>
    <x v="65"/>
    <s v="DisneyP"/>
    <n v="7000"/>
    <n v="10000"/>
    <n v="3000"/>
  </r>
  <r>
    <x v="65"/>
    <s v="ChatGPT"/>
    <n v="8000"/>
    <n v="20000"/>
    <n v="12000"/>
  </r>
  <r>
    <x v="65"/>
    <s v="Netflix"/>
    <n v="9000"/>
    <n v="12000"/>
    <n v="3000"/>
  </r>
  <r>
    <x v="65"/>
    <s v="Netflix"/>
    <n v="9000"/>
    <n v="11000"/>
    <n v="2000"/>
  </r>
  <r>
    <x v="66"/>
    <s v="Spotify"/>
    <n v="18300"/>
    <n v="27000"/>
    <n v="8700"/>
  </r>
  <r>
    <x v="66"/>
    <s v="Netflix"/>
    <n v="9000"/>
    <n v="12000"/>
    <n v="3000"/>
  </r>
  <r>
    <x v="66"/>
    <s v="Netflix"/>
    <n v="9000"/>
    <n v="12000"/>
    <n v="3000"/>
  </r>
  <r>
    <x v="66"/>
    <s v="DisneyP"/>
    <n v="6000"/>
    <n v="10000"/>
    <n v="4000"/>
  </r>
  <r>
    <x v="66"/>
    <s v="Netflix"/>
    <n v="9000"/>
    <n v="11000"/>
    <n v="2000"/>
  </r>
  <r>
    <x v="66"/>
    <s v="DisneyP"/>
    <n v="4600"/>
    <n v="8000"/>
    <n v="3400"/>
  </r>
  <r>
    <x v="66"/>
    <s v="PrimeVideo"/>
    <n v="2500"/>
    <n v="5000"/>
    <n v="2500"/>
  </r>
  <r>
    <x v="66"/>
    <s v="HBO"/>
    <n v="2000"/>
    <n v="5000"/>
    <n v="3000"/>
  </r>
  <r>
    <x v="67"/>
    <s v="ChatGPT"/>
    <n v="8000"/>
    <n v="20000"/>
    <n v="12000"/>
  </r>
  <r>
    <x v="67"/>
    <s v="DisneyP"/>
    <n v="7000"/>
    <n v="10000"/>
    <n v="3000"/>
  </r>
  <r>
    <x v="67"/>
    <s v="HBO"/>
    <n v="2000"/>
    <n v="8000"/>
    <n v="6000"/>
  </r>
  <r>
    <x v="67"/>
    <s v="HBO"/>
    <n v="2000"/>
    <n v="8000"/>
    <n v="6000"/>
  </r>
  <r>
    <x v="67"/>
    <s v="Spotify"/>
    <n v="6100"/>
    <n v="6500"/>
    <n v="400"/>
  </r>
  <r>
    <x v="67"/>
    <s v="Netflix"/>
    <n v="9000"/>
    <n v="12000"/>
    <n v="3000"/>
  </r>
  <r>
    <x v="67"/>
    <s v="Netflix"/>
    <n v="9000"/>
    <n v="12000"/>
    <n v="3000"/>
  </r>
  <r>
    <x v="68"/>
    <s v="Spotify"/>
    <n v="6100"/>
    <n v="9000"/>
    <n v="2900"/>
  </r>
  <r>
    <x v="68"/>
    <s v="Spotify"/>
    <n v="6100"/>
    <n v="9000"/>
    <n v="2900"/>
  </r>
  <r>
    <x v="68"/>
    <s v="Netflix"/>
    <n v="9000"/>
    <n v="12000"/>
    <n v="3000"/>
  </r>
  <r>
    <x v="69"/>
    <s v="Netflix"/>
    <n v="9000"/>
    <n v="12000"/>
    <n v="3000"/>
  </r>
  <r>
    <x v="69"/>
    <s v="Netflix"/>
    <n v="9000"/>
    <n v="12000"/>
    <n v="3000"/>
  </r>
  <r>
    <x v="70"/>
    <s v="Spotify"/>
    <n v="6100"/>
    <n v="6500"/>
    <n v="400"/>
  </r>
  <r>
    <x v="70"/>
    <s v="Netflix"/>
    <n v="9000"/>
    <n v="12000"/>
    <n v="3000"/>
  </r>
  <r>
    <x v="71"/>
    <s v="Netflix"/>
    <n v="9000"/>
    <n v="11000"/>
    <n v="2000"/>
  </r>
  <r>
    <x v="71"/>
    <s v="PrimeVideo"/>
    <n v="2500"/>
    <n v="5000"/>
    <n v="2500"/>
  </r>
  <r>
    <x v="71"/>
    <s v="HBO"/>
    <n v="2000"/>
    <n v="5000"/>
    <n v="3000"/>
  </r>
  <r>
    <x v="71"/>
    <s v="Netflix"/>
    <n v="9000"/>
    <n v="12000"/>
    <n v="3000"/>
  </r>
  <r>
    <x v="71"/>
    <s v="Netflix"/>
    <n v="9000"/>
    <n v="12000"/>
    <n v="3000"/>
  </r>
  <r>
    <x v="72"/>
    <s v="DisneyP"/>
    <n v="4600"/>
    <n v="10000"/>
    <n v="5400"/>
  </r>
  <r>
    <x v="72"/>
    <s v="Netflix"/>
    <n v="9000"/>
    <n v="12000"/>
    <n v="3000"/>
  </r>
  <r>
    <x v="72"/>
    <s v="Spotify"/>
    <n v="6100"/>
    <n v="9000"/>
    <n v="2900"/>
  </r>
  <r>
    <x v="73"/>
    <s v="DisneyP"/>
    <n v="4600"/>
    <n v="8000"/>
    <n v="3400"/>
  </r>
  <r>
    <x v="73"/>
    <s v="Netflix"/>
    <n v="9000"/>
    <n v="11000"/>
    <n v="2000"/>
  </r>
  <r>
    <x v="73"/>
    <s v="PrimeVideo"/>
    <n v="2500"/>
    <n v="5000"/>
    <n v="2500"/>
  </r>
  <r>
    <x v="73"/>
    <s v="HBO"/>
    <n v="2000"/>
    <n v="5000"/>
    <n v="3000"/>
  </r>
  <r>
    <x v="73"/>
    <s v="Netflix"/>
    <n v="9000"/>
    <n v="12000"/>
    <n v="3000"/>
  </r>
  <r>
    <x v="73"/>
    <s v="PrimeVideo"/>
    <n v="2500"/>
    <n v="5000"/>
    <n v="2500"/>
  </r>
  <r>
    <x v="73"/>
    <s v="Spotify"/>
    <n v="6100"/>
    <n v="9000"/>
    <n v="2900"/>
  </r>
  <r>
    <x v="73"/>
    <s v="PrimeVideo"/>
    <n v="2500"/>
    <n v="5000"/>
    <n v="2500"/>
  </r>
  <r>
    <x v="73"/>
    <s v="DisneyP"/>
    <n v="4600"/>
    <n v="8000"/>
    <n v="3400"/>
  </r>
  <r>
    <x v="73"/>
    <s v="DisneyP"/>
    <n v="4600"/>
    <n v="10000"/>
    <n v="5400"/>
  </r>
  <r>
    <x v="73"/>
    <s v="HBO"/>
    <n v="2000"/>
    <n v="8000"/>
    <n v="6000"/>
  </r>
  <r>
    <x v="74"/>
    <s v="HBO"/>
    <n v="2000"/>
    <n v="8000"/>
    <n v="6000"/>
  </r>
  <r>
    <x v="75"/>
    <s v="ChatGPT"/>
    <n v="8000"/>
    <n v="20000"/>
    <n v="12000"/>
  </r>
  <r>
    <x v="75"/>
    <s v="HBO"/>
    <n v="2000"/>
    <n v="8000"/>
    <n v="6000"/>
  </r>
  <r>
    <x v="76"/>
    <s v="Spotify"/>
    <n v="6100"/>
    <n v="6500"/>
    <n v="400"/>
  </r>
  <r>
    <x v="75"/>
    <s v="Spotify"/>
    <n v="6100"/>
    <n v="6500"/>
    <n v="400"/>
  </r>
  <r>
    <x v="76"/>
    <s v="PrimeVideo"/>
    <n v="2500"/>
    <n v="8000"/>
    <n v="5500"/>
  </r>
  <r>
    <x v="75"/>
    <s v="Netflix"/>
    <n v="9000"/>
    <n v="12000"/>
    <n v="3000"/>
  </r>
  <r>
    <x v="76"/>
    <s v="Spotify"/>
    <n v="6100"/>
    <n v="6500"/>
    <n v="400"/>
  </r>
  <r>
    <x v="75"/>
    <s v="HBO"/>
    <n v="2000"/>
    <n v="5000"/>
    <n v="3000"/>
  </r>
  <r>
    <x v="75"/>
    <s v="DisneyP"/>
    <n v="7000"/>
    <n v="8000"/>
    <n v="1000"/>
  </r>
  <r>
    <x v="75"/>
    <s v="Netflix"/>
    <n v="9000"/>
    <n v="11000"/>
    <n v="2000"/>
  </r>
  <r>
    <x v="75"/>
    <s v="HBO"/>
    <n v="2000"/>
    <n v="8000"/>
    <n v="6000"/>
  </r>
  <r>
    <x v="76"/>
    <s v="Spotify"/>
    <n v="6100"/>
    <n v="9000"/>
    <n v="2900"/>
  </r>
  <r>
    <x v="77"/>
    <s v="DisneyP"/>
    <n v="7000"/>
    <n v="10000"/>
    <n v="3000"/>
  </r>
  <r>
    <x v="78"/>
    <s v="Netflix"/>
    <n v="9000"/>
    <n v="12000"/>
    <n v="3000"/>
  </r>
  <r>
    <x v="79"/>
    <s v="DisneyP"/>
    <n v="6000"/>
    <n v="10000"/>
    <n v="4000"/>
  </r>
  <r>
    <x v="80"/>
    <s v="Netflix"/>
    <n v="9000"/>
    <n v="12000"/>
    <n v="3000"/>
  </r>
  <r>
    <x v="80"/>
    <s v="DisneyP"/>
    <n v="5000"/>
    <n v="10000"/>
    <n v="5000"/>
  </r>
  <r>
    <x v="80"/>
    <s v="DisneyP"/>
    <n v="6000"/>
    <n v="8000"/>
    <n v="2000"/>
  </r>
  <r>
    <x v="80"/>
    <s v="Paramount"/>
    <n v="1500"/>
    <n v="5000"/>
    <n v="3500"/>
  </r>
  <r>
    <x v="79"/>
    <s v="PrimeVideo"/>
    <n v="2500"/>
    <n v="8000"/>
    <n v="5500"/>
  </r>
  <r>
    <x v="79"/>
    <s v="DisneyP"/>
    <n v="5000"/>
    <n v="10000"/>
    <n v="5000"/>
  </r>
  <r>
    <x v="79"/>
    <s v="ChatGPT"/>
    <n v="12990"/>
    <n v="25000"/>
    <n v="12010"/>
  </r>
  <r>
    <x v="80"/>
    <s v="Netflix"/>
    <n v="9000"/>
    <n v="12000"/>
    <n v="3000"/>
  </r>
  <r>
    <x v="81"/>
    <s v="HBO"/>
    <n v="2000"/>
    <n v="8000"/>
    <n v="6000"/>
  </r>
  <r>
    <x v="81"/>
    <s v="Canva"/>
    <n v="2000"/>
    <n v="8000"/>
    <n v="6000"/>
  </r>
  <r>
    <x v="81"/>
    <s v="Spotify"/>
    <n v="6100"/>
    <n v="9000"/>
    <n v="2900"/>
  </r>
  <r>
    <x v="81"/>
    <s v="HBO"/>
    <n v="2000"/>
    <n v="8000"/>
    <n v="6000"/>
  </r>
  <r>
    <x v="82"/>
    <s v="Netflix"/>
    <n v="9000"/>
    <n v="12000"/>
    <n v="3000"/>
  </r>
  <r>
    <x v="83"/>
    <s v="HBO"/>
    <n v="2000"/>
    <n v="8000"/>
    <n v="6000"/>
  </r>
  <r>
    <x v="84"/>
    <s v="HBO"/>
    <n v="1900"/>
    <n v="8000"/>
    <n v="6100"/>
  </r>
  <r>
    <x v="83"/>
    <s v="HBO"/>
    <n v="1900"/>
    <n v="8000"/>
    <n v="6100"/>
  </r>
  <r>
    <x v="84"/>
    <s v="HBO"/>
    <n v="1900"/>
    <n v="12000"/>
    <n v="10100"/>
  </r>
  <r>
    <x v="85"/>
    <s v="Netflix"/>
    <n v="9000"/>
    <n v="12000"/>
    <n v="3000"/>
  </r>
  <r>
    <x v="85"/>
    <s v="PrimeVideo"/>
    <n v="2500"/>
    <n v="8000"/>
    <n v="5500"/>
  </r>
  <r>
    <x v="84"/>
    <s v="Netflix"/>
    <n v="9000"/>
    <n v="12000"/>
    <n v="3000"/>
  </r>
  <r>
    <x v="84"/>
    <s v="Netflix"/>
    <n v="9000"/>
    <m/>
    <n v="-9000"/>
  </r>
  <r>
    <x v="85"/>
    <s v="DisneyP"/>
    <n v="5490"/>
    <n v="10000"/>
    <n v="4510"/>
  </r>
  <r>
    <x v="86"/>
    <s v="HBO"/>
    <n v="1900"/>
    <n v="8000"/>
    <n v="6100"/>
  </r>
  <r>
    <x v="86"/>
    <s v="HBO"/>
    <n v="1900"/>
    <n v="5000"/>
    <n v="3100"/>
  </r>
  <r>
    <x v="86"/>
    <s v="Netflix"/>
    <n v="9000"/>
    <n v="11000"/>
    <n v="2000"/>
  </r>
  <r>
    <x v="86"/>
    <s v="DisneyP"/>
    <n v="5490"/>
    <n v="10000"/>
    <n v="4510"/>
  </r>
  <r>
    <x v="86"/>
    <s v="Vix"/>
    <n v="500"/>
    <n v="6000"/>
    <n v="5500"/>
  </r>
  <r>
    <x v="86"/>
    <s v="HBO"/>
    <n v="1900"/>
    <n v="8000"/>
    <n v="6100"/>
  </r>
  <r>
    <x v="86"/>
    <s v="Spotify"/>
    <n v="6100"/>
    <n v="9000"/>
    <n v="2900"/>
  </r>
  <r>
    <x v="86"/>
    <s v="Netflix"/>
    <n v="9000"/>
    <n v="11000"/>
    <n v="2000"/>
  </r>
  <r>
    <x v="86"/>
    <s v="PrimeVideo"/>
    <n v="2990"/>
    <n v="5000"/>
    <n v="2010"/>
  </r>
  <r>
    <x v="86"/>
    <s v="HBO"/>
    <n v="1900"/>
    <n v="8000"/>
    <n v="6100"/>
  </r>
  <r>
    <x v="86"/>
    <s v="Spotify"/>
    <n v="6100"/>
    <n v="9000"/>
    <n v="2900"/>
  </r>
  <r>
    <x v="87"/>
    <s v="Netflix"/>
    <n v="9000"/>
    <n v="11000"/>
    <n v="2000"/>
  </r>
  <r>
    <x v="87"/>
    <s v="DisneyP"/>
    <n v="5490"/>
    <n v="8000"/>
    <n v="2510"/>
  </r>
  <r>
    <x v="88"/>
    <s v="Spotify"/>
    <n v="6100"/>
    <n v="9000"/>
    <n v="2900"/>
  </r>
  <r>
    <x v="88"/>
    <s v="PrimeVideo"/>
    <n v="2500"/>
    <n v="8000"/>
    <n v="5500"/>
  </r>
  <r>
    <x v="89"/>
    <s v="Netflix"/>
    <n v="6800"/>
    <n v="10000"/>
    <n v="3200"/>
  </r>
  <r>
    <x v="90"/>
    <s v="Netflix"/>
    <n v="13600"/>
    <n v="22000"/>
    <n v="8400"/>
  </r>
  <r>
    <x v="91"/>
    <s v="Netflix"/>
    <n v="6800"/>
    <n v="10000"/>
    <n v="3200"/>
  </r>
  <r>
    <x v="88"/>
    <s v="Netflix"/>
    <n v="13600"/>
    <n v="22000"/>
    <n v="8400"/>
  </r>
  <r>
    <x v="91"/>
    <s v="Netflix"/>
    <n v="6800"/>
    <n v="11000"/>
    <n v="4200"/>
  </r>
  <r>
    <x v="92"/>
    <s v="Netflix"/>
    <n v="6800"/>
    <n v="11000"/>
    <n v="4200"/>
  </r>
  <r>
    <x v="92"/>
    <s v="DisneyP"/>
    <n v="5490"/>
    <n v="8000"/>
    <n v="2510"/>
  </r>
  <r>
    <x v="92"/>
    <s v="PrimeVideo"/>
    <n v="2500"/>
    <n v="5000"/>
    <n v="2500"/>
  </r>
  <r>
    <x v="92"/>
    <s v="HBO"/>
    <n v="1900"/>
    <n v="5000"/>
    <n v="3100"/>
  </r>
  <r>
    <x v="92"/>
    <s v="Netflix"/>
    <n v="6800"/>
    <n v="12000"/>
    <n v="5200"/>
  </r>
  <r>
    <x v="92"/>
    <s v="Spotify"/>
    <n v="6100"/>
    <n v="9000"/>
    <n v="2900"/>
  </r>
  <r>
    <x v="92"/>
    <s v="DisneyP"/>
    <n v="6000"/>
    <n v="10000"/>
    <n v="4000"/>
  </r>
  <r>
    <x v="92"/>
    <s v="PrimeVideo"/>
    <n v="2500"/>
    <n v="8000"/>
    <n v="5500"/>
  </r>
  <r>
    <x v="92"/>
    <s v="Netflix"/>
    <n v="6800"/>
    <n v="11000"/>
    <n v="4200"/>
  </r>
  <r>
    <x v="92"/>
    <s v="HBO"/>
    <n v="1900"/>
    <n v="5000"/>
    <n v="3100"/>
  </r>
  <r>
    <x v="92"/>
    <s v="Netflix"/>
    <n v="6800"/>
    <n v="12000"/>
    <n v="5200"/>
  </r>
  <r>
    <x v="92"/>
    <s v="DisneyP"/>
    <n v="6000"/>
    <n v="10000"/>
    <n v="4000"/>
  </r>
  <r>
    <x v="92"/>
    <s v="Netflix"/>
    <n v="6800"/>
    <n v="12000"/>
    <n v="5200"/>
  </r>
  <r>
    <x v="93"/>
    <s v="ChatGPT"/>
    <n v="9500"/>
    <n v="20000"/>
    <n v="10500"/>
  </r>
  <r>
    <x v="93"/>
    <s v="Spotify"/>
    <n v="6100"/>
    <n v="6500"/>
    <n v="400"/>
  </r>
  <r>
    <x v="93"/>
    <s v="Spotify"/>
    <n v="6100"/>
    <n v="6500"/>
    <n v="400"/>
  </r>
  <r>
    <x v="93"/>
    <s v="ChatGPT"/>
    <n v="9500"/>
    <n v="20000"/>
    <n v="10500"/>
  </r>
  <r>
    <x v="94"/>
    <s v="HBO"/>
    <n v="1900"/>
    <n v="8000"/>
    <n v="6100"/>
  </r>
  <r>
    <x v="94"/>
    <s v="Spotify"/>
    <n v="6100"/>
    <n v="9000"/>
    <n v="2900"/>
  </r>
  <r>
    <x v="95"/>
    <s v="ChatGPT"/>
    <n v="9500"/>
    <n v="20000"/>
    <n v="10500"/>
  </r>
  <r>
    <x v="95"/>
    <s v="Netflix"/>
    <n v="6800"/>
    <n v="12000"/>
    <n v="5200"/>
  </r>
  <r>
    <x v="95"/>
    <s v="Netflix"/>
    <n v="6800"/>
    <n v="12000"/>
    <n v="5200"/>
  </r>
  <r>
    <x v="96"/>
    <s v="Crunchyroll"/>
    <n v="2000"/>
    <n v="6000"/>
    <n v="4000"/>
  </r>
  <r>
    <x v="97"/>
    <s v="Netflix"/>
    <n v="6800"/>
    <n v="11000"/>
    <n v="4200"/>
  </r>
  <r>
    <x v="97"/>
    <s v="DisneyP"/>
    <n v="5500"/>
    <n v="8000"/>
    <n v="2500"/>
  </r>
  <r>
    <x v="97"/>
    <s v="Netflix"/>
    <n v="6800"/>
    <n v="12000"/>
    <n v="5200"/>
  </r>
  <r>
    <x v="97"/>
    <s v="DisneyP"/>
    <n v="5500"/>
    <n v="10000"/>
    <n v="4500"/>
  </r>
  <r>
    <x v="97"/>
    <s v="Spotify"/>
    <n v="6100"/>
    <n v="9000"/>
    <n v="2900"/>
  </r>
  <r>
    <x v="97"/>
    <s v="DisneyP"/>
    <n v="6000"/>
    <n v="10000"/>
    <n v="4000"/>
  </r>
  <r>
    <x v="97"/>
    <s v="HBO"/>
    <n v="2000"/>
    <n v="5000"/>
    <n v="3000"/>
  </r>
  <r>
    <x v="97"/>
    <s v="DisneyP"/>
    <n v="6000"/>
    <n v="8000"/>
    <n v="2000"/>
  </r>
  <r>
    <x v="97"/>
    <s v="Netflix"/>
    <n v="6800"/>
    <n v="11000"/>
    <n v="4200"/>
  </r>
  <r>
    <x v="97"/>
    <s v="PrimeVideo"/>
    <n v="2500"/>
    <n v="5000"/>
    <n v="2500"/>
  </r>
  <r>
    <x v="97"/>
    <s v="Netflix"/>
    <n v="6800"/>
    <n v="12000"/>
    <n v="5200"/>
  </r>
  <r>
    <x v="98"/>
    <s v="Spotify"/>
    <n v="6100"/>
    <n v="9000"/>
    <n v="2900"/>
  </r>
  <r>
    <x v="98"/>
    <s v="PrimeVideo"/>
    <n v="2500"/>
    <n v="8000"/>
    <n v="5500"/>
  </r>
  <r>
    <x v="98"/>
    <s v="Crunchyroll"/>
    <n v="2000"/>
    <n v="6000"/>
    <n v="4000"/>
  </r>
  <r>
    <x v="99"/>
    <s v="Netflix"/>
    <n v="6800"/>
    <n v="12000"/>
    <n v="520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">
  <r>
    <d v="2024-07-20T00:00:00"/>
    <x v="0"/>
    <x v="0"/>
    <n v="10710"/>
  </r>
  <r>
    <d v="2024-07-20T00:00:00"/>
    <x v="0"/>
    <x v="0"/>
    <n v="10710"/>
  </r>
  <r>
    <d v="2024-07-21T00:00:00"/>
    <x v="0"/>
    <x v="0"/>
    <n v="10710"/>
  </r>
  <r>
    <d v="2024-07-22T00:00:00"/>
    <x v="0"/>
    <x v="0"/>
    <n v="32130"/>
  </r>
  <r>
    <d v="2024-07-23T00:00:00"/>
    <x v="0"/>
    <x v="0"/>
    <n v="24740"/>
  </r>
  <r>
    <d v="2024-07-23T00:00:00"/>
    <x v="0"/>
    <x v="1"/>
    <n v="26400"/>
  </r>
  <r>
    <d v="2024-07-23T00:00:00"/>
    <x v="0"/>
    <x v="2"/>
    <n v="11900"/>
  </r>
  <r>
    <d v="2024-07-24T00:00:00"/>
    <x v="0"/>
    <x v="0"/>
    <n v="14255"/>
  </r>
  <r>
    <d v="2024-07-24T00:00:00"/>
    <x v="0"/>
    <x v="3"/>
    <m/>
  </r>
  <r>
    <d v="2024-07-25T00:00:00"/>
    <x v="0"/>
    <x v="1"/>
    <n v="26400"/>
  </r>
  <r>
    <d v="2024-07-25T00:00:00"/>
    <x v="0"/>
    <x v="0"/>
    <n v="15681"/>
  </r>
  <r>
    <d v="2024-07-26T00:00:00"/>
    <x v="0"/>
    <x v="4"/>
    <n v="15000"/>
  </r>
  <r>
    <d v="2024-07-27T00:00:00"/>
    <x v="0"/>
    <x v="4"/>
    <n v="13500"/>
  </r>
  <r>
    <d v="2024-07-29T00:00:00"/>
    <x v="0"/>
    <x v="1"/>
    <n v="26400"/>
  </r>
  <r>
    <d v="2024-08-02T00:00:00"/>
    <x v="1"/>
    <x v="5"/>
    <n v="13000"/>
  </r>
  <r>
    <d v="2024-08-02T00:00:00"/>
    <x v="1"/>
    <x v="6"/>
    <n v="15000"/>
  </r>
  <r>
    <d v="2024-08-03T00:00:00"/>
    <x v="1"/>
    <x v="7"/>
    <n v="5500"/>
  </r>
  <r>
    <d v="2024-08-04T00:00:00"/>
    <x v="1"/>
    <x v="8"/>
    <n v="40200"/>
  </r>
  <r>
    <d v="2024-08-04T00:00:00"/>
    <x v="1"/>
    <x v="9"/>
    <n v="25000"/>
  </r>
  <r>
    <d v="2024-08-04T00:00:00"/>
    <x v="1"/>
    <x v="10"/>
    <n v="14000"/>
  </r>
  <r>
    <d v="2024-08-08T00:00:00"/>
    <x v="1"/>
    <x v="11"/>
    <n v="18000"/>
  </r>
  <r>
    <d v="2024-08-08T00:00:00"/>
    <x v="1"/>
    <x v="12"/>
    <n v="16000"/>
  </r>
  <r>
    <d v="2024-08-09T00:00:00"/>
    <x v="1"/>
    <x v="0"/>
    <n v="24643"/>
  </r>
  <r>
    <d v="2024-08-17T00:00:00"/>
    <x v="1"/>
    <x v="1"/>
    <n v="26400"/>
  </r>
  <r>
    <d v="2024-08-17T00:00:00"/>
    <x v="1"/>
    <x v="13"/>
    <n v="0"/>
  </r>
  <r>
    <d v="2024-08-23T00:00:00"/>
    <x v="1"/>
    <x v="1"/>
    <n v="26400"/>
  </r>
  <r>
    <d v="2024-09-04T00:00:00"/>
    <x v="2"/>
    <x v="14"/>
    <n v="71211"/>
  </r>
  <r>
    <d v="2024-10-23T00:00:00"/>
    <x v="3"/>
    <x v="1"/>
    <n v="26400"/>
  </r>
  <r>
    <d v="2024-11-27T00:00:00"/>
    <x v="4"/>
    <x v="0"/>
    <n v="30185"/>
  </r>
  <r>
    <d v="2024-12-21T00:00:00"/>
    <x v="5"/>
    <x v="15"/>
    <m/>
  </r>
  <r>
    <d v="2025-01-02T00:00:00"/>
    <x v="6"/>
    <x v="16"/>
    <n v="25794"/>
  </r>
  <r>
    <d v="2025-01-16T00:00:00"/>
    <x v="6"/>
    <x v="17"/>
    <n v="108958"/>
  </r>
  <r>
    <d v="2025-03-10T00:00:00"/>
    <x v="7"/>
    <x v="18"/>
    <n v="33558"/>
  </r>
  <r>
    <m/>
    <x v="6"/>
    <x v="15"/>
    <m/>
  </r>
  <r>
    <m/>
    <x v="6"/>
    <x v="15"/>
    <m/>
  </r>
  <r>
    <m/>
    <x v="6"/>
    <x v="15"/>
    <m/>
  </r>
  <r>
    <m/>
    <x v="6"/>
    <x v="15"/>
    <m/>
  </r>
  <r>
    <m/>
    <x v="6"/>
    <x v="15"/>
    <m/>
  </r>
  <r>
    <m/>
    <x v="6"/>
    <x v="15"/>
    <n v="68530"/>
  </r>
  <r>
    <m/>
    <x v="6"/>
    <x v="15"/>
    <m/>
  </r>
  <r>
    <m/>
    <x v="6"/>
    <x v="15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E10D2B-5980-49D2-B73A-B5DE27CBAD8C}" name="Ventas 2" cacheId="1333" applyNumberFormats="0" applyBorderFormats="0" applyFontFormats="0" applyPatternFormats="0" applyAlignmentFormats="0" applyWidthHeightFormats="0" dataCaption="" updatedVersion="8" compact="0" compactData="0">
  <location ref="J1:K102" firstHeaderRow="1" firstDataRow="1" firstDataCol="1"/>
  <pivotFields count="5">
    <pivotField name="FECHA" axis="axisRow" compact="0" numFmtId="14" outline="0" multipleItemSelectionAllowed="1" showAll="0" sortType="ascending">
      <items count="101">
        <item x="1"/>
        <item x="19"/>
        <item x="66"/>
        <item x="2"/>
        <item x="0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0"/>
        <item x="21"/>
        <item x="22"/>
        <item x="23"/>
        <item x="24"/>
        <item x="25"/>
        <item x="26"/>
        <item x="28"/>
        <item x="27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t="default"/>
      </items>
    </pivotField>
    <pivotField name="DETALLE" compact="0" outline="0" multipleItemSelectionAllowed="1" showAll="0"/>
    <pivotField compact="0" outline="0" showAll="0" includeNewItemsInFilter="1"/>
    <pivotField dataField="1" compact="0" outline="0" showAll="0" includeNewItemsInFilter="1"/>
    <pivotField compact="0" numFmtId="166" outline="0" showAll="0" includeNewItemsInFilter="1"/>
  </pivotFields>
  <rowFields count="1">
    <field x="0"/>
  </rowFields>
  <rowItems count="10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 t="grand">
      <x/>
    </i>
  </rowItems>
  <colItems count="1">
    <i/>
  </colItems>
  <dataFields count="1">
    <dataField name="Suma de VENTA" fld="3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BDC613-FDB5-4874-A295-BE2A6217701D}" name="Ventas" cacheId="1329" applyNumberFormats="0" applyBorderFormats="0" applyFontFormats="0" applyPatternFormats="0" applyAlignmentFormats="0" applyWidthHeightFormats="0" dataCaption="" updatedVersion="8" compact="0" compactData="0">
  <location ref="G1:H175" firstHeaderRow="1" firstDataRow="1" firstDataCol="1"/>
  <pivotFields count="5">
    <pivotField name="FECHA" axis="axisRow" compact="0" numFmtId="14" outline="0" multipleItemSelectionAllowed="1" showAll="0">
      <items count="174">
        <item x="1"/>
        <item x="66"/>
        <item x="172"/>
        <item x="0"/>
        <item x="2"/>
        <item x="3"/>
        <item x="5"/>
        <item x="4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4"/>
        <item x="103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7"/>
        <item x="136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t="default"/>
      </items>
    </pivotField>
    <pivotField name="DETALLE" compact="0" outline="0" multipleItemSelectionAllowed="1" showAll="0"/>
    <pivotField compact="0" outline="0" showAll="0" includeNewItemsInFilter="1"/>
    <pivotField compact="0" outline="0" showAll="0" includeNewItemsInFilter="1"/>
    <pivotField dataField="1" compact="0" numFmtId="166" outline="0" showAll="0" includeNewItemsInFilter="1"/>
  </pivotFields>
  <rowFields count="1">
    <field x="0"/>
  </rowFields>
  <rowItems count="17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 t="grand">
      <x/>
    </i>
  </rowItems>
  <colItems count="1">
    <i/>
  </colItems>
  <dataFields count="1">
    <dataField name="Suma de GANANCIA" fld="4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2000000}" name="Gastos" cacheId="1338" applyNumberFormats="0" applyBorderFormats="0" applyFontFormats="0" applyPatternFormats="0" applyAlignmentFormats="0" applyWidthHeightFormats="0" dataCaption="" updatedVersion="8" compact="0" compactData="0">
  <location ref="F1:H34" firstHeaderRow="1" firstDataRow="1" firstDataCol="2"/>
  <pivotFields count="4">
    <pivotField name="FECHA" compact="0" numFmtId="14" outline="0" multipleItemSelectionAllowed="1" showAll="0"/>
    <pivotField name="MES" axis="axisRow" compact="0" numFmtId="170" outline="0" multipleItemSelectionAllowed="1" showAll="0" sortType="ascending">
      <items count="10">
        <item x="6"/>
        <item x="7"/>
        <item x="0"/>
        <item x="1"/>
        <item x="2"/>
        <item x="3"/>
        <item x="4"/>
        <item x="5"/>
        <item m="1" x="8"/>
        <item t="default"/>
      </items>
    </pivotField>
    <pivotField name="DETALLE" axis="axisRow" compact="0" outline="0" multipleItemSelectionAllowed="1" showAll="0" sortType="ascending">
      <items count="20">
        <item x="9"/>
        <item x="4"/>
        <item x="16"/>
        <item x="3"/>
        <item x="2"/>
        <item x="10"/>
        <item x="8"/>
        <item x="17"/>
        <item x="14"/>
        <item x="11"/>
        <item x="7"/>
        <item x="6"/>
        <item x="5"/>
        <item x="18"/>
        <item x="13"/>
        <item x="0"/>
        <item x="1"/>
        <item x="12"/>
        <item x="15"/>
        <item t="default"/>
      </items>
    </pivotField>
    <pivotField dataField="1" compact="0" outline="0" showAll="0" includeNewItemsInFilter="1"/>
  </pivotFields>
  <rowFields count="2">
    <field x="1"/>
    <field x="2"/>
  </rowFields>
  <rowItems count="33">
    <i>
      <x/>
      <x v="2"/>
    </i>
    <i r="1">
      <x v="7"/>
    </i>
    <i r="1">
      <x v="18"/>
    </i>
    <i t="default">
      <x/>
    </i>
    <i>
      <x v="1"/>
      <x v="13"/>
    </i>
    <i t="default">
      <x v="1"/>
    </i>
    <i>
      <x v="2"/>
      <x v="1"/>
    </i>
    <i r="1">
      <x v="3"/>
    </i>
    <i r="1">
      <x v="4"/>
    </i>
    <i r="1">
      <x v="15"/>
    </i>
    <i r="1">
      <x v="16"/>
    </i>
    <i t="default">
      <x v="2"/>
    </i>
    <i>
      <x v="3"/>
      <x/>
    </i>
    <i r="1">
      <x v="5"/>
    </i>
    <i r="1">
      <x v="6"/>
    </i>
    <i r="1">
      <x v="9"/>
    </i>
    <i r="1">
      <x v="10"/>
    </i>
    <i r="1">
      <x v="11"/>
    </i>
    <i r="1">
      <x v="12"/>
    </i>
    <i r="1">
      <x v="14"/>
    </i>
    <i r="1">
      <x v="15"/>
    </i>
    <i r="1">
      <x v="16"/>
    </i>
    <i r="1">
      <x v="17"/>
    </i>
    <i t="default">
      <x v="3"/>
    </i>
    <i>
      <x v="4"/>
      <x v="8"/>
    </i>
    <i t="default">
      <x v="4"/>
    </i>
    <i>
      <x v="5"/>
      <x v="16"/>
    </i>
    <i t="default">
      <x v="5"/>
    </i>
    <i>
      <x v="6"/>
      <x v="15"/>
    </i>
    <i t="default">
      <x v="6"/>
    </i>
    <i>
      <x v="7"/>
      <x v="18"/>
    </i>
    <i t="default">
      <x v="7"/>
    </i>
    <i t="grand">
      <x/>
    </i>
  </rowItems>
  <colItems count="1">
    <i/>
  </colItems>
  <dataFields count="1">
    <dataField name="Suma de VALOR" fld="3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A1:K608">
  <autoFilter ref="A1:K608" xr:uid="{00000000-000C-0000-FFFF-FFFF00000000}"/>
  <sortState xmlns:xlrd2="http://schemas.microsoft.com/office/spreadsheetml/2017/richdata2" ref="A2:K608">
    <sortCondition ref="K2:K608"/>
  </sortState>
  <tableColumns count="11">
    <tableColumn id="1" xr3:uid="{00000000-0010-0000-0000-000001000000}" name="Cliente"/>
    <tableColumn id="2" xr3:uid="{00000000-0010-0000-0000-000002000000}" name="Numero celular "/>
    <tableColumn id="3" xr3:uid="{00000000-0010-0000-0000-000003000000}" name="Plataforma"/>
    <tableColumn id="4" xr3:uid="{00000000-0010-0000-0000-000004000000}" name="Tipo"/>
    <tableColumn id="5" xr3:uid="{00000000-0010-0000-0000-000005000000}" name="Correo"/>
    <tableColumn id="6" xr3:uid="{00000000-0010-0000-0000-000006000000}" name="1"/>
    <tableColumn id="7" xr3:uid="{00000000-0010-0000-0000-000007000000}" name="Clave"/>
    <tableColumn id="8" xr3:uid="{00000000-0010-0000-0000-000008000000}" name="Precio">
      <calculatedColumnFormula>VLOOKUP(M2,'Listado Precios'!$A:$C,3,0)</calculatedColumnFormula>
    </tableColumn>
    <tableColumn id="9" xr3:uid="{00000000-0010-0000-0000-000009000000}" name="Costo">
      <calculatedColumnFormula>VLOOKUP(M2,'Listado Precios'!$A:$C,2,0)</calculatedColumnFormula>
    </tableColumn>
    <tableColumn id="10" xr3:uid="{00000000-0010-0000-0000-00000A000000}" name="Fecha Inicio" dataDxfId="0"/>
    <tableColumn id="11" xr3:uid="{00000000-0010-0000-0000-00000B000000}" name="Proxima Fecha"/>
  </tableColumns>
  <tableStyleInfo name="Registro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man.ekli.n7@gmail.com" TargetMode="External"/><Relationship Id="rId1" Type="http://schemas.openxmlformats.org/officeDocument/2006/relationships/hyperlink" Target="mailto:sdne.t.f.l.i.x.p.anel2.026@gmail.com" TargetMode="External"/><Relationship Id="rId6" Type="http://schemas.microsoft.com/office/2019/04/relationships/namedSheetView" Target="../namedSheetViews/namedSheetView1.xm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mailto:netflixmaxpro181@gmail.com" TargetMode="External"/><Relationship Id="rId13" Type="http://schemas.openxmlformats.org/officeDocument/2006/relationships/hyperlink" Target="mailto:sdne.t.f.li.x.p.ane.l2.02.6@gmail.com" TargetMode="External"/><Relationship Id="rId3" Type="http://schemas.openxmlformats.org/officeDocument/2006/relationships/hyperlink" Target="mailto:william@capygod.com" TargetMode="External"/><Relationship Id="rId7" Type="http://schemas.openxmlformats.org/officeDocument/2006/relationships/hyperlink" Target="mailto:ipccx@janstore.xyz" TargetMode="External"/><Relationship Id="rId12" Type="http://schemas.openxmlformats.org/officeDocument/2006/relationships/hyperlink" Target="mailto:Litre@capygod.com" TargetMode="External"/><Relationship Id="rId17" Type="http://schemas.openxmlformats.org/officeDocument/2006/relationships/hyperlink" Target="mailto:sdne.t.f.l.i.x.p.anel2.02.6@gmail.com" TargetMode="External"/><Relationship Id="rId2" Type="http://schemas.openxmlformats.org/officeDocument/2006/relationships/hyperlink" Target="mailto:athens@capygod.com" TargetMode="External"/><Relationship Id="rId16" Type="http://schemas.openxmlformats.org/officeDocument/2006/relationships/hyperlink" Target="mailto:netflixmaxpro4@gmail.com" TargetMode="External"/><Relationship Id="rId1" Type="http://schemas.openxmlformats.org/officeDocument/2006/relationships/hyperlink" Target="mailto:naylag0144@vikingoplus.com" TargetMode="External"/><Relationship Id="rId6" Type="http://schemas.openxmlformats.org/officeDocument/2006/relationships/hyperlink" Target="mailto:jacquelinemontserrat@vikicol.com" TargetMode="External"/><Relationship Id="rId11" Type="http://schemas.openxmlformats.org/officeDocument/2006/relationships/hyperlink" Target="mailto:murallas2222+4C226@gmail.com" TargetMode="External"/><Relationship Id="rId5" Type="http://schemas.openxmlformats.org/officeDocument/2006/relationships/hyperlink" Target="mailto:NETFLIXPRO5739@digilpro.com" TargetMode="External"/><Relationship Id="rId15" Type="http://schemas.openxmlformats.org/officeDocument/2006/relationships/hyperlink" Target="mailto:sdne.t.f.l.i.x.p.anel.202.6@gmail.com" TargetMode="External"/><Relationship Id="rId10" Type="http://schemas.openxmlformats.org/officeDocument/2006/relationships/hyperlink" Target="mailto:netflixmaxpro33@gmail.com" TargetMode="External"/><Relationship Id="rId4" Type="http://schemas.openxmlformats.org/officeDocument/2006/relationships/hyperlink" Target="mailto:Alma@capygod.com" TargetMode="External"/><Relationship Id="rId9" Type="http://schemas.openxmlformats.org/officeDocument/2006/relationships/hyperlink" Target="mailto:Andes@capygod.com" TargetMode="External"/><Relationship Id="rId14" Type="http://schemas.openxmlformats.org/officeDocument/2006/relationships/hyperlink" Target="mailto:sdne.t.f.l.i.x.p.anel2.026@gmail.com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mailto:JuliaMoore214386@hotmail.com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Capyscb+ciu30@gmail.com" TargetMode="External"/><Relationship Id="rId2" Type="http://schemas.openxmlformats.org/officeDocument/2006/relationships/hyperlink" Target="mailto:capyscb+ciu13@capydisney.com" TargetMode="External"/><Relationship Id="rId1" Type="http://schemas.openxmlformats.org/officeDocument/2006/relationships/hyperlink" Target="mailto:capyscb+chi020@gmail.com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hyperlink" Target="mailto:vikingostream+vpb49@gmail.com" TargetMode="External"/><Relationship Id="rId1" Type="http://schemas.openxmlformats.org/officeDocument/2006/relationships/hyperlink" Target="mailto:osvaldomendez09@vikingostr.com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hyperlink" Target="mailto:streamcell667@gmail.com" TargetMode="External"/><Relationship Id="rId2" Type="http://schemas.openxmlformats.org/officeDocument/2006/relationships/hyperlink" Target="mailto:emilcea@hotmail.com" TargetMode="External"/><Relationship Id="rId1" Type="http://schemas.openxmlformats.org/officeDocument/2006/relationships/hyperlink" Target="mailto:andresnitolamoreno@gmail.com" TargetMode="External"/><Relationship Id="rId4" Type="http://schemas.openxmlformats.org/officeDocument/2006/relationships/hyperlink" Target="mailto:streamcell00@gmail.com" TargetMode="Externa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hyperlink" Target="mailto:william@capygod.com" TargetMode="External"/><Relationship Id="rId1" Type="http://schemas.openxmlformats.org/officeDocument/2006/relationships/hyperlink" Target="mailto:jacquelinemontserrat@vikicol.com" TargetMode="Externa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hyperlink" Target="mailto:lG178U@;%5eO&amp;9__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theme="4"/>
    <outlinePr summaryBelow="0" summaryRight="0"/>
  </sheetPr>
  <dimension ref="A1:Z1620"/>
  <sheetViews>
    <sheetView zoomScaleNormal="100" workbookViewId="0">
      <pane ySplit="1" topLeftCell="A2" activePane="bottomLeft" state="frozen"/>
      <selection pane="bottomLeft" activeCell="E16" sqref="E16"/>
      <selection activeCell="F1" sqref="F1"/>
    </sheetView>
  </sheetViews>
  <sheetFormatPr defaultColWidth="12.28515625" defaultRowHeight="15" customHeight="1"/>
  <cols>
    <col min="1" max="1" width="20.28515625" customWidth="1"/>
    <col min="2" max="2" width="17.7109375" customWidth="1"/>
    <col min="3" max="3" width="13" customWidth="1"/>
    <col min="4" max="4" width="15" customWidth="1"/>
    <col min="5" max="5" width="33.7109375" customWidth="1"/>
    <col min="6" max="6" width="16.28515625" customWidth="1"/>
    <col min="7" max="7" width="5.7109375" customWidth="1"/>
    <col min="8" max="8" width="9" customWidth="1"/>
    <col min="9" max="9" width="9.28515625" customWidth="1"/>
    <col min="10" max="10" width="12.28515625" customWidth="1"/>
    <col min="11" max="11" width="11.42578125" customWidth="1"/>
    <col min="13" max="13" width="12.28515625" customWidth="1"/>
  </cols>
  <sheetData>
    <row r="1" spans="1:26" ht="27.75" customHeight="1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3" t="s">
        <v>6</v>
      </c>
      <c r="H1" s="4" t="s">
        <v>7</v>
      </c>
      <c r="I1" s="4" t="s">
        <v>8</v>
      </c>
      <c r="J1" s="2" t="s">
        <v>9</v>
      </c>
      <c r="K1" s="5" t="s">
        <v>10</v>
      </c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ht="14.25" customHeight="1">
      <c r="A2" s="7" t="s">
        <v>11</v>
      </c>
      <c r="B2" s="17" t="s">
        <v>12</v>
      </c>
      <c r="C2" s="8" t="s">
        <v>13</v>
      </c>
      <c r="D2" s="8" t="s">
        <v>14</v>
      </c>
      <c r="E2" s="17"/>
      <c r="F2" s="8"/>
      <c r="G2" s="18"/>
      <c r="H2" s="13">
        <f>VLOOKUP(M2,'Listado Precios'!$A:$C,3,0)</f>
        <v>8000</v>
      </c>
      <c r="I2" s="13">
        <f>VLOOKUP(M2,'Listado Precios'!$A:$C,2,0)</f>
        <v>5000</v>
      </c>
      <c r="J2" s="109">
        <v>45807</v>
      </c>
      <c r="K2" s="52">
        <v>46231</v>
      </c>
      <c r="M2" s="16" t="str">
        <f>CONCATENATE(Registro!$C2,Registro!$D2)</f>
        <v>PrimeVideo1 pantalla</v>
      </c>
    </row>
    <row r="3" spans="1:26" ht="14.25" customHeight="1">
      <c r="A3" s="19" t="s">
        <v>15</v>
      </c>
      <c r="B3" s="17" t="s">
        <v>16</v>
      </c>
      <c r="C3" s="8" t="s">
        <v>13</v>
      </c>
      <c r="D3" s="8" t="s">
        <v>14</v>
      </c>
      <c r="E3" s="17"/>
      <c r="F3" s="8"/>
      <c r="G3" s="18"/>
      <c r="H3" s="13">
        <f>VLOOKUP(M3,'Listado Precios'!$A:$C,3,0)</f>
        <v>8000</v>
      </c>
      <c r="I3" s="13">
        <f>VLOOKUP(M3,'Listado Precios'!$A:$C,2,0)</f>
        <v>5000</v>
      </c>
      <c r="J3" s="109">
        <v>46051</v>
      </c>
      <c r="K3" s="15">
        <v>46231</v>
      </c>
      <c r="M3" s="16" t="str">
        <f>CONCATENATE(Registro!$C3,Registro!$D3)</f>
        <v>PrimeVideo1 pantalla</v>
      </c>
    </row>
    <row r="4" spans="1:26" ht="14.25" customHeight="1">
      <c r="A4" s="19" t="s">
        <v>15</v>
      </c>
      <c r="B4" s="17" t="s">
        <v>16</v>
      </c>
      <c r="C4" s="8" t="s">
        <v>17</v>
      </c>
      <c r="D4" s="8"/>
      <c r="E4" s="17"/>
      <c r="F4" s="8" t="s">
        <v>18</v>
      </c>
      <c r="G4" s="18"/>
      <c r="H4" s="13">
        <f>VLOOKUP(M4,'Listado Precios'!$A:$C,3,0)</f>
        <v>8000</v>
      </c>
      <c r="I4" s="13">
        <f>VLOOKUP(M4,'Listado Precios'!$A:$C,2,0)</f>
        <v>5280</v>
      </c>
      <c r="J4" s="109">
        <v>46051</v>
      </c>
      <c r="K4" s="15">
        <v>46231</v>
      </c>
      <c r="M4" s="16" t="str">
        <f>CONCATENATE(Registro!$C4,Registro!$D4)</f>
        <v>Spotify</v>
      </c>
    </row>
    <row r="5" spans="1:26" ht="14.25" customHeight="1">
      <c r="A5" s="7" t="s">
        <v>11</v>
      </c>
      <c r="B5" s="17" t="s">
        <v>12</v>
      </c>
      <c r="C5" s="9" t="s">
        <v>19</v>
      </c>
      <c r="D5" s="10"/>
      <c r="E5" s="11"/>
      <c r="F5" s="8"/>
      <c r="G5" s="12"/>
      <c r="H5" s="13">
        <f>VLOOKUP(M5,'Listado Precios'!$A:$C,3,0)</f>
        <v>25000</v>
      </c>
      <c r="I5" s="13">
        <f>VLOOKUP(M5,'Listado Precios'!$A:$C,2,0)</f>
        <v>13000</v>
      </c>
      <c r="J5" s="14">
        <v>46172</v>
      </c>
      <c r="K5" s="15">
        <v>46232</v>
      </c>
      <c r="M5" s="16" t="str">
        <f>CONCATENATE(Registro!$C5,Registro!$D5)</f>
        <v>ChatGPT</v>
      </c>
    </row>
    <row r="6" spans="1:26" ht="14.25" customHeight="1">
      <c r="A6" s="7" t="s">
        <v>20</v>
      </c>
      <c r="B6" s="8" t="s">
        <v>21</v>
      </c>
      <c r="C6" s="8" t="s">
        <v>22</v>
      </c>
      <c r="D6" s="9" t="s">
        <v>14</v>
      </c>
      <c r="E6" s="20"/>
      <c r="F6" s="8"/>
      <c r="G6" s="12" t="s">
        <v>23</v>
      </c>
      <c r="H6" s="13">
        <f>VLOOKUP(M6,'Listado Precios'!$A:$C,3,0)</f>
        <v>13000</v>
      </c>
      <c r="I6" s="13">
        <f>VLOOKUP(M6,'Listado Precios'!$A:$C,2,0)</f>
        <v>7600</v>
      </c>
      <c r="J6" s="109">
        <v>46062</v>
      </c>
      <c r="K6" s="15">
        <v>46233</v>
      </c>
      <c r="M6" s="16" t="str">
        <f>CONCATENATE(Registro!$C6,Registro!$D6)</f>
        <v>Netflix1 pantalla</v>
      </c>
    </row>
    <row r="7" spans="1:26" ht="14.25" customHeight="1">
      <c r="A7" s="19" t="s">
        <v>24</v>
      </c>
      <c r="B7" s="17"/>
      <c r="C7" s="8" t="s">
        <v>25</v>
      </c>
      <c r="D7" s="8" t="s">
        <v>14</v>
      </c>
      <c r="E7" s="17"/>
      <c r="F7" s="8"/>
      <c r="G7" s="18"/>
      <c r="H7" s="13">
        <f>VLOOKUP(M7,'Listado Precios'!$A:$C,3,0)</f>
        <v>8000</v>
      </c>
      <c r="I7" s="13">
        <f>VLOOKUP(M7,'Listado Precios'!$A:$C,2,0)</f>
        <v>5000</v>
      </c>
      <c r="J7" s="109">
        <v>46032</v>
      </c>
      <c r="K7" s="15">
        <v>46233</v>
      </c>
      <c r="M7" s="16" t="str">
        <f>CONCATENATE(Registro!$C7,Registro!$D7)</f>
        <v>HBO1 pantalla</v>
      </c>
    </row>
    <row r="8" spans="1:26" ht="14.25" customHeight="1">
      <c r="A8" s="19" t="s">
        <v>26</v>
      </c>
      <c r="B8" s="17" t="s">
        <v>27</v>
      </c>
      <c r="C8" s="8" t="s">
        <v>22</v>
      </c>
      <c r="D8" s="8" t="s">
        <v>14</v>
      </c>
      <c r="E8" s="17"/>
      <c r="F8" s="8"/>
      <c r="G8" s="18"/>
      <c r="H8" s="13">
        <f>VLOOKUP(M8,'Listado Precios'!$A:$C,3,0)</f>
        <v>13000</v>
      </c>
      <c r="I8" s="13">
        <f>VLOOKUP(M8,'Listado Precios'!$A:$C,2,0)</f>
        <v>7600</v>
      </c>
      <c r="J8" s="109">
        <v>46139</v>
      </c>
      <c r="K8" s="15">
        <v>46233</v>
      </c>
      <c r="M8" s="16" t="str">
        <f>CONCATENATE(Registro!$C8,Registro!$D8)</f>
        <v>Netflix1 pantalla</v>
      </c>
    </row>
    <row r="9" spans="1:26" ht="14.25" customHeight="1">
      <c r="A9" s="7" t="s">
        <v>28</v>
      </c>
      <c r="B9" s="8" t="s">
        <v>29</v>
      </c>
      <c r="C9" s="9" t="s">
        <v>25</v>
      </c>
      <c r="D9" s="8" t="s">
        <v>14</v>
      </c>
      <c r="E9" s="17"/>
      <c r="F9" s="8"/>
      <c r="G9" s="18"/>
      <c r="H9" s="13">
        <f>VLOOKUP(M9,'Listado Precios'!$A:$C,3,0)</f>
        <v>8000</v>
      </c>
      <c r="I9" s="13">
        <f>VLOOKUP(M9,'Listado Precios'!$A:$C,2,0)</f>
        <v>5000</v>
      </c>
      <c r="J9" s="109">
        <v>45961</v>
      </c>
      <c r="K9" s="15">
        <v>46233</v>
      </c>
      <c r="M9" s="16" t="str">
        <f>CONCATENATE(Registro!$C9,Registro!$D9)</f>
        <v>HBO1 pantalla</v>
      </c>
    </row>
    <row r="10" spans="1:26" ht="14.25" customHeight="1">
      <c r="A10" s="123" t="s">
        <v>30</v>
      </c>
      <c r="B10" s="8" t="s">
        <v>31</v>
      </c>
      <c r="C10" s="9" t="s">
        <v>22</v>
      </c>
      <c r="D10" s="8" t="s">
        <v>14</v>
      </c>
      <c r="E10" s="17"/>
      <c r="F10" s="8"/>
      <c r="G10" s="18"/>
      <c r="H10" s="13">
        <f>VLOOKUP(M10,'Listado Precios'!$A:$C,3,0)</f>
        <v>13000</v>
      </c>
      <c r="I10" s="13">
        <f>VLOOKUP(M10,'Listado Precios'!$A:$C,2,0)</f>
        <v>7600</v>
      </c>
      <c r="J10" s="109">
        <v>45889</v>
      </c>
      <c r="K10" s="15">
        <v>46233</v>
      </c>
      <c r="L10" s="53"/>
      <c r="M10" s="16" t="str">
        <f>CONCATENATE(Registro!$C10,Registro!$D10)</f>
        <v>Netflix1 pantalla</v>
      </c>
    </row>
    <row r="11" spans="1:26" ht="14.25" customHeight="1">
      <c r="A11" s="166" t="s">
        <v>32</v>
      </c>
      <c r="B11" s="17" t="s">
        <v>33</v>
      </c>
      <c r="C11" s="8" t="s">
        <v>17</v>
      </c>
      <c r="D11" s="8"/>
      <c r="E11" s="17"/>
      <c r="F11" s="8"/>
      <c r="G11" s="18"/>
      <c r="H11" s="13">
        <f>VLOOKUP(M11,'Listado Precios'!$A:$C,3,0)</f>
        <v>8000</v>
      </c>
      <c r="I11" s="13">
        <f>VLOOKUP(M11,'Listado Precios'!$A:$C,2,0)</f>
        <v>5280</v>
      </c>
      <c r="J11" s="109">
        <v>46203</v>
      </c>
      <c r="K11" s="15">
        <v>46233</v>
      </c>
      <c r="M11" s="16" t="str">
        <f>CONCATENATE(Registro!$C11,Registro!$D11)</f>
        <v>Spotify</v>
      </c>
    </row>
    <row r="12" spans="1:26" ht="14.25" customHeight="1">
      <c r="A12" s="7" t="s">
        <v>34</v>
      </c>
      <c r="B12" s="8" t="s">
        <v>35</v>
      </c>
      <c r="C12" s="9" t="s">
        <v>13</v>
      </c>
      <c r="D12" s="8" t="s">
        <v>14</v>
      </c>
      <c r="E12" s="17"/>
      <c r="F12" s="8"/>
      <c r="G12" s="18"/>
      <c r="H12" s="13">
        <f>VLOOKUP(M12,'Listado Precios'!$A:$C,3,0)</f>
        <v>8000</v>
      </c>
      <c r="I12" s="13">
        <f>VLOOKUP(M12,'Listado Precios'!$A:$C,2,0)</f>
        <v>5000</v>
      </c>
      <c r="J12" s="14">
        <v>45457</v>
      </c>
      <c r="K12" s="15">
        <v>46233</v>
      </c>
      <c r="M12" s="16" t="str">
        <f>CONCATENATE(Registro!$C12,Registro!$D12)</f>
        <v>PrimeVideo1 pantalla</v>
      </c>
    </row>
    <row r="13" spans="1:26" ht="14.25" customHeight="1">
      <c r="A13" s="19" t="s">
        <v>36</v>
      </c>
      <c r="B13" s="17" t="s">
        <v>37</v>
      </c>
      <c r="C13" s="8" t="s">
        <v>25</v>
      </c>
      <c r="D13" s="8" t="s">
        <v>38</v>
      </c>
      <c r="E13" s="17"/>
      <c r="F13" s="8"/>
      <c r="G13" s="18"/>
      <c r="H13" s="13" t="e">
        <f>VLOOKUP(M13,'Listado Precios'!$A:$C,3,0)</f>
        <v>#N/A</v>
      </c>
      <c r="I13" s="13" t="e">
        <f>VLOOKUP(M13,'Listado Precios'!$A:$C,2,0)</f>
        <v>#N/A</v>
      </c>
      <c r="J13" s="109">
        <v>46120</v>
      </c>
      <c r="K13" s="15">
        <v>46233</v>
      </c>
      <c r="M13" s="16" t="str">
        <f>CONCATENATE(Registro!$C13,Registro!$D13)</f>
        <v>HBOCompleta</v>
      </c>
    </row>
    <row r="14" spans="1:26" ht="14.25" customHeight="1">
      <c r="A14" s="7" t="s">
        <v>39</v>
      </c>
      <c r="B14" s="8" t="s">
        <v>40</v>
      </c>
      <c r="C14" s="9" t="s">
        <v>22</v>
      </c>
      <c r="D14" s="8" t="s">
        <v>14</v>
      </c>
      <c r="E14" s="17"/>
      <c r="F14" s="8"/>
      <c r="G14" s="18"/>
      <c r="H14" s="13">
        <f>VLOOKUP(M14,'Listado Precios'!$A:$C,3,0)</f>
        <v>13000</v>
      </c>
      <c r="I14" s="13">
        <f>VLOOKUP(M14,'Listado Precios'!$A:$C,2,0)</f>
        <v>7600</v>
      </c>
      <c r="J14" s="109">
        <v>46030</v>
      </c>
      <c r="K14" s="15">
        <v>46234</v>
      </c>
      <c r="M14" s="16" t="str">
        <f>CONCATENATE(Registro!$C14,Registro!$D14)</f>
        <v>Netflix1 pantalla</v>
      </c>
    </row>
    <row r="15" spans="1:26" ht="14.25" customHeight="1">
      <c r="A15" s="7" t="s">
        <v>41</v>
      </c>
      <c r="B15" s="8" t="s">
        <v>42</v>
      </c>
      <c r="C15" s="9" t="s">
        <v>43</v>
      </c>
      <c r="D15" s="8" t="s">
        <v>14</v>
      </c>
      <c r="E15" s="17"/>
      <c r="F15" s="8"/>
      <c r="G15" s="18"/>
      <c r="H15" s="13">
        <f>VLOOKUP(M15,'Listado Precios'!$A:$C,3,0)</f>
        <v>12000</v>
      </c>
      <c r="I15" s="13">
        <f>VLOOKUP(M15,'Listado Precios'!$A:$C,2,0)</f>
        <v>7000</v>
      </c>
      <c r="J15" s="14">
        <v>45774</v>
      </c>
      <c r="K15" s="15">
        <v>46234</v>
      </c>
      <c r="M15" s="16" t="str">
        <f>CONCATENATE(Registro!$C15,Registro!$D15)</f>
        <v>DisneyP1 pantalla</v>
      </c>
    </row>
    <row r="16" spans="1:26" ht="14.25" customHeight="1">
      <c r="A16" s="7" t="s">
        <v>41</v>
      </c>
      <c r="B16" s="8" t="s">
        <v>42</v>
      </c>
      <c r="C16" s="8" t="s">
        <v>13</v>
      </c>
      <c r="D16" s="8" t="s">
        <v>14</v>
      </c>
      <c r="E16" s="17" t="s">
        <v>44</v>
      </c>
      <c r="F16" s="8"/>
      <c r="G16" s="18"/>
      <c r="H16" s="13">
        <f>VLOOKUP(M16,'Listado Precios'!$A:$C,3,0)</f>
        <v>8000</v>
      </c>
      <c r="I16" s="13">
        <f>VLOOKUP(M16,'Listado Precios'!$A:$C,2,0)</f>
        <v>5000</v>
      </c>
      <c r="J16" s="109">
        <v>45774</v>
      </c>
      <c r="K16" s="15">
        <v>46234</v>
      </c>
      <c r="M16" s="16" t="str">
        <f>CONCATENATE(Registro!$C16,Registro!$D16)</f>
        <v>PrimeVideo1 pantalla</v>
      </c>
    </row>
    <row r="17" spans="1:13" ht="14.25" customHeight="1">
      <c r="A17" s="19" t="s">
        <v>45</v>
      </c>
      <c r="B17" s="17">
        <v>3162284296</v>
      </c>
      <c r="C17" s="8" t="s">
        <v>17</v>
      </c>
      <c r="D17" s="9"/>
      <c r="E17" s="20" t="s">
        <v>46</v>
      </c>
      <c r="F17" s="8" t="s">
        <v>47</v>
      </c>
      <c r="G17" s="12"/>
      <c r="H17" s="13">
        <f>VLOOKUP(M17,'Listado Precios'!$A:$C,3,0)</f>
        <v>8000</v>
      </c>
      <c r="I17" s="13">
        <f>VLOOKUP(M17,'Listado Precios'!$A:$C,2,0)</f>
        <v>5280</v>
      </c>
      <c r="J17" s="109">
        <v>45536</v>
      </c>
      <c r="K17" s="15">
        <v>46235</v>
      </c>
      <c r="M17" s="16" t="str">
        <f>CONCATENATE(Registro!$C17,Registro!$D17)</f>
        <v>Spotify</v>
      </c>
    </row>
    <row r="18" spans="1:13" ht="15.75" customHeight="1">
      <c r="A18" s="7" t="s">
        <v>48</v>
      </c>
      <c r="B18" s="8" t="s">
        <v>49</v>
      </c>
      <c r="C18" s="9" t="s">
        <v>13</v>
      </c>
      <c r="D18" s="8" t="s">
        <v>14</v>
      </c>
      <c r="E18" s="17"/>
      <c r="F18" s="8"/>
      <c r="G18" s="18"/>
      <c r="H18" s="13">
        <f>VLOOKUP(M18,'Listado Precios'!$A:$C,3,0)</f>
        <v>8000</v>
      </c>
      <c r="I18" s="13">
        <f>VLOOKUP(M18,'Listado Precios'!$A:$C,2,0)</f>
        <v>5000</v>
      </c>
      <c r="J18" s="109">
        <v>45903</v>
      </c>
      <c r="K18" s="15">
        <v>46236</v>
      </c>
      <c r="M18" s="16" t="str">
        <f>CONCATENATE(Registro!$C18,Registro!$D18)</f>
        <v>PrimeVideo1 pantalla</v>
      </c>
    </row>
    <row r="19" spans="1:13" ht="15.75" customHeight="1">
      <c r="A19" s="7" t="s">
        <v>50</v>
      </c>
      <c r="B19" s="8" t="s">
        <v>51</v>
      </c>
      <c r="C19" s="9" t="s">
        <v>43</v>
      </c>
      <c r="D19" s="8" t="s">
        <v>14</v>
      </c>
      <c r="E19" s="17"/>
      <c r="F19" s="8"/>
      <c r="G19" s="18"/>
      <c r="H19" s="13">
        <f>VLOOKUP(M19,'Listado Precios'!$A:$C,3,0)</f>
        <v>12000</v>
      </c>
      <c r="I19" s="13">
        <f>VLOOKUP(M19,'Listado Precios'!$A:$C,2,0)</f>
        <v>7000</v>
      </c>
      <c r="J19" s="109">
        <v>45857</v>
      </c>
      <c r="K19" s="15">
        <v>46236</v>
      </c>
      <c r="M19" s="16" t="str">
        <f>CONCATENATE(Registro!$C19,Registro!$D19)</f>
        <v>DisneyP1 pantalla</v>
      </c>
    </row>
    <row r="20" spans="1:13" ht="15.75" customHeight="1">
      <c r="A20" s="7" t="s">
        <v>52</v>
      </c>
      <c r="B20" s="8" t="s">
        <v>53</v>
      </c>
      <c r="C20" s="9" t="s">
        <v>43</v>
      </c>
      <c r="D20" s="8" t="s">
        <v>14</v>
      </c>
      <c r="E20" s="17"/>
      <c r="F20" s="8"/>
      <c r="G20" s="18"/>
      <c r="H20" s="13">
        <f>VLOOKUP(M20,'Listado Precios'!$A:$C,3,0)</f>
        <v>12000</v>
      </c>
      <c r="I20" s="13">
        <f>VLOOKUP(M20,'Listado Precios'!$A:$C,2,0)</f>
        <v>7000</v>
      </c>
      <c r="J20" s="109">
        <v>45968</v>
      </c>
      <c r="K20" s="15">
        <v>46236</v>
      </c>
      <c r="M20" s="16" t="str">
        <f>CONCATENATE(Registro!$C20,Registro!$D20)</f>
        <v>DisneyP1 pantalla</v>
      </c>
    </row>
    <row r="21" spans="1:13" ht="15.75" customHeight="1">
      <c r="A21" s="19" t="s">
        <v>54</v>
      </c>
      <c r="B21" s="17" t="s">
        <v>55</v>
      </c>
      <c r="C21" s="8" t="s">
        <v>22</v>
      </c>
      <c r="D21" s="9" t="s">
        <v>14</v>
      </c>
      <c r="E21" s="20"/>
      <c r="F21" s="8"/>
      <c r="G21" s="12"/>
      <c r="H21" s="13">
        <f>VLOOKUP(M21,'Listado Precios'!$A:$C,3,0)</f>
        <v>13000</v>
      </c>
      <c r="I21" s="13">
        <f>VLOOKUP(M21,'Listado Precios'!$A:$C,2,0)</f>
        <v>7600</v>
      </c>
      <c r="J21" s="109">
        <v>46206</v>
      </c>
      <c r="K21" s="15">
        <v>46236</v>
      </c>
      <c r="M21" s="16" t="str">
        <f>CONCATENATE(Registro!$C21,Registro!$D21)</f>
        <v>Netflix1 pantalla</v>
      </c>
    </row>
    <row r="22" spans="1:13" ht="15.75" customHeight="1">
      <c r="A22" s="19" t="s">
        <v>56</v>
      </c>
      <c r="B22" s="17" t="s">
        <v>57</v>
      </c>
      <c r="C22" s="8" t="s">
        <v>22</v>
      </c>
      <c r="D22" s="9" t="s">
        <v>14</v>
      </c>
      <c r="E22" s="20" t="s">
        <v>58</v>
      </c>
      <c r="F22" s="8" t="s">
        <v>59</v>
      </c>
      <c r="G22" s="12" t="s">
        <v>60</v>
      </c>
      <c r="H22" s="13">
        <f>VLOOKUP(M22,'Listado Precios'!$A:$C,3,0)</f>
        <v>13000</v>
      </c>
      <c r="I22" s="13">
        <f>VLOOKUP(M22,'Listado Precios'!$A:$C,2,0)</f>
        <v>7600</v>
      </c>
      <c r="J22" s="109">
        <v>46080</v>
      </c>
      <c r="K22" s="15">
        <v>46237</v>
      </c>
      <c r="M22" s="16" t="str">
        <f>CONCATENATE(Registro!$C22,Registro!$D22)</f>
        <v>Netflix1 pantalla</v>
      </c>
    </row>
    <row r="23" spans="1:13" ht="15.75" customHeight="1">
      <c r="A23" s="7" t="s">
        <v>61</v>
      </c>
      <c r="B23" s="8" t="s">
        <v>62</v>
      </c>
      <c r="C23" s="8" t="s">
        <v>22</v>
      </c>
      <c r="D23" s="8" t="s">
        <v>14</v>
      </c>
      <c r="E23" s="17"/>
      <c r="F23" s="8"/>
      <c r="G23" s="18"/>
      <c r="H23" s="13">
        <f>VLOOKUP(M23,'Listado Precios'!$A:$C,3,0)</f>
        <v>13000</v>
      </c>
      <c r="I23" s="13">
        <f>VLOOKUP(M23,'Listado Precios'!$A:$C,2,0)</f>
        <v>7600</v>
      </c>
      <c r="J23" s="115">
        <v>46207</v>
      </c>
      <c r="K23" s="15">
        <v>46239</v>
      </c>
      <c r="M23" s="16" t="str">
        <f>CONCATENATE(Registro!$C23,Registro!$D23)</f>
        <v>Netflix1 pantalla</v>
      </c>
    </row>
    <row r="24" spans="1:13" ht="15.75" customHeight="1">
      <c r="A24" s="19" t="s">
        <v>63</v>
      </c>
      <c r="B24" s="17" t="s">
        <v>64</v>
      </c>
      <c r="C24" s="8" t="s">
        <v>65</v>
      </c>
      <c r="D24" s="9" t="s">
        <v>14</v>
      </c>
      <c r="E24" s="20"/>
      <c r="F24" s="8"/>
      <c r="G24" s="12"/>
      <c r="H24" s="13">
        <f>VLOOKUP(M24,'Listado Precios'!$A:$C,3,0)</f>
        <v>8000</v>
      </c>
      <c r="I24" s="13">
        <f>VLOOKUP(M24,'Listado Precios'!$A:$C,2,0)</f>
        <v>5000</v>
      </c>
      <c r="J24" s="109">
        <v>45536</v>
      </c>
      <c r="K24" s="15">
        <v>46240</v>
      </c>
      <c r="M24" s="16" t="str">
        <f>CONCATENATE(Registro!$C24,Registro!$D24)</f>
        <v>Crunchyroll1 pantalla</v>
      </c>
    </row>
    <row r="25" spans="1:13" ht="15.75" customHeight="1">
      <c r="A25" s="7" t="s">
        <v>66</v>
      </c>
      <c r="B25" s="8" t="s">
        <v>67</v>
      </c>
      <c r="C25" s="9" t="s">
        <v>22</v>
      </c>
      <c r="D25" s="8" t="s">
        <v>14</v>
      </c>
      <c r="E25" s="17"/>
      <c r="F25" s="8"/>
      <c r="G25" s="18"/>
      <c r="H25" s="13">
        <f>VLOOKUP(M25,'Listado Precios'!$A:$C,3,0)</f>
        <v>13000</v>
      </c>
      <c r="I25" s="13">
        <f>VLOOKUP(M25,'Listado Precios'!$A:$C,2,0)</f>
        <v>7600</v>
      </c>
      <c r="J25" s="14">
        <v>45727</v>
      </c>
      <c r="K25" s="15">
        <v>46241</v>
      </c>
      <c r="M25" s="16" t="str">
        <f>CONCATENATE(Registro!$C25,Registro!$D25)</f>
        <v>Netflix1 pantalla</v>
      </c>
    </row>
    <row r="26" spans="1:13" ht="15.75" customHeight="1">
      <c r="A26" s="19" t="s">
        <v>68</v>
      </c>
      <c r="B26" s="17" t="s">
        <v>69</v>
      </c>
      <c r="C26" s="8" t="s">
        <v>65</v>
      </c>
      <c r="D26" s="9" t="s">
        <v>14</v>
      </c>
      <c r="E26" s="20"/>
      <c r="F26" s="8"/>
      <c r="G26" s="12"/>
      <c r="H26" s="13">
        <f>VLOOKUP(M26,'Listado Precios'!$A:$C,3,0)</f>
        <v>8000</v>
      </c>
      <c r="I26" s="13">
        <f>VLOOKUP(M26,'Listado Precios'!$A:$C,2,0)</f>
        <v>5000</v>
      </c>
      <c r="J26" s="109">
        <v>46211</v>
      </c>
      <c r="K26" s="15">
        <v>46242</v>
      </c>
      <c r="M26" s="16" t="str">
        <f>CONCATENATE(Registro!$C26,Registro!$D26)</f>
        <v>Crunchyroll1 pantalla</v>
      </c>
    </row>
    <row r="27" spans="1:13" ht="15.75" customHeight="1">
      <c r="A27" s="19" t="s">
        <v>70</v>
      </c>
      <c r="B27" s="17" t="s">
        <v>71</v>
      </c>
      <c r="C27" s="8" t="s">
        <v>43</v>
      </c>
      <c r="D27" s="8" t="s">
        <v>14</v>
      </c>
      <c r="E27" s="17"/>
      <c r="F27" s="8"/>
      <c r="G27" s="18"/>
      <c r="H27" s="13">
        <f>VLOOKUP(M27,'Listado Precios'!$A:$C,3,0)</f>
        <v>12000</v>
      </c>
      <c r="I27" s="13">
        <f>VLOOKUP(M27,'Listado Precios'!$A:$C,2,0)</f>
        <v>7000</v>
      </c>
      <c r="J27" s="109">
        <v>46212</v>
      </c>
      <c r="K27" s="15">
        <v>46242</v>
      </c>
      <c r="M27" s="16" t="str">
        <f>CONCATENATE(Registro!$C27,Registro!$D27)</f>
        <v>DisneyP1 pantalla</v>
      </c>
    </row>
    <row r="28" spans="1:13" ht="15.75" customHeight="1">
      <c r="A28" s="19" t="s">
        <v>70</v>
      </c>
      <c r="B28" s="17" t="s">
        <v>71</v>
      </c>
      <c r="C28" s="8" t="s">
        <v>22</v>
      </c>
      <c r="D28" s="8" t="s">
        <v>14</v>
      </c>
      <c r="E28" s="17"/>
      <c r="F28" s="8"/>
      <c r="G28" s="18"/>
      <c r="H28" s="13">
        <f>VLOOKUP(M28,'Listado Precios'!$A:$C,3,0)</f>
        <v>13000</v>
      </c>
      <c r="I28" s="13">
        <f>VLOOKUP(M28,'Listado Precios'!$A:$C,2,0)</f>
        <v>7600</v>
      </c>
      <c r="J28" s="109">
        <v>46212</v>
      </c>
      <c r="K28" s="15">
        <v>46242</v>
      </c>
      <c r="M28" s="16" t="str">
        <f>CONCATENATE(Registro!$C28,Registro!$D28)</f>
        <v>Netflix1 pantalla</v>
      </c>
    </row>
    <row r="29" spans="1:13" ht="15.75" customHeight="1">
      <c r="A29" s="19" t="s">
        <v>70</v>
      </c>
      <c r="B29" s="17" t="s">
        <v>71</v>
      </c>
      <c r="C29" s="8" t="s">
        <v>25</v>
      </c>
      <c r="D29" s="8" t="s">
        <v>14</v>
      </c>
      <c r="E29" s="17"/>
      <c r="F29" s="8"/>
      <c r="G29" s="18"/>
      <c r="H29" s="13">
        <f>VLOOKUP(M29,'Listado Precios'!$A:$C,3,0)</f>
        <v>8000</v>
      </c>
      <c r="I29" s="13">
        <f>VLOOKUP(M29,'Listado Precios'!$A:$C,2,0)</f>
        <v>5000</v>
      </c>
      <c r="J29" s="109">
        <v>46212</v>
      </c>
      <c r="K29" s="15">
        <v>46242</v>
      </c>
      <c r="M29" s="16" t="str">
        <f>CONCATENATE(Registro!$C29,Registro!$D29)</f>
        <v>HBO1 pantalla</v>
      </c>
    </row>
    <row r="30" spans="1:13" ht="15.75" customHeight="1">
      <c r="A30" s="19" t="s">
        <v>70</v>
      </c>
      <c r="B30" s="17" t="s">
        <v>71</v>
      </c>
      <c r="C30" s="8" t="s">
        <v>13</v>
      </c>
      <c r="D30" s="8" t="s">
        <v>14</v>
      </c>
      <c r="E30" s="17"/>
      <c r="F30" s="8"/>
      <c r="G30" s="18"/>
      <c r="H30" s="13">
        <f>VLOOKUP(M30,'Listado Precios'!$A:$C,3,0)</f>
        <v>8000</v>
      </c>
      <c r="I30" s="13">
        <f>VLOOKUP(M30,'Listado Precios'!$A:$C,2,0)</f>
        <v>5000</v>
      </c>
      <c r="J30" s="109">
        <v>46212</v>
      </c>
      <c r="K30" s="15">
        <v>46242</v>
      </c>
      <c r="M30" s="16" t="str">
        <f>CONCATENATE(Registro!$C30,Registro!$D30)</f>
        <v>PrimeVideo1 pantalla</v>
      </c>
    </row>
    <row r="31" spans="1:13" ht="15.75" customHeight="1">
      <c r="A31" s="19" t="s">
        <v>72</v>
      </c>
      <c r="B31" s="17">
        <v>3184017287</v>
      </c>
      <c r="C31" s="9" t="s">
        <v>13</v>
      </c>
      <c r="D31" s="8" t="s">
        <v>14</v>
      </c>
      <c r="E31" s="17"/>
      <c r="F31" s="8"/>
      <c r="G31" s="18"/>
      <c r="H31" s="13">
        <f>VLOOKUP(M31,'Listado Precios'!$A:$C,3,0)</f>
        <v>8000</v>
      </c>
      <c r="I31" s="13">
        <f>VLOOKUP(M31,'Listado Precios'!$A:$C,2,0)</f>
        <v>5000</v>
      </c>
      <c r="J31" s="14">
        <v>45691</v>
      </c>
      <c r="K31" s="15">
        <v>46243</v>
      </c>
      <c r="M31" s="16" t="str">
        <f>CONCATENATE(Registro!$C31,Registro!$D31)</f>
        <v>PrimeVideo1 pantalla</v>
      </c>
    </row>
    <row r="32" spans="1:13" ht="15.75" customHeight="1">
      <c r="A32" s="19" t="s">
        <v>72</v>
      </c>
      <c r="B32" s="17">
        <v>3184017287</v>
      </c>
      <c r="C32" s="9" t="s">
        <v>43</v>
      </c>
      <c r="D32" s="8" t="s">
        <v>14</v>
      </c>
      <c r="E32" s="17"/>
      <c r="F32" s="8"/>
      <c r="G32" s="18"/>
      <c r="H32" s="13">
        <f>VLOOKUP(M32,'Listado Precios'!$A:$C,3,0)</f>
        <v>12000</v>
      </c>
      <c r="I32" s="13">
        <f>VLOOKUP(M32,'Listado Precios'!$A:$C,2,0)</f>
        <v>7000</v>
      </c>
      <c r="J32" s="14">
        <v>45691</v>
      </c>
      <c r="K32" s="15">
        <v>46243</v>
      </c>
      <c r="M32" s="16" t="str">
        <f>CONCATENATE(Registro!$C32,Registro!$D32)</f>
        <v>DisneyP1 pantalla</v>
      </c>
    </row>
    <row r="33" spans="1:13" ht="15.75" customHeight="1">
      <c r="A33" s="19" t="s">
        <v>72</v>
      </c>
      <c r="B33" s="17">
        <v>3184017287</v>
      </c>
      <c r="C33" s="9" t="s">
        <v>25</v>
      </c>
      <c r="D33" s="8" t="s">
        <v>14</v>
      </c>
      <c r="E33" s="17"/>
      <c r="F33" s="8"/>
      <c r="G33" s="18"/>
      <c r="H33" s="13">
        <f>VLOOKUP(M33,'Listado Precios'!$A:$C,3,0)</f>
        <v>8000</v>
      </c>
      <c r="I33" s="13">
        <f>VLOOKUP(M33,'Listado Precios'!$A:$C,2,0)</f>
        <v>5000</v>
      </c>
      <c r="J33" s="14">
        <v>45691</v>
      </c>
      <c r="K33" s="15">
        <v>46243</v>
      </c>
      <c r="M33" s="16" t="str">
        <f>CONCATENATE(Registro!$C33,Registro!$D33)</f>
        <v>HBO1 pantalla</v>
      </c>
    </row>
    <row r="34" spans="1:13" ht="15.75" customHeight="1">
      <c r="A34" s="19" t="s">
        <v>72</v>
      </c>
      <c r="B34" s="17">
        <v>3184017287</v>
      </c>
      <c r="C34" s="8" t="s">
        <v>22</v>
      </c>
      <c r="D34" s="9" t="s">
        <v>14</v>
      </c>
      <c r="E34" s="20"/>
      <c r="F34" s="8"/>
      <c r="G34" s="12"/>
      <c r="H34" s="13">
        <f>VLOOKUP(M34,'Listado Precios'!$A:$C,3,0)</f>
        <v>13000</v>
      </c>
      <c r="I34" s="13">
        <f>VLOOKUP(M34,'Listado Precios'!$A:$C,2,0)</f>
        <v>7600</v>
      </c>
      <c r="J34" s="14">
        <v>45631</v>
      </c>
      <c r="K34" s="15">
        <v>46243</v>
      </c>
      <c r="M34" s="16" t="str">
        <f>CONCATENATE(Registro!$C34,Registro!$D34)</f>
        <v>Netflix1 pantalla</v>
      </c>
    </row>
    <row r="35" spans="1:13" ht="15.75" customHeight="1">
      <c r="A35" s="7" t="s">
        <v>73</v>
      </c>
      <c r="B35" s="8" t="s">
        <v>74</v>
      </c>
      <c r="C35" s="9" t="s">
        <v>65</v>
      </c>
      <c r="D35" s="8" t="s">
        <v>14</v>
      </c>
      <c r="E35" s="17"/>
      <c r="F35" s="8"/>
      <c r="G35" s="18"/>
      <c r="H35" s="13">
        <f>VLOOKUP(M35,'Listado Precios'!$A:$C,3,0)</f>
        <v>8000</v>
      </c>
      <c r="I35" s="13">
        <f>VLOOKUP(M35,'Listado Precios'!$A:$C,2,0)</f>
        <v>5000</v>
      </c>
      <c r="J35" s="14">
        <v>45682</v>
      </c>
      <c r="K35" s="15">
        <v>46243</v>
      </c>
      <c r="M35" s="16" t="str">
        <f>CONCATENATE(Registro!$C35,Registro!$D35)</f>
        <v>Crunchyroll1 pantalla</v>
      </c>
    </row>
    <row r="36" spans="1:13" ht="15.75" customHeight="1">
      <c r="A36" s="19" t="s">
        <v>75</v>
      </c>
      <c r="B36" s="17" t="s">
        <v>76</v>
      </c>
      <c r="C36" s="8" t="s">
        <v>77</v>
      </c>
      <c r="D36" s="9" t="s">
        <v>14</v>
      </c>
      <c r="E36" s="60" t="s">
        <v>78</v>
      </c>
      <c r="F36" s="8" t="s">
        <v>79</v>
      </c>
      <c r="G36" s="12"/>
      <c r="H36" s="13" t="e">
        <f>VLOOKUP(M36,'Listado Precios'!$A:$C,3,0)</f>
        <v>#N/A</v>
      </c>
      <c r="I36" s="13" t="e">
        <f>VLOOKUP(M36,'Listado Precios'!$A:$C,2,0)</f>
        <v>#N/A</v>
      </c>
      <c r="J36" s="14">
        <v>45483</v>
      </c>
      <c r="K36" s="15">
        <v>46244</v>
      </c>
      <c r="M36" s="16" t="str">
        <f>CONCATENATE(Registro!$C36,Registro!$D36)</f>
        <v>Paramount1 pantalla</v>
      </c>
    </row>
    <row r="37" spans="1:13" ht="15.75" customHeight="1">
      <c r="A37" s="7" t="s">
        <v>28</v>
      </c>
      <c r="B37" s="8" t="s">
        <v>29</v>
      </c>
      <c r="C37" s="8" t="s">
        <v>22</v>
      </c>
      <c r="D37" s="8" t="s">
        <v>14</v>
      </c>
      <c r="E37" s="17"/>
      <c r="F37" s="8"/>
      <c r="G37" s="18"/>
      <c r="H37" s="13">
        <f>VLOOKUP(M37,'Listado Precios'!$A:$C,3,0)</f>
        <v>13000</v>
      </c>
      <c r="I37" s="13">
        <f>VLOOKUP(M37,'Listado Precios'!$A:$C,2,0)</f>
        <v>7600</v>
      </c>
      <c r="J37" s="109">
        <v>45972</v>
      </c>
      <c r="K37" s="15">
        <v>46246</v>
      </c>
      <c r="M37" s="16" t="str">
        <f>CONCATENATE(Registro!$C37,Registro!$D37)</f>
        <v>Netflix1 pantalla</v>
      </c>
    </row>
    <row r="38" spans="1:13" ht="15.75" customHeight="1">
      <c r="A38" s="19" t="s">
        <v>15</v>
      </c>
      <c r="B38" s="17" t="s">
        <v>16</v>
      </c>
      <c r="C38" s="8" t="s">
        <v>17</v>
      </c>
      <c r="D38" s="9"/>
      <c r="E38" s="20" t="s">
        <v>80</v>
      </c>
      <c r="F38" s="8" t="s">
        <v>47</v>
      </c>
      <c r="G38" s="12"/>
      <c r="H38" s="13">
        <f>VLOOKUP(M38,'Listado Precios'!$A:$C,3,0)</f>
        <v>8000</v>
      </c>
      <c r="I38" s="13">
        <f>VLOOKUP(M38,'Listado Precios'!$A:$C,2,0)</f>
        <v>5280</v>
      </c>
      <c r="J38" s="14">
        <v>45496</v>
      </c>
      <c r="K38" s="15">
        <v>46246</v>
      </c>
      <c r="M38" s="16" t="str">
        <f>CONCATENATE(Registro!$C38,Registro!$D38)</f>
        <v>Spotify</v>
      </c>
    </row>
    <row r="39" spans="1:13" ht="15.75" customHeight="1">
      <c r="A39" s="19" t="s">
        <v>15</v>
      </c>
      <c r="B39" s="17" t="s">
        <v>16</v>
      </c>
      <c r="C39" s="9" t="s">
        <v>25</v>
      </c>
      <c r="D39" s="8" t="s">
        <v>14</v>
      </c>
      <c r="E39" s="17"/>
      <c r="F39" s="8"/>
      <c r="G39" s="18"/>
      <c r="H39" s="13">
        <f>VLOOKUP(M39,'Listado Precios'!$A:$C,3,0)</f>
        <v>8000</v>
      </c>
      <c r="I39" s="13">
        <f>VLOOKUP(M39,'Listado Precios'!$A:$C,2,0)</f>
        <v>5000</v>
      </c>
      <c r="J39" s="109">
        <v>45968</v>
      </c>
      <c r="K39" s="15">
        <v>46246</v>
      </c>
      <c r="M39" s="16" t="str">
        <f>CONCATENATE(Registro!$C39,Registro!$D39)</f>
        <v>HBO1 pantalla</v>
      </c>
    </row>
    <row r="40" spans="1:13" ht="15.75" customHeight="1">
      <c r="A40" s="19" t="s">
        <v>81</v>
      </c>
      <c r="B40" s="17" t="s">
        <v>82</v>
      </c>
      <c r="C40" s="8" t="s">
        <v>17</v>
      </c>
      <c r="D40" s="9"/>
      <c r="E40" s="20" t="s">
        <v>83</v>
      </c>
      <c r="F40" s="8" t="s">
        <v>84</v>
      </c>
      <c r="G40" s="12"/>
      <c r="H40" s="13">
        <f>VLOOKUP(M40,'Listado Precios'!$A:$C,3,0)</f>
        <v>8000</v>
      </c>
      <c r="I40" s="13">
        <f>VLOOKUP(M40,'Listado Precios'!$A:$C,2,0)</f>
        <v>5280</v>
      </c>
      <c r="J40" s="109">
        <v>45536</v>
      </c>
      <c r="K40" s="52">
        <v>46247</v>
      </c>
      <c r="M40" s="16" t="str">
        <f>CONCATENATE(Registro!$C40,Registro!$D40)</f>
        <v>Spotify</v>
      </c>
    </row>
    <row r="41" spans="1:13" ht="15.75" customHeight="1">
      <c r="A41" s="19" t="s">
        <v>85</v>
      </c>
      <c r="B41" s="17"/>
      <c r="C41" s="8" t="s">
        <v>22</v>
      </c>
      <c r="D41" s="8" t="s">
        <v>14</v>
      </c>
      <c r="E41" s="17"/>
      <c r="F41" s="8"/>
      <c r="G41" s="18"/>
      <c r="H41" s="13">
        <f>VLOOKUP(M41,'Listado Precios'!$A:$C,3,0)</f>
        <v>13000</v>
      </c>
      <c r="I41" s="13">
        <f>VLOOKUP(M41,'Listado Precios'!$A:$C,2,0)</f>
        <v>7600</v>
      </c>
      <c r="J41" s="109">
        <v>46217</v>
      </c>
      <c r="K41" s="15">
        <v>46247</v>
      </c>
      <c r="M41" s="16" t="str">
        <f>CONCATENATE(Registro!$C41,Registro!$D41)</f>
        <v>Netflix1 pantalla</v>
      </c>
    </row>
    <row r="42" spans="1:13" ht="15.75" customHeight="1">
      <c r="A42" s="7" t="s">
        <v>86</v>
      </c>
      <c r="B42" s="8" t="s">
        <v>87</v>
      </c>
      <c r="C42" s="9" t="s">
        <v>25</v>
      </c>
      <c r="D42" s="8" t="s">
        <v>14</v>
      </c>
      <c r="E42" s="17"/>
      <c r="F42" s="8"/>
      <c r="G42" s="18"/>
      <c r="H42" s="13">
        <f>VLOOKUP(M42,'Listado Precios'!$A:$C,3,0)</f>
        <v>8000</v>
      </c>
      <c r="I42" s="13">
        <f>VLOOKUP(M42,'Listado Precios'!$A:$C,2,0)</f>
        <v>5000</v>
      </c>
      <c r="J42" s="109">
        <v>45876</v>
      </c>
      <c r="K42" s="15">
        <v>46248</v>
      </c>
      <c r="M42" s="16" t="str">
        <f>CONCATENATE(Registro!$C42,Registro!$D42)</f>
        <v>HBO1 pantalla</v>
      </c>
    </row>
    <row r="43" spans="1:13" ht="15.75" customHeight="1">
      <c r="A43" s="7" t="s">
        <v>86</v>
      </c>
      <c r="B43" s="8" t="s">
        <v>87</v>
      </c>
      <c r="C43" s="9" t="s">
        <v>22</v>
      </c>
      <c r="D43" s="8" t="s">
        <v>14</v>
      </c>
      <c r="E43" s="11" t="s">
        <v>88</v>
      </c>
      <c r="F43" s="8" t="s">
        <v>89</v>
      </c>
      <c r="G43" s="18"/>
      <c r="H43" s="13">
        <f>VLOOKUP(M43,'Listado Precios'!$A:$C,3,0)</f>
        <v>13000</v>
      </c>
      <c r="I43" s="13">
        <f>VLOOKUP(M43,'Listado Precios'!$A:$C,2,0)</f>
        <v>7600</v>
      </c>
      <c r="J43" s="109">
        <v>45536</v>
      </c>
      <c r="K43" s="15">
        <v>46248</v>
      </c>
      <c r="M43" s="16" t="str">
        <f>CONCATENATE(Registro!$C43,Registro!$D43)</f>
        <v>Netflix1 pantalla</v>
      </c>
    </row>
    <row r="44" spans="1:13" ht="15.75" customHeight="1">
      <c r="A44" s="19" t="s">
        <v>90</v>
      </c>
      <c r="B44" s="17" t="s">
        <v>91</v>
      </c>
      <c r="C44" s="8" t="s">
        <v>25</v>
      </c>
      <c r="D44" s="8" t="s">
        <v>14</v>
      </c>
      <c r="E44" s="17"/>
      <c r="F44" s="8"/>
      <c r="G44" s="18"/>
      <c r="H44" s="13">
        <f>VLOOKUP(M44,'Listado Precios'!$A:$C,3,0)</f>
        <v>8000</v>
      </c>
      <c r="I44" s="13">
        <f>VLOOKUP(M44,'Listado Precios'!$A:$C,2,0)</f>
        <v>5000</v>
      </c>
      <c r="J44" s="109">
        <v>46218</v>
      </c>
      <c r="K44" s="15">
        <v>46248</v>
      </c>
      <c r="M44" s="16" t="str">
        <f>CONCATENATE(Registro!$C44,Registro!$D44)</f>
        <v>HBO1 pantalla</v>
      </c>
    </row>
    <row r="45" spans="1:13" ht="15.75" customHeight="1">
      <c r="A45" s="7" t="s">
        <v>92</v>
      </c>
      <c r="B45" s="8" t="s">
        <v>93</v>
      </c>
      <c r="C45" s="9" t="s">
        <v>22</v>
      </c>
      <c r="D45" s="8" t="s">
        <v>14</v>
      </c>
      <c r="E45" s="17" t="s">
        <v>94</v>
      </c>
      <c r="F45" s="8" t="s">
        <v>95</v>
      </c>
      <c r="G45" s="18"/>
      <c r="H45" s="13">
        <f>VLOOKUP(M45,'Listado Precios'!$A:$C,3,0)</f>
        <v>13000</v>
      </c>
      <c r="I45" s="13">
        <f>VLOOKUP(M45,'Listado Precios'!$A:$C,2,0)</f>
        <v>7600</v>
      </c>
      <c r="J45" s="14">
        <v>45667</v>
      </c>
      <c r="K45" s="15">
        <v>46249</v>
      </c>
      <c r="M45" s="16" t="str">
        <f>CONCATENATE(Registro!$C45,Registro!$D45)</f>
        <v>Netflix1 pantalla</v>
      </c>
    </row>
    <row r="46" spans="1:13" ht="15.75" customHeight="1">
      <c r="A46" s="7" t="s">
        <v>96</v>
      </c>
      <c r="B46" s="8" t="s">
        <v>97</v>
      </c>
      <c r="C46" s="9" t="s">
        <v>22</v>
      </c>
      <c r="D46" s="8" t="s">
        <v>14</v>
      </c>
      <c r="E46" s="17"/>
      <c r="F46" s="8"/>
      <c r="G46" s="18"/>
      <c r="H46" s="13">
        <f>VLOOKUP(M46,'Listado Precios'!$A:$C,3,0)</f>
        <v>13000</v>
      </c>
      <c r="I46" s="13">
        <f>VLOOKUP(M46,'Listado Precios'!$A:$C,2,0)</f>
        <v>7600</v>
      </c>
      <c r="J46" s="14">
        <v>45676</v>
      </c>
      <c r="K46" s="15">
        <v>46250</v>
      </c>
      <c r="M46" s="16" t="str">
        <f>CONCATENATE(Registro!$C46,Registro!$D46)</f>
        <v>Netflix1 pantalla</v>
      </c>
    </row>
    <row r="47" spans="1:13" ht="15.75" customHeight="1">
      <c r="A47" s="7" t="s">
        <v>98</v>
      </c>
      <c r="B47" s="8" t="s">
        <v>99</v>
      </c>
      <c r="C47" s="8" t="s">
        <v>22</v>
      </c>
      <c r="D47" s="9" t="s">
        <v>14</v>
      </c>
      <c r="E47" s="67"/>
      <c r="F47" s="67"/>
      <c r="G47" s="67"/>
      <c r="H47" s="13">
        <f>VLOOKUP(M47,'Listado Precios'!$A:$C,3,0)</f>
        <v>13000</v>
      </c>
      <c r="I47" s="13">
        <f>VLOOKUP(M47,'Listado Precios'!$A:$C,2,0)</f>
        <v>7600</v>
      </c>
      <c r="J47" s="109">
        <v>45743</v>
      </c>
      <c r="K47" s="15">
        <v>46250</v>
      </c>
      <c r="M47" s="16" t="str">
        <f>CONCATENATE(Registro!$C47,Registro!$D47)</f>
        <v>Netflix1 pantalla</v>
      </c>
    </row>
    <row r="48" spans="1:13" ht="15.75" customHeight="1">
      <c r="A48" s="19" t="s">
        <v>100</v>
      </c>
      <c r="B48" s="17" t="s">
        <v>101</v>
      </c>
      <c r="C48" s="8" t="s">
        <v>22</v>
      </c>
      <c r="D48" s="9" t="s">
        <v>14</v>
      </c>
      <c r="E48" s="67"/>
      <c r="F48" s="67"/>
      <c r="G48" s="67"/>
      <c r="H48" s="13">
        <f>VLOOKUP(M48,'Listado Precios'!$A:$C,3,0)</f>
        <v>13000</v>
      </c>
      <c r="I48" s="13">
        <f>VLOOKUP(M48,'Listado Precios'!$A:$C,2,0)</f>
        <v>7600</v>
      </c>
      <c r="J48" s="14">
        <v>46190</v>
      </c>
      <c r="K48" s="15">
        <v>46251</v>
      </c>
      <c r="M48" s="16" t="str">
        <f>CONCATENATE(Registro!$C48,Registro!$D48)</f>
        <v>Netflix1 pantalla</v>
      </c>
    </row>
    <row r="49" spans="1:13" ht="15.75" customHeight="1">
      <c r="A49" s="7" t="s">
        <v>50</v>
      </c>
      <c r="B49" s="8" t="s">
        <v>51</v>
      </c>
      <c r="C49" s="9" t="s">
        <v>22</v>
      </c>
      <c r="D49" s="8" t="s">
        <v>14</v>
      </c>
      <c r="E49" s="17"/>
      <c r="F49" s="8"/>
      <c r="G49" s="18"/>
      <c r="H49" s="13">
        <f>VLOOKUP(M49,'Listado Precios'!$A:$C,3,0)</f>
        <v>13000</v>
      </c>
      <c r="I49" s="13">
        <f>VLOOKUP(M49,'Listado Precios'!$A:$C,2,0)</f>
        <v>7600</v>
      </c>
      <c r="J49" s="109">
        <v>45927</v>
      </c>
      <c r="K49" s="15">
        <v>46251</v>
      </c>
      <c r="M49" s="16" t="str">
        <f>CONCATENATE(Registro!$C49,Registro!$D49)</f>
        <v>Netflix1 pantalla</v>
      </c>
    </row>
    <row r="50" spans="1:13" ht="15.75" customHeight="1">
      <c r="A50" s="7" t="s">
        <v>102</v>
      </c>
      <c r="B50" s="8" t="s">
        <v>103</v>
      </c>
      <c r="C50" s="8" t="s">
        <v>22</v>
      </c>
      <c r="D50" s="8" t="s">
        <v>14</v>
      </c>
      <c r="E50" s="17"/>
      <c r="F50" s="8"/>
      <c r="G50" s="18"/>
      <c r="H50" s="13">
        <f>VLOOKUP(M50,'Listado Precios'!$A:$C,3,0)</f>
        <v>13000</v>
      </c>
      <c r="I50" s="13">
        <f>VLOOKUP(M50,'Listado Precios'!$A:$C,2,0)</f>
        <v>7600</v>
      </c>
      <c r="J50" s="109">
        <v>45840</v>
      </c>
      <c r="K50" s="15">
        <v>46251</v>
      </c>
      <c r="M50" s="16" t="str">
        <f>CONCATENATE(Registro!$C50,Registro!$D50)</f>
        <v>Netflix1 pantalla</v>
      </c>
    </row>
    <row r="51" spans="1:13" ht="15.75" customHeight="1">
      <c r="A51" s="7" t="s">
        <v>102</v>
      </c>
      <c r="B51" s="8" t="s">
        <v>103</v>
      </c>
      <c r="C51" s="9" t="s">
        <v>43</v>
      </c>
      <c r="D51" s="8" t="s">
        <v>14</v>
      </c>
      <c r="E51" s="17"/>
      <c r="F51" s="8"/>
      <c r="G51" s="18"/>
      <c r="H51" s="13">
        <f>VLOOKUP(M51,'Listado Precios'!$A:$C,3,0)</f>
        <v>12000</v>
      </c>
      <c r="I51" s="13">
        <f>VLOOKUP(M51,'Listado Precios'!$A:$C,2,0)</f>
        <v>7000</v>
      </c>
      <c r="J51" s="118">
        <v>45691</v>
      </c>
      <c r="K51" s="15">
        <v>46251</v>
      </c>
      <c r="M51" s="16" t="str">
        <f>CONCATENATE(Registro!$C51,Registro!$D51)</f>
        <v>DisneyP1 pantalla</v>
      </c>
    </row>
    <row r="52" spans="1:13" ht="15.75" customHeight="1">
      <c r="A52" s="7" t="s">
        <v>102</v>
      </c>
      <c r="B52" s="8" t="s">
        <v>103</v>
      </c>
      <c r="C52" s="9" t="s">
        <v>13</v>
      </c>
      <c r="D52" s="8" t="s">
        <v>14</v>
      </c>
      <c r="E52" s="17"/>
      <c r="F52" s="8"/>
      <c r="G52" s="18"/>
      <c r="H52" s="13">
        <f>VLOOKUP(M52,'Listado Precios'!$A:$C,3,0)</f>
        <v>8000</v>
      </c>
      <c r="I52" s="13">
        <f>VLOOKUP(M52,'Listado Precios'!$A:$C,2,0)</f>
        <v>5000</v>
      </c>
      <c r="J52" s="14">
        <v>45691</v>
      </c>
      <c r="K52" s="15">
        <v>46251</v>
      </c>
      <c r="M52" s="16" t="str">
        <f>CONCATENATE(Registro!$C52,Registro!$D52)</f>
        <v>PrimeVideo1 pantalla</v>
      </c>
    </row>
    <row r="53" spans="1:13" ht="15.75" customHeight="1">
      <c r="A53" s="7" t="s">
        <v>102</v>
      </c>
      <c r="B53" s="8" t="s">
        <v>103</v>
      </c>
      <c r="C53" s="8" t="s">
        <v>25</v>
      </c>
      <c r="D53" s="8" t="s">
        <v>14</v>
      </c>
      <c r="E53" s="17"/>
      <c r="F53" s="8"/>
      <c r="G53" s="18"/>
      <c r="H53" s="13">
        <f>VLOOKUP(M53,'Listado Precios'!$A:$C,3,0)</f>
        <v>8000</v>
      </c>
      <c r="I53" s="13">
        <f>VLOOKUP(M53,'Listado Precios'!$A:$C,2,0)</f>
        <v>5000</v>
      </c>
      <c r="J53" s="109">
        <v>45739</v>
      </c>
      <c r="K53" s="15">
        <v>46251</v>
      </c>
      <c r="M53" s="16" t="str">
        <f>CONCATENATE(Registro!$C53,Registro!$D53)</f>
        <v>HBO1 pantalla</v>
      </c>
    </row>
    <row r="54" spans="1:13" ht="15.75" customHeight="1">
      <c r="A54" s="19" t="s">
        <v>104</v>
      </c>
      <c r="B54" s="17" t="s">
        <v>105</v>
      </c>
      <c r="C54" s="8" t="s">
        <v>22</v>
      </c>
      <c r="D54" s="8" t="s">
        <v>14</v>
      </c>
      <c r="E54" s="17"/>
      <c r="F54" s="8"/>
      <c r="G54" s="18"/>
      <c r="H54" s="13">
        <f>VLOOKUP(M54,'Listado Precios'!$A:$C,3,0)</f>
        <v>13000</v>
      </c>
      <c r="I54" s="13">
        <f>VLOOKUP(M54,'Listado Precios'!$A:$C,2,0)</f>
        <v>7600</v>
      </c>
      <c r="J54" s="109">
        <v>46221</v>
      </c>
      <c r="K54" s="15">
        <v>46251</v>
      </c>
      <c r="M54" s="16" t="str">
        <f>CONCATENATE(Registro!$C54,Registro!$D54)</f>
        <v>Netflix1 pantalla</v>
      </c>
    </row>
    <row r="55" spans="1:13" ht="15.75" customHeight="1">
      <c r="A55" s="7" t="s">
        <v>106</v>
      </c>
      <c r="B55" s="8"/>
      <c r="C55" s="9" t="s">
        <v>17</v>
      </c>
      <c r="D55" s="10"/>
      <c r="E55" s="11" t="s">
        <v>107</v>
      </c>
      <c r="F55" s="8" t="s">
        <v>47</v>
      </c>
      <c r="G55" s="12" t="s">
        <v>108</v>
      </c>
      <c r="H55" s="13">
        <f>VLOOKUP(M55,'Listado Precios'!$A:$C,3,0)</f>
        <v>8000</v>
      </c>
      <c r="I55" s="13">
        <f>VLOOKUP(M55,'Listado Precios'!$A:$C,2,0)</f>
        <v>5280</v>
      </c>
      <c r="J55" s="109">
        <v>45833</v>
      </c>
      <c r="K55" s="15">
        <v>46252</v>
      </c>
      <c r="M55" s="16" t="str">
        <f>CONCATENATE(Registro!$C55,Registro!$D55)</f>
        <v>Spotify</v>
      </c>
    </row>
    <row r="56" spans="1:13" ht="15.75" customHeight="1">
      <c r="A56" s="7" t="s">
        <v>109</v>
      </c>
      <c r="B56" s="8" t="s">
        <v>110</v>
      </c>
      <c r="C56" s="9" t="s">
        <v>17</v>
      </c>
      <c r="D56" s="10"/>
      <c r="E56" s="11" t="s">
        <v>111</v>
      </c>
      <c r="F56" s="8" t="s">
        <v>84</v>
      </c>
      <c r="G56" s="12"/>
      <c r="H56" s="13">
        <f>VLOOKUP(M56,'Listado Precios'!$A:$C,3,0)</f>
        <v>8000</v>
      </c>
      <c r="I56" s="13">
        <f>VLOOKUP(M56,'Listado Precios'!$A:$C,2,0)</f>
        <v>5280</v>
      </c>
      <c r="J56" s="14">
        <v>45471</v>
      </c>
      <c r="K56" s="15">
        <v>46252</v>
      </c>
      <c r="M56" s="16" t="str">
        <f>CONCATENATE(Registro!$C56,Registro!$D56)</f>
        <v>Spotify</v>
      </c>
    </row>
    <row r="57" spans="1:13" ht="15.75" customHeight="1">
      <c r="A57" s="7" t="s">
        <v>112</v>
      </c>
      <c r="B57" s="8" t="s">
        <v>113</v>
      </c>
      <c r="C57" s="9" t="s">
        <v>22</v>
      </c>
      <c r="D57" s="8" t="s">
        <v>14</v>
      </c>
      <c r="E57" s="17"/>
      <c r="F57" s="8"/>
      <c r="G57" s="18"/>
      <c r="H57" s="13">
        <f>VLOOKUP(M57,'Listado Precios'!$A:$C,3,0)</f>
        <v>13000</v>
      </c>
      <c r="I57" s="13">
        <f>VLOOKUP(M57,'Listado Precios'!$A:$C,2,0)</f>
        <v>7600</v>
      </c>
      <c r="J57" s="14">
        <v>45451</v>
      </c>
      <c r="K57" s="15">
        <v>46252</v>
      </c>
      <c r="M57" s="16" t="str">
        <f>CONCATENATE(Registro!$C57,Registro!$D57)</f>
        <v>Netflix1 pantalla</v>
      </c>
    </row>
    <row r="58" spans="1:13" ht="15.75" customHeight="1">
      <c r="A58" s="7" t="s">
        <v>114</v>
      </c>
      <c r="B58" s="8" t="s">
        <v>115</v>
      </c>
      <c r="C58" s="9" t="s">
        <v>43</v>
      </c>
      <c r="D58" s="8" t="s">
        <v>14</v>
      </c>
      <c r="E58" s="17"/>
      <c r="F58" s="8"/>
      <c r="G58" s="18"/>
      <c r="H58" s="13">
        <f>VLOOKUP(M58,'Listado Precios'!$A:$C,3,0)</f>
        <v>12000</v>
      </c>
      <c r="I58" s="13">
        <f>VLOOKUP(M58,'Listado Precios'!$A:$C,2,0)</f>
        <v>7000</v>
      </c>
      <c r="J58" s="109">
        <v>46055</v>
      </c>
      <c r="K58" s="15">
        <v>46252</v>
      </c>
      <c r="M58" s="16" t="str">
        <f>CONCATENATE(Registro!$C58,Registro!$D58)</f>
        <v>DisneyP1 pantalla</v>
      </c>
    </row>
    <row r="59" spans="1:13" ht="15.75" customHeight="1">
      <c r="A59" s="7" t="s">
        <v>116</v>
      </c>
      <c r="B59" s="8" t="s">
        <v>117</v>
      </c>
      <c r="C59" s="8" t="s">
        <v>22</v>
      </c>
      <c r="D59" s="8" t="s">
        <v>14</v>
      </c>
      <c r="E59" s="17"/>
      <c r="F59" s="8"/>
      <c r="G59" s="18"/>
      <c r="H59" s="13">
        <f>VLOOKUP(M59,'Listado Precios'!$A:$C,3,0)</f>
        <v>13000</v>
      </c>
      <c r="I59" s="13">
        <f>VLOOKUP(M59,'Listado Precios'!$A:$C,2,0)</f>
        <v>7600</v>
      </c>
      <c r="J59" s="109">
        <v>45836</v>
      </c>
      <c r="K59" s="15">
        <v>46252</v>
      </c>
      <c r="M59" s="16" t="str">
        <f>CONCATENATE(Registro!$C59,Registro!$D59)</f>
        <v>Netflix1 pantalla</v>
      </c>
    </row>
    <row r="60" spans="1:13" ht="15.75" customHeight="1">
      <c r="A60" s="19" t="s">
        <v>118</v>
      </c>
      <c r="B60" s="17" t="s">
        <v>119</v>
      </c>
      <c r="C60" s="8" t="s">
        <v>25</v>
      </c>
      <c r="D60" s="8" t="s">
        <v>14</v>
      </c>
      <c r="E60" s="17"/>
      <c r="F60" s="8"/>
      <c r="G60" s="18"/>
      <c r="H60" s="13">
        <f>VLOOKUP(M60,'Listado Precios'!$A:$C,3,0)</f>
        <v>8000</v>
      </c>
      <c r="I60" s="13">
        <f>VLOOKUP(M60,'Listado Precios'!$A:$C,2,0)</f>
        <v>5000</v>
      </c>
      <c r="J60" s="109">
        <v>46194</v>
      </c>
      <c r="K60" s="15">
        <v>46254</v>
      </c>
      <c r="M60" s="16" t="str">
        <f>CONCATENATE(Registro!$C60,Registro!$D60)</f>
        <v>HBO1 pantalla</v>
      </c>
    </row>
    <row r="61" spans="1:13" ht="15.75" customHeight="1">
      <c r="A61" s="7" t="s">
        <v>120</v>
      </c>
      <c r="B61" s="8" t="s">
        <v>121</v>
      </c>
      <c r="C61" s="9" t="s">
        <v>43</v>
      </c>
      <c r="D61" s="8" t="s">
        <v>14</v>
      </c>
      <c r="E61" s="17"/>
      <c r="F61" s="8"/>
      <c r="G61" s="18"/>
      <c r="H61" s="13">
        <f>VLOOKUP(M61,'Listado Precios'!$A:$C,3,0)</f>
        <v>12000</v>
      </c>
      <c r="I61" s="13">
        <f>VLOOKUP(M61,'Listado Precios'!$A:$C,2,0)</f>
        <v>7000</v>
      </c>
      <c r="J61" s="109">
        <v>46125</v>
      </c>
      <c r="K61" s="15">
        <v>46254</v>
      </c>
      <c r="M61" s="16" t="str">
        <f>CONCATENATE(Registro!$C61,Registro!$D61)</f>
        <v>DisneyP1 pantalla</v>
      </c>
    </row>
    <row r="62" spans="1:13" ht="15.75" customHeight="1">
      <c r="A62" s="7" t="s">
        <v>122</v>
      </c>
      <c r="B62" s="8" t="s">
        <v>123</v>
      </c>
      <c r="C62" s="9" t="s">
        <v>22</v>
      </c>
      <c r="D62" s="8" t="s">
        <v>14</v>
      </c>
      <c r="E62" s="17"/>
      <c r="F62" s="8"/>
      <c r="G62" s="18"/>
      <c r="H62" s="13">
        <f>VLOOKUP(M62,'Listado Precios'!$A:$C,3,0)</f>
        <v>13000</v>
      </c>
      <c r="I62" s="13">
        <f>VLOOKUP(M62,'Listado Precios'!$A:$C,2,0)</f>
        <v>7600</v>
      </c>
      <c r="J62" s="14">
        <v>46224</v>
      </c>
      <c r="K62" s="15">
        <v>46254</v>
      </c>
      <c r="M62" s="16" t="str">
        <f>CONCATENATE(Registro!$C62,Registro!$D62)</f>
        <v>Netflix1 pantalla</v>
      </c>
    </row>
    <row r="63" spans="1:13" ht="15.75" customHeight="1">
      <c r="A63" s="7" t="s">
        <v>124</v>
      </c>
      <c r="B63" s="8" t="s">
        <v>125</v>
      </c>
      <c r="C63" s="9" t="s">
        <v>22</v>
      </c>
      <c r="D63" s="8" t="s">
        <v>14</v>
      </c>
      <c r="E63" s="20" t="s">
        <v>126</v>
      </c>
      <c r="F63" s="8" t="s">
        <v>127</v>
      </c>
      <c r="G63" s="12"/>
      <c r="H63" s="13">
        <f>VLOOKUP(M63,'Listado Precios'!$A:$C,3,0)</f>
        <v>13000</v>
      </c>
      <c r="I63" s="13">
        <f>VLOOKUP(M63,'Listado Precios'!$A:$C,2,0)</f>
        <v>7600</v>
      </c>
      <c r="J63" s="14">
        <v>45656</v>
      </c>
      <c r="K63" s="15">
        <v>46255</v>
      </c>
      <c r="M63" s="16" t="str">
        <f>CONCATENATE(Registro!$C63,Registro!$D63)</f>
        <v>Netflix1 pantalla</v>
      </c>
    </row>
    <row r="64" spans="1:13" ht="15.75" customHeight="1">
      <c r="A64" s="7" t="s">
        <v>128</v>
      </c>
      <c r="B64" s="8" t="s">
        <v>129</v>
      </c>
      <c r="C64" s="8" t="s">
        <v>22</v>
      </c>
      <c r="D64" s="8" t="s">
        <v>14</v>
      </c>
      <c r="E64" s="17"/>
      <c r="F64" s="8"/>
      <c r="G64" s="18"/>
      <c r="H64" s="13">
        <f>VLOOKUP(M64,'Listado Precios'!$A:$C,3,0)</f>
        <v>13000</v>
      </c>
      <c r="I64" s="13">
        <f>VLOOKUP(M64,'Listado Precios'!$A:$C,2,0)</f>
        <v>7600</v>
      </c>
      <c r="J64" s="109">
        <v>46106</v>
      </c>
      <c r="K64" s="15">
        <v>46257</v>
      </c>
      <c r="M64" s="16" t="str">
        <f>CONCATENATE(Registro!$C64,Registro!$D64)</f>
        <v>Netflix1 pantalla</v>
      </c>
    </row>
    <row r="65" spans="1:13" ht="15.75" customHeight="1">
      <c r="A65" s="7" t="s">
        <v>130</v>
      </c>
      <c r="B65" s="8" t="s">
        <v>131</v>
      </c>
      <c r="C65" s="8" t="s">
        <v>22</v>
      </c>
      <c r="D65" s="8" t="s">
        <v>14</v>
      </c>
      <c r="E65" s="136" t="s">
        <v>132</v>
      </c>
      <c r="F65" s="8" t="s">
        <v>133</v>
      </c>
      <c r="G65" s="18"/>
      <c r="H65" s="13">
        <f>VLOOKUP(M65,'Listado Precios'!$A:$C,3,0)</f>
        <v>13000</v>
      </c>
      <c r="I65" s="13">
        <f>VLOOKUP(M65,'Listado Precios'!$A:$C,2,0)</f>
        <v>7600</v>
      </c>
      <c r="J65" s="109">
        <v>46136</v>
      </c>
      <c r="K65" s="15">
        <v>46258</v>
      </c>
      <c r="M65" s="16" t="str">
        <f>CONCATENATE(Registro!$C65,Registro!$D65)</f>
        <v>Netflix1 pantalla</v>
      </c>
    </row>
    <row r="66" spans="1:13" ht="15.75" customHeight="1">
      <c r="A66" s="7" t="s">
        <v>134</v>
      </c>
      <c r="B66" s="8" t="s">
        <v>135</v>
      </c>
      <c r="C66" s="8" t="s">
        <v>22</v>
      </c>
      <c r="D66" s="8" t="s">
        <v>14</v>
      </c>
      <c r="E66" s="17"/>
      <c r="F66" s="8"/>
      <c r="G66" s="18"/>
      <c r="H66" s="13">
        <f>VLOOKUP(M66,'Listado Precios'!$A:$C,3,0)</f>
        <v>13000</v>
      </c>
      <c r="I66" s="13">
        <f>VLOOKUP(M66,'Listado Precios'!$A:$C,2,0)</f>
        <v>7600</v>
      </c>
      <c r="J66" s="109">
        <v>45888</v>
      </c>
      <c r="K66" s="15">
        <v>46258</v>
      </c>
      <c r="M66" s="16" t="str">
        <f>CONCATENATE(Registro!$C66,Registro!$D66)</f>
        <v>Netflix1 pantalla</v>
      </c>
    </row>
    <row r="67" spans="1:13" ht="15.75" customHeight="1">
      <c r="A67" s="7" t="s">
        <v>136</v>
      </c>
      <c r="B67" s="8" t="s">
        <v>137</v>
      </c>
      <c r="C67" s="9" t="s">
        <v>22</v>
      </c>
      <c r="D67" s="8" t="s">
        <v>14</v>
      </c>
      <c r="E67" s="17"/>
      <c r="F67" s="8"/>
      <c r="G67" s="18"/>
      <c r="H67" s="13">
        <f>VLOOKUP(M67,'Listado Precios'!$A:$C,3,0)</f>
        <v>13000</v>
      </c>
      <c r="I67" s="13">
        <f>VLOOKUP(M67,'Listado Precios'!$A:$C,2,0)</f>
        <v>7600</v>
      </c>
      <c r="J67" s="109">
        <v>46056</v>
      </c>
      <c r="K67" s="15">
        <v>46258</v>
      </c>
      <c r="M67" s="16" t="str">
        <f>CONCATENATE(Registro!$C67,Registro!$D67)</f>
        <v>Netflix1 pantalla</v>
      </c>
    </row>
    <row r="68" spans="1:13" ht="15.75" customHeight="1">
      <c r="A68" s="7" t="s">
        <v>138</v>
      </c>
      <c r="B68" s="8" t="s">
        <v>139</v>
      </c>
      <c r="C68" s="9" t="s">
        <v>77</v>
      </c>
      <c r="D68" s="8" t="s">
        <v>14</v>
      </c>
      <c r="E68" s="17"/>
      <c r="F68" s="121"/>
      <c r="G68" s="18"/>
      <c r="H68" s="13" t="e">
        <f>VLOOKUP(M68,'Listado Precios'!$A:$C,3,0)</f>
        <v>#N/A</v>
      </c>
      <c r="I68" s="13" t="e">
        <f>VLOOKUP(M68,'Listado Precios'!$A:$C,2,0)</f>
        <v>#N/A</v>
      </c>
      <c r="J68" s="109">
        <v>46184</v>
      </c>
      <c r="K68" s="15">
        <v>46258</v>
      </c>
      <c r="M68" s="16" t="str">
        <f>CONCATENATE(Registro!$C68,Registro!$D68)</f>
        <v>Paramount1 pantalla</v>
      </c>
    </row>
    <row r="69" spans="1:13" ht="15.75" customHeight="1">
      <c r="A69" s="7" t="s">
        <v>140</v>
      </c>
      <c r="B69" s="8" t="s">
        <v>141</v>
      </c>
      <c r="C69" s="9" t="s">
        <v>43</v>
      </c>
      <c r="D69" s="8" t="s">
        <v>14</v>
      </c>
      <c r="E69" s="17"/>
      <c r="F69" s="8"/>
      <c r="G69" s="18"/>
      <c r="H69" s="13">
        <f>VLOOKUP(M69,'Listado Precios'!$A:$C,3,0)</f>
        <v>12000</v>
      </c>
      <c r="I69" s="13">
        <f>VLOOKUP(M69,'Listado Precios'!$A:$C,2,0)</f>
        <v>7000</v>
      </c>
      <c r="J69" s="14">
        <v>46228</v>
      </c>
      <c r="K69" s="15">
        <v>46258</v>
      </c>
      <c r="M69" s="16" t="str">
        <f>CONCATENATE(Registro!$C69,Registro!$D69)</f>
        <v>DisneyP1 pantalla</v>
      </c>
    </row>
    <row r="70" spans="1:13" ht="15.75" customHeight="1">
      <c r="A70" s="7" t="s">
        <v>142</v>
      </c>
      <c r="B70" s="8" t="s">
        <v>143</v>
      </c>
      <c r="C70" s="9" t="s">
        <v>22</v>
      </c>
      <c r="D70" s="8" t="s">
        <v>14</v>
      </c>
      <c r="E70" s="17"/>
      <c r="F70" s="8"/>
      <c r="G70" s="18"/>
      <c r="H70" s="13">
        <f>VLOOKUP(M70,'Listado Precios'!$A:$C,3,0)</f>
        <v>13000</v>
      </c>
      <c r="I70" s="13">
        <f>VLOOKUP(M70,'Listado Precios'!$A:$C,2,0)</f>
        <v>7600</v>
      </c>
      <c r="J70" s="109">
        <v>45739</v>
      </c>
      <c r="K70" s="159">
        <v>46259</v>
      </c>
      <c r="M70" s="16" t="str">
        <f>CONCATENATE(Registro!$C70,Registro!$D70)</f>
        <v>Netflix1 pantalla</v>
      </c>
    </row>
    <row r="71" spans="1:13" ht="15.75" customHeight="1">
      <c r="A71" s="7" t="s">
        <v>134</v>
      </c>
      <c r="B71" s="8" t="s">
        <v>135</v>
      </c>
      <c r="C71" s="8" t="s">
        <v>25</v>
      </c>
      <c r="D71" s="8" t="s">
        <v>144</v>
      </c>
      <c r="E71" s="17"/>
      <c r="F71" s="8"/>
      <c r="G71" s="18"/>
      <c r="H71" s="13" t="e">
        <f>VLOOKUP(M71,'Listado Precios'!$A:$C,3,0)</f>
        <v>#N/A</v>
      </c>
      <c r="I71" s="13" t="e">
        <f>VLOOKUP(M71,'Listado Precios'!$A:$C,2,0)</f>
        <v>#N/A</v>
      </c>
      <c r="J71" s="109">
        <v>46230</v>
      </c>
      <c r="K71" s="15">
        <v>46260</v>
      </c>
      <c r="M71" s="16" t="str">
        <f>CONCATENATE(Registro!$C71,Registro!$D71)</f>
        <v xml:space="preserve">HBO2 pantallas </v>
      </c>
    </row>
    <row r="72" spans="1:13" ht="15.75" customHeight="1">
      <c r="A72" s="19" t="s">
        <v>134</v>
      </c>
      <c r="B72" s="17" t="s">
        <v>135</v>
      </c>
      <c r="C72" s="8" t="s">
        <v>22</v>
      </c>
      <c r="D72" s="8" t="s">
        <v>14</v>
      </c>
      <c r="E72" s="17"/>
      <c r="F72" s="8"/>
      <c r="G72" s="18"/>
      <c r="H72" s="13">
        <f>VLOOKUP(M72,'Listado Precios'!$A:$C,3,0)</f>
        <v>13000</v>
      </c>
      <c r="I72" s="13">
        <f>VLOOKUP(M72,'Listado Precios'!$A:$C,2,0)</f>
        <v>7600</v>
      </c>
      <c r="J72" s="14">
        <v>46230</v>
      </c>
      <c r="K72" s="15">
        <v>46260</v>
      </c>
      <c r="M72" s="16" t="str">
        <f>CONCATENATE(Registro!$C72,Registro!$D72)</f>
        <v>Netflix1 pantalla</v>
      </c>
    </row>
    <row r="73" spans="1:13" ht="15.75" customHeight="1">
      <c r="A73" s="7" t="s">
        <v>145</v>
      </c>
      <c r="B73" s="8" t="s">
        <v>146</v>
      </c>
      <c r="C73" s="9" t="s">
        <v>17</v>
      </c>
      <c r="D73" s="8"/>
      <c r="E73" s="17" t="s">
        <v>145</v>
      </c>
      <c r="F73" s="8" t="s">
        <v>47</v>
      </c>
      <c r="G73" s="18"/>
      <c r="H73" s="13"/>
      <c r="I73" s="13"/>
      <c r="J73" s="14">
        <v>45693</v>
      </c>
      <c r="K73" s="15">
        <v>46261</v>
      </c>
      <c r="M73" s="16" t="str">
        <f>CONCATENATE(Registro!$C73,Registro!$D73)</f>
        <v>Spotify</v>
      </c>
    </row>
    <row r="74" spans="1:13" ht="15.75" customHeight="1">
      <c r="A74" s="19" t="s">
        <v>147</v>
      </c>
      <c r="B74" s="17" t="s">
        <v>148</v>
      </c>
      <c r="C74" s="9" t="s">
        <v>43</v>
      </c>
      <c r="D74" s="8" t="s">
        <v>14</v>
      </c>
      <c r="E74" s="17"/>
      <c r="F74" s="8"/>
      <c r="G74" s="18"/>
      <c r="H74" s="13">
        <f>VLOOKUP(M74,'Listado Precios'!$A:$C,3,0)</f>
        <v>12000</v>
      </c>
      <c r="I74" s="13">
        <f>VLOOKUP(M74,'Listado Precios'!$A:$C,2,0)</f>
        <v>7000</v>
      </c>
      <c r="J74" s="109">
        <v>46110</v>
      </c>
      <c r="K74" s="15">
        <v>46261</v>
      </c>
      <c r="M74" s="16" t="str">
        <f>CONCATENATE(Registro!$C74,Registro!$D74)</f>
        <v>DisneyP1 pantalla</v>
      </c>
    </row>
    <row r="75" spans="1:13" ht="15.75" customHeight="1">
      <c r="A75" s="19" t="s">
        <v>147</v>
      </c>
      <c r="B75" s="17" t="s">
        <v>148</v>
      </c>
      <c r="C75" s="9" t="s">
        <v>22</v>
      </c>
      <c r="D75" s="8" t="s">
        <v>14</v>
      </c>
      <c r="E75" s="17"/>
      <c r="F75" s="8"/>
      <c r="G75" s="18"/>
      <c r="H75" s="13">
        <f>VLOOKUP(M75,'Listado Precios'!$A:$C,3,0)</f>
        <v>13000</v>
      </c>
      <c r="I75" s="13">
        <f>VLOOKUP(M75,'Listado Precios'!$A:$C,2,0)</f>
        <v>7600</v>
      </c>
      <c r="J75" s="115">
        <v>46082</v>
      </c>
      <c r="K75" s="15">
        <v>46261</v>
      </c>
      <c r="M75" s="16" t="str">
        <f>CONCATENATE(Registro!$C75,Registro!$D75)</f>
        <v>Netflix1 pantalla</v>
      </c>
    </row>
    <row r="76" spans="1:13" ht="15.75" customHeight="1">
      <c r="A76" s="7" t="s">
        <v>122</v>
      </c>
      <c r="B76" s="8" t="s">
        <v>149</v>
      </c>
      <c r="C76" s="8" t="s">
        <v>43</v>
      </c>
      <c r="D76" s="8" t="s">
        <v>14</v>
      </c>
      <c r="E76" s="17"/>
      <c r="F76" s="8"/>
      <c r="G76" s="18"/>
      <c r="H76" s="13">
        <f>VLOOKUP(M76,'Listado Precios'!$A:$C,3,0)</f>
        <v>12000</v>
      </c>
      <c r="I76" s="13">
        <f>VLOOKUP(M76,'Listado Precios'!$A:$C,2,0)</f>
        <v>7000</v>
      </c>
      <c r="J76" s="109">
        <v>45778</v>
      </c>
      <c r="K76" s="15">
        <v>46261</v>
      </c>
      <c r="M76" s="16" t="str">
        <f>CONCATENATE(Registro!$C76,Registro!$D76)</f>
        <v>DisneyP1 pantalla</v>
      </c>
    </row>
    <row r="77" spans="1:13" ht="15.75" customHeight="1">
      <c r="A77" s="19" t="s">
        <v>150</v>
      </c>
      <c r="B77" s="17" t="s">
        <v>151</v>
      </c>
      <c r="C77" s="8" t="s">
        <v>13</v>
      </c>
      <c r="D77" s="8" t="s">
        <v>14</v>
      </c>
      <c r="E77" s="17"/>
      <c r="F77" s="8"/>
      <c r="G77" s="18"/>
      <c r="H77" s="13">
        <f>VLOOKUP(M77,'Listado Precios'!$A:$C,3,0)</f>
        <v>8000</v>
      </c>
      <c r="I77" s="13">
        <f>VLOOKUP(M77,'Listado Precios'!$A:$C,2,0)</f>
        <v>5000</v>
      </c>
      <c r="J77" s="14">
        <v>46231</v>
      </c>
      <c r="K77" s="15">
        <v>46261</v>
      </c>
      <c r="M77" s="16" t="str">
        <f>CONCATENATE(Registro!$C77,Registro!$D77)</f>
        <v>PrimeVideo1 pantalla</v>
      </c>
    </row>
    <row r="78" spans="1:13" ht="15.75" customHeight="1">
      <c r="A78" s="7" t="s">
        <v>124</v>
      </c>
      <c r="B78" s="8" t="s">
        <v>125</v>
      </c>
      <c r="C78" s="9" t="s">
        <v>43</v>
      </c>
      <c r="D78" s="8" t="s">
        <v>14</v>
      </c>
      <c r="E78" s="17"/>
      <c r="F78" s="8"/>
      <c r="G78" s="18"/>
      <c r="H78" s="13">
        <f>VLOOKUP(M78,'Listado Precios'!$A:$C,3,0)</f>
        <v>12000</v>
      </c>
      <c r="I78" s="13">
        <f>VLOOKUP(M78,'Listado Precios'!$A:$C,2,0)</f>
        <v>7000</v>
      </c>
      <c r="J78" s="109">
        <v>45746</v>
      </c>
      <c r="K78" s="15">
        <v>46265</v>
      </c>
      <c r="M78" s="16" t="str">
        <f>CONCATENATE(Registro!$C78,Registro!$D78)</f>
        <v>DisneyP1 pantalla</v>
      </c>
    </row>
    <row r="79" spans="1:13" ht="15.75" customHeight="1">
      <c r="A79" s="7" t="s">
        <v>75</v>
      </c>
      <c r="B79" s="8" t="s">
        <v>76</v>
      </c>
      <c r="C79" s="9" t="s">
        <v>17</v>
      </c>
      <c r="D79" s="8"/>
      <c r="E79" s="20" t="s">
        <v>152</v>
      </c>
      <c r="F79" s="8" t="s">
        <v>84</v>
      </c>
      <c r="G79" s="12"/>
      <c r="H79" s="13">
        <f>VLOOKUP(M79,'Listado Precios'!$A:$C,3,0)</f>
        <v>8000</v>
      </c>
      <c r="I79" s="13">
        <f>VLOOKUP(M79,'Listado Precios'!$A:$C,2,0)</f>
        <v>5280</v>
      </c>
      <c r="J79" s="14">
        <v>45621</v>
      </c>
      <c r="K79" s="15">
        <v>46280</v>
      </c>
      <c r="M79" s="16" t="str">
        <f>CONCATENATE(Registro!$C79,Registro!$D79)</f>
        <v>Spotify</v>
      </c>
    </row>
    <row r="80" spans="1:13" ht="15.75" customHeight="1">
      <c r="A80" s="7"/>
      <c r="B80" s="8" t="s">
        <v>153</v>
      </c>
      <c r="C80" s="8" t="s">
        <v>43</v>
      </c>
      <c r="D80" s="8" t="s">
        <v>14</v>
      </c>
      <c r="E80" s="17"/>
      <c r="F80" s="8"/>
      <c r="G80" s="18"/>
      <c r="H80" s="13">
        <f>VLOOKUP(M80,'Listado Precios'!$A:$C,3,0)</f>
        <v>12000</v>
      </c>
      <c r="I80" s="13">
        <f>VLOOKUP(M80,'Listado Precios'!$A:$C,2,0)</f>
        <v>7000</v>
      </c>
      <c r="J80" s="109">
        <v>46230</v>
      </c>
      <c r="K80" s="15">
        <v>46290</v>
      </c>
      <c r="M80" s="16" t="str">
        <f>CONCATENATE(Registro!$C80,Registro!$D80)</f>
        <v>DisneyP1 pantalla</v>
      </c>
    </row>
    <row r="81" spans="1:13" ht="15.75" customHeight="1">
      <c r="A81" s="7" t="s">
        <v>118</v>
      </c>
      <c r="B81" s="8" t="s">
        <v>154</v>
      </c>
      <c r="C81" s="9" t="s">
        <v>65</v>
      </c>
      <c r="D81" s="8" t="s">
        <v>14</v>
      </c>
      <c r="E81" s="17" t="s">
        <v>155</v>
      </c>
      <c r="F81" s="8" t="s">
        <v>156</v>
      </c>
      <c r="G81" s="18"/>
      <c r="H81" s="13">
        <f>VLOOKUP(M81,'Listado Precios'!$A:$C,3,0)</f>
        <v>8000</v>
      </c>
      <c r="I81" s="13">
        <f>VLOOKUP(M81,'Listado Precios'!$A:$C,2,0)</f>
        <v>5000</v>
      </c>
      <c r="J81" s="14">
        <v>45580</v>
      </c>
      <c r="K81" s="15">
        <v>46368</v>
      </c>
      <c r="M81" s="16" t="str">
        <f>CONCATENATE(Registro!$C81,Registro!$D81)</f>
        <v>Crunchyroll1 pantalla</v>
      </c>
    </row>
    <row r="82" spans="1:13" ht="15.75" customHeight="1">
      <c r="A82" s="19" t="s">
        <v>157</v>
      </c>
      <c r="B82" s="17" t="s">
        <v>158</v>
      </c>
      <c r="C82" s="8"/>
      <c r="D82" s="8"/>
      <c r="E82" s="17"/>
      <c r="F82" s="8"/>
      <c r="G82" s="18"/>
      <c r="H82" s="13" t="e">
        <f>VLOOKUP(M82,'Listado Precios'!$A:$C,3,0)</f>
        <v>#N/A</v>
      </c>
      <c r="I82" s="13" t="e">
        <f>VLOOKUP(M82,'Listado Precios'!$A:$C,2,0)</f>
        <v>#N/A</v>
      </c>
      <c r="J82" s="109">
        <v>46172</v>
      </c>
      <c r="K82" s="15">
        <v>46537</v>
      </c>
      <c r="M82" s="16" t="str">
        <f>CONCATENATE(Registro!$C82,Registro!$D82)</f>
        <v/>
      </c>
    </row>
    <row r="83" spans="1:13" ht="15.75" customHeight="1">
      <c r="A83" s="7" t="s">
        <v>159</v>
      </c>
      <c r="B83" s="8" t="s">
        <v>160</v>
      </c>
      <c r="C83" s="9" t="s">
        <v>22</v>
      </c>
      <c r="D83" s="8" t="s">
        <v>14</v>
      </c>
      <c r="E83" s="17"/>
      <c r="F83" s="8"/>
      <c r="G83" s="18"/>
      <c r="H83" s="13">
        <f>VLOOKUP(M83,'Listado Precios'!$A:$C,3,0)</f>
        <v>13000</v>
      </c>
      <c r="I83" s="13">
        <f>VLOOKUP(M83,'Listado Precios'!$A:$C,2,0)</f>
        <v>7600</v>
      </c>
      <c r="J83" s="109">
        <v>45991</v>
      </c>
      <c r="K83" s="15" t="s">
        <v>161</v>
      </c>
      <c r="M83" s="16" t="str">
        <f>CONCATENATE(Registro!$C83,Registro!$D83)</f>
        <v>Netflix1 pantalla</v>
      </c>
    </row>
    <row r="84" spans="1:13" ht="15.75" customHeight="1">
      <c r="A84" s="7" t="s">
        <v>162</v>
      </c>
      <c r="B84" s="8" t="s">
        <v>163</v>
      </c>
      <c r="C84" s="8" t="s">
        <v>17</v>
      </c>
      <c r="D84" s="8"/>
      <c r="E84" s="192" t="s">
        <v>162</v>
      </c>
      <c r="F84" s="8" t="s">
        <v>164</v>
      </c>
      <c r="G84" s="18"/>
      <c r="H84" s="13">
        <f>VLOOKUP(M84,'Listado Precios'!$A:$C,3,0)</f>
        <v>8000</v>
      </c>
      <c r="I84" s="13">
        <f>VLOOKUP(M84,'Listado Precios'!$A:$C,2,0)</f>
        <v>5280</v>
      </c>
      <c r="J84" s="109">
        <v>45765</v>
      </c>
      <c r="K84" s="15" t="s">
        <v>165</v>
      </c>
      <c r="M84" s="16" t="str">
        <f>CONCATENATE(Registro!$C84,Registro!$D84)</f>
        <v>Spotify</v>
      </c>
    </row>
    <row r="85" spans="1:13" ht="15.75" customHeight="1">
      <c r="A85" s="7" t="s">
        <v>166</v>
      </c>
      <c r="B85" s="8" t="s">
        <v>167</v>
      </c>
      <c r="C85" s="9" t="s">
        <v>22</v>
      </c>
      <c r="D85" s="8" t="s">
        <v>14</v>
      </c>
      <c r="E85" s="17"/>
      <c r="F85" s="8"/>
      <c r="G85" s="18"/>
      <c r="H85" s="13">
        <f>VLOOKUP(M85,'Listado Precios'!$A:$C,3,0)</f>
        <v>13000</v>
      </c>
      <c r="I85" s="13">
        <f>VLOOKUP(M85,'Listado Precios'!$A:$C,2,0)</f>
        <v>7600</v>
      </c>
      <c r="J85" s="14">
        <v>45942</v>
      </c>
      <c r="K85" s="15" t="s">
        <v>168</v>
      </c>
      <c r="M85" s="16" t="str">
        <f>CONCATENATE(Registro!$C85,Registro!$D85)</f>
        <v>Netflix1 pantalla</v>
      </c>
    </row>
    <row r="86" spans="1:13" ht="15.75" customHeight="1">
      <c r="A86" s="7" t="s">
        <v>169</v>
      </c>
      <c r="B86" s="8" t="s">
        <v>170</v>
      </c>
      <c r="C86" s="9" t="s">
        <v>22</v>
      </c>
      <c r="D86" s="8" t="s">
        <v>14</v>
      </c>
      <c r="E86" s="17"/>
      <c r="F86" s="8"/>
      <c r="G86" s="18"/>
      <c r="H86" s="13">
        <f>VLOOKUP(M86,'Listado Precios'!$A:$C,3,0)</f>
        <v>13000</v>
      </c>
      <c r="I86" s="13">
        <f>VLOOKUP(M86,'Listado Precios'!$A:$C,2,0)</f>
        <v>7600</v>
      </c>
      <c r="J86" s="109">
        <v>45858</v>
      </c>
      <c r="K86" s="15" t="s">
        <v>168</v>
      </c>
      <c r="M86" s="16" t="str">
        <f>CONCATENATE(Registro!$C86,Registro!$D86)</f>
        <v>Netflix1 pantalla</v>
      </c>
    </row>
    <row r="87" spans="1:13" ht="15.75" customHeight="1">
      <c r="A87" s="7" t="s">
        <v>171</v>
      </c>
      <c r="B87" s="8" t="s">
        <v>163</v>
      </c>
      <c r="C87" s="9" t="s">
        <v>17</v>
      </c>
      <c r="D87" s="10"/>
      <c r="E87" s="11" t="s">
        <v>172</v>
      </c>
      <c r="F87" s="8" t="s">
        <v>47</v>
      </c>
      <c r="G87" s="12"/>
      <c r="H87" s="13">
        <f>VLOOKUP(M87,'Listado Precios'!$A:$C,3,0)</f>
        <v>8000</v>
      </c>
      <c r="I87" s="13">
        <f>VLOOKUP(M87,'Listado Precios'!$A:$C,2,0)</f>
        <v>5280</v>
      </c>
      <c r="J87" s="14">
        <v>45465</v>
      </c>
      <c r="K87" s="15" t="s">
        <v>168</v>
      </c>
      <c r="M87" s="16" t="str">
        <f>CONCATENATE(Registro!$C87,Registro!$D87)</f>
        <v>Spotify</v>
      </c>
    </row>
    <row r="88" spans="1:13" ht="15.75" customHeight="1">
      <c r="A88" s="7" t="s">
        <v>173</v>
      </c>
      <c r="B88" s="8" t="s">
        <v>174</v>
      </c>
      <c r="C88" s="8" t="s">
        <v>17</v>
      </c>
      <c r="D88" s="8"/>
      <c r="E88" s="17" t="s">
        <v>175</v>
      </c>
      <c r="F88" s="8" t="s">
        <v>176</v>
      </c>
      <c r="G88" s="18"/>
      <c r="H88" s="13">
        <f>VLOOKUP(M88,'Listado Precios'!$A:$C,3,0)</f>
        <v>8000</v>
      </c>
      <c r="I88" s="13">
        <f>VLOOKUP(M88,'Listado Precios'!$A:$C,2,0)</f>
        <v>5280</v>
      </c>
      <c r="J88" s="109">
        <v>45766</v>
      </c>
      <c r="K88" s="15" t="s">
        <v>168</v>
      </c>
      <c r="M88" s="16" t="str">
        <f>CONCATENATE(Registro!$C88,Registro!$D88)</f>
        <v>Spotify</v>
      </c>
    </row>
    <row r="89" spans="1:13" ht="15.75" customHeight="1">
      <c r="A89" s="7" t="s">
        <v>177</v>
      </c>
      <c r="B89" s="8" t="s">
        <v>178</v>
      </c>
      <c r="C89" s="8" t="s">
        <v>43</v>
      </c>
      <c r="D89" s="8" t="s">
        <v>14</v>
      </c>
      <c r="E89" s="17"/>
      <c r="F89" s="8"/>
      <c r="G89" s="18"/>
      <c r="H89" s="13">
        <f>VLOOKUP(M89,'Listado Precios'!$A:$C,3,0)</f>
        <v>12000</v>
      </c>
      <c r="I89" s="13">
        <f>VLOOKUP(M89,'Listado Precios'!$A:$C,2,0)</f>
        <v>7000</v>
      </c>
      <c r="J89" s="109">
        <v>45794</v>
      </c>
      <c r="K89" s="15" t="s">
        <v>179</v>
      </c>
      <c r="M89" s="16" t="str">
        <f>CONCATENATE(Registro!$C89,Registro!$D89)</f>
        <v>DisneyP1 pantalla</v>
      </c>
    </row>
    <row r="90" spans="1:13" ht="15.75" customHeight="1">
      <c r="A90" s="7" t="s">
        <v>180</v>
      </c>
      <c r="B90" s="8" t="s">
        <v>181</v>
      </c>
      <c r="C90" s="9" t="s">
        <v>17</v>
      </c>
      <c r="D90" s="8"/>
      <c r="E90" s="17"/>
      <c r="F90" s="8" t="s">
        <v>176</v>
      </c>
      <c r="G90" s="18"/>
      <c r="H90" s="13">
        <f>VLOOKUP(M90,'Listado Precios'!$A:$C,3,0)</f>
        <v>8000</v>
      </c>
      <c r="I90" s="13">
        <f>VLOOKUP(M90,'Listado Precios'!$A:$C,2,0)</f>
        <v>5280</v>
      </c>
      <c r="J90" s="14">
        <v>45707</v>
      </c>
      <c r="K90" s="15" t="s">
        <v>182</v>
      </c>
      <c r="M90" s="16" t="str">
        <f>CONCATENATE(Registro!$C90,Registro!$D90)</f>
        <v>Spotify</v>
      </c>
    </row>
    <row r="91" spans="1:13" ht="15.75" customHeight="1">
      <c r="A91" s="19" t="s">
        <v>183</v>
      </c>
      <c r="B91" s="17" t="s">
        <v>184</v>
      </c>
      <c r="C91" s="9" t="s">
        <v>25</v>
      </c>
      <c r="D91" s="10" t="s">
        <v>14</v>
      </c>
      <c r="E91" s="20" t="s">
        <v>185</v>
      </c>
      <c r="F91" s="8" t="s">
        <v>186</v>
      </c>
      <c r="G91" s="12"/>
      <c r="H91" s="13">
        <f>VLOOKUP(M91,'Listado Precios'!$A:$C,3,0)</f>
        <v>8000</v>
      </c>
      <c r="I91" s="13">
        <f>VLOOKUP(M91,'Listado Precios'!$A:$C,2,0)</f>
        <v>5000</v>
      </c>
      <c r="J91" s="109">
        <v>45536</v>
      </c>
      <c r="K91" s="15" t="s">
        <v>187</v>
      </c>
      <c r="M91" s="16" t="str">
        <f>CONCATENATE(Registro!$C91,Registro!$D91)</f>
        <v>HBO1 pantalla</v>
      </c>
    </row>
    <row r="92" spans="1:13" ht="15.75" customHeight="1">
      <c r="A92" s="7" t="s">
        <v>188</v>
      </c>
      <c r="B92" s="8" t="s">
        <v>189</v>
      </c>
      <c r="C92" s="9" t="s">
        <v>43</v>
      </c>
      <c r="D92" s="8" t="s">
        <v>14</v>
      </c>
      <c r="E92" s="17" t="s">
        <v>190</v>
      </c>
      <c r="F92" s="8" t="s">
        <v>191</v>
      </c>
      <c r="G92" s="18"/>
      <c r="H92" s="13">
        <f>VLOOKUP(M92,'Listado Precios'!$A:$C,3,0)</f>
        <v>12000</v>
      </c>
      <c r="I92" s="13">
        <f>VLOOKUP(M92,'Listado Precios'!$A:$C,2,0)</f>
        <v>7000</v>
      </c>
      <c r="J92" s="109">
        <v>45871</v>
      </c>
      <c r="K92" s="15" t="s">
        <v>192</v>
      </c>
      <c r="M92" s="16" t="str">
        <f>CONCATENATE(Registro!$C92,Registro!$D92)</f>
        <v>DisneyP1 pantalla</v>
      </c>
    </row>
    <row r="93" spans="1:13" ht="15.75" customHeight="1">
      <c r="A93" s="7" t="s">
        <v>193</v>
      </c>
      <c r="B93" s="8" t="s">
        <v>194</v>
      </c>
      <c r="C93" s="9" t="s">
        <v>22</v>
      </c>
      <c r="D93" s="8" t="s">
        <v>14</v>
      </c>
      <c r="E93" s="17" t="s">
        <v>195</v>
      </c>
      <c r="F93" s="8" t="s">
        <v>196</v>
      </c>
      <c r="G93" s="18"/>
      <c r="H93" s="13">
        <f>VLOOKUP(M93,'Listado Precios'!$A:$C,3,0)</f>
        <v>13000</v>
      </c>
      <c r="I93" s="13">
        <f>VLOOKUP(M93,'Listado Precios'!$A:$C,2,0)</f>
        <v>7600</v>
      </c>
      <c r="J93" s="109">
        <v>45871</v>
      </c>
      <c r="K93" s="15" t="s">
        <v>192</v>
      </c>
      <c r="M93" s="16" t="str">
        <f>CONCATENATE(Registro!$C93,Registro!$D93)</f>
        <v>Netflix1 pantalla</v>
      </c>
    </row>
    <row r="94" spans="1:13" ht="15.75" customHeight="1">
      <c r="A94" s="7" t="s">
        <v>197</v>
      </c>
      <c r="B94" s="8" t="s">
        <v>198</v>
      </c>
      <c r="C94" s="9" t="s">
        <v>17</v>
      </c>
      <c r="D94" s="8"/>
      <c r="E94" s="17" t="s">
        <v>197</v>
      </c>
      <c r="F94" s="8" t="s">
        <v>164</v>
      </c>
      <c r="G94" s="18"/>
      <c r="H94" s="13">
        <f>VLOOKUP(M94,'Listado Precios'!$A:$C,3,0)</f>
        <v>8000</v>
      </c>
      <c r="I94" s="13">
        <f>VLOOKUP(M94,'Listado Precios'!$A:$C,2,0)</f>
        <v>5280</v>
      </c>
      <c r="J94" s="14">
        <v>46034</v>
      </c>
      <c r="K94" s="15" t="s">
        <v>199</v>
      </c>
      <c r="M94" s="16" t="str">
        <f>CONCATENATE(Registro!$C94,Registro!$D94)</f>
        <v>Spotify</v>
      </c>
    </row>
    <row r="95" spans="1:13" ht="15.75" customHeight="1">
      <c r="A95" s="7" t="s">
        <v>200</v>
      </c>
      <c r="B95" s="8" t="s">
        <v>201</v>
      </c>
      <c r="C95" s="9" t="s">
        <v>17</v>
      </c>
      <c r="D95" s="8"/>
      <c r="E95" s="17" t="s">
        <v>202</v>
      </c>
      <c r="F95" s="121" t="s">
        <v>203</v>
      </c>
      <c r="G95" s="18"/>
      <c r="H95" s="13">
        <f>VLOOKUP(M95,'Listado Precios'!$A:$C,3,0)</f>
        <v>8000</v>
      </c>
      <c r="I95" s="13">
        <f>VLOOKUP(M95,'Listado Precios'!$A:$C,2,0)</f>
        <v>5280</v>
      </c>
      <c r="J95" s="109">
        <v>45925</v>
      </c>
      <c r="K95" s="15" t="s">
        <v>199</v>
      </c>
      <c r="M95" s="16" t="str">
        <f>CONCATENATE(Registro!$C95,Registro!$D95)</f>
        <v>Spotify</v>
      </c>
    </row>
    <row r="96" spans="1:13" ht="15.75" customHeight="1">
      <c r="A96" s="7" t="s">
        <v>204</v>
      </c>
      <c r="B96" s="8" t="s">
        <v>205</v>
      </c>
      <c r="C96" s="9" t="s">
        <v>22</v>
      </c>
      <c r="D96" s="8" t="s">
        <v>14</v>
      </c>
      <c r="E96" s="17"/>
      <c r="F96" s="8"/>
      <c r="G96" s="18"/>
      <c r="H96" s="13">
        <f>VLOOKUP(M96,'Listado Precios'!$A:$C,3,0)</f>
        <v>13000</v>
      </c>
      <c r="I96" s="13">
        <f>VLOOKUP(M96,'Listado Precios'!$A:$C,2,0)</f>
        <v>7600</v>
      </c>
      <c r="J96" s="109">
        <v>45934</v>
      </c>
      <c r="K96" s="15" t="s">
        <v>199</v>
      </c>
      <c r="M96" s="16" t="str">
        <f>CONCATENATE(Registro!$C96,Registro!$D96)</f>
        <v>Netflix1 pantalla</v>
      </c>
    </row>
    <row r="97" spans="1:13" ht="15.75" customHeight="1">
      <c r="A97" s="7" t="s">
        <v>206</v>
      </c>
      <c r="B97" s="8" t="s">
        <v>207</v>
      </c>
      <c r="C97" s="9" t="s">
        <v>25</v>
      </c>
      <c r="D97" s="8" t="s">
        <v>14</v>
      </c>
      <c r="E97" s="17"/>
      <c r="F97" s="8"/>
      <c r="G97" s="18"/>
      <c r="H97" s="13">
        <f>VLOOKUP(M97,'Listado Precios'!$A:$C,3,0)</f>
        <v>8000</v>
      </c>
      <c r="I97" s="13">
        <f>VLOOKUP(M97,'Listado Precios'!$A:$C,2,0)</f>
        <v>5000</v>
      </c>
      <c r="J97" s="109">
        <v>45875</v>
      </c>
      <c r="K97" s="15" t="s">
        <v>199</v>
      </c>
      <c r="M97" s="16" t="str">
        <f>CONCATENATE(Registro!$C97,Registro!$D97)</f>
        <v>HBO1 pantalla</v>
      </c>
    </row>
    <row r="98" spans="1:13" ht="15.75" customHeight="1">
      <c r="A98" s="7" t="s">
        <v>206</v>
      </c>
      <c r="B98" s="8" t="s">
        <v>207</v>
      </c>
      <c r="C98" s="9" t="s">
        <v>13</v>
      </c>
      <c r="D98" s="8" t="s">
        <v>14</v>
      </c>
      <c r="E98" s="17"/>
      <c r="F98" s="8"/>
      <c r="G98" s="18"/>
      <c r="H98" s="13">
        <f>VLOOKUP(M98,'Listado Precios'!$A:$C,3,0)</f>
        <v>8000</v>
      </c>
      <c r="I98" s="13">
        <f>VLOOKUP(M98,'Listado Precios'!$A:$C,2,0)</f>
        <v>5000</v>
      </c>
      <c r="J98" s="109">
        <v>45875</v>
      </c>
      <c r="K98" s="15" t="s">
        <v>199</v>
      </c>
      <c r="M98" s="16" t="str">
        <f>CONCATENATE(Registro!$C98,Registro!$D98)</f>
        <v>PrimeVideo1 pantalla</v>
      </c>
    </row>
    <row r="99" spans="1:13" ht="15.75" customHeight="1">
      <c r="A99" s="19" t="s">
        <v>208</v>
      </c>
      <c r="B99" s="17" t="s">
        <v>209</v>
      </c>
      <c r="C99" s="8" t="s">
        <v>22</v>
      </c>
      <c r="D99" s="9" t="s">
        <v>14</v>
      </c>
      <c r="E99" s="20" t="s">
        <v>210</v>
      </c>
      <c r="F99" s="8"/>
      <c r="G99" s="12"/>
      <c r="H99" s="13">
        <f>VLOOKUP(M99,'Listado Precios'!$A:$C,3,0)</f>
        <v>13000</v>
      </c>
      <c r="I99" s="13">
        <f>VLOOKUP(M99,'Listado Precios'!$A:$C,2,0)</f>
        <v>7600</v>
      </c>
      <c r="J99" s="109">
        <v>45832</v>
      </c>
      <c r="K99" s="15" t="s">
        <v>199</v>
      </c>
      <c r="M99" s="16" t="str">
        <f>CONCATENATE(Registro!$C99,Registro!$D99)</f>
        <v>Netflix1 pantalla</v>
      </c>
    </row>
    <row r="100" spans="1:13" ht="15.75" customHeight="1">
      <c r="A100" s="19" t="s">
        <v>211</v>
      </c>
      <c r="B100" s="17" t="s">
        <v>212</v>
      </c>
      <c r="C100" s="8" t="s">
        <v>22</v>
      </c>
      <c r="D100" s="8" t="s">
        <v>14</v>
      </c>
      <c r="E100" s="17"/>
      <c r="F100" s="8"/>
      <c r="G100" s="18"/>
      <c r="H100" s="13">
        <f>VLOOKUP(M100,'Listado Precios'!$A:$C,3,0)</f>
        <v>13000</v>
      </c>
      <c r="I100" s="13">
        <f>VLOOKUP(M100,'Listado Precios'!$A:$C,2,0)</f>
        <v>7600</v>
      </c>
      <c r="J100" s="109">
        <v>45764</v>
      </c>
      <c r="K100" s="15" t="s">
        <v>213</v>
      </c>
      <c r="M100" s="16" t="str">
        <f>CONCATENATE(Registro!$C100,Registro!$D100)</f>
        <v>Netflix1 pantalla</v>
      </c>
    </row>
    <row r="101" spans="1:13" ht="15.75" customHeight="1">
      <c r="A101" s="7" t="s">
        <v>106</v>
      </c>
      <c r="B101" s="8" t="s">
        <v>214</v>
      </c>
      <c r="C101" s="8" t="s">
        <v>17</v>
      </c>
      <c r="D101" s="8"/>
      <c r="E101" s="17" t="s">
        <v>215</v>
      </c>
      <c r="F101" s="8" t="s">
        <v>47</v>
      </c>
      <c r="G101" s="18"/>
      <c r="H101" s="13">
        <f>VLOOKUP(M101,'Listado Precios'!$A:$C,3,0)</f>
        <v>8000</v>
      </c>
      <c r="I101" s="13">
        <f>VLOOKUP(M101,'Listado Precios'!$A:$C,2,0)</f>
        <v>5280</v>
      </c>
      <c r="J101" s="109">
        <v>45804</v>
      </c>
      <c r="K101" s="15" t="s">
        <v>216</v>
      </c>
      <c r="M101" s="16" t="str">
        <f>CONCATENATE(Registro!$C101,Registro!$D101)</f>
        <v>Spotify</v>
      </c>
    </row>
    <row r="102" spans="1:13" ht="15.75" customHeight="1">
      <c r="A102" s="7" t="s">
        <v>217</v>
      </c>
      <c r="B102" s="8" t="s">
        <v>218</v>
      </c>
      <c r="C102" s="9" t="s">
        <v>22</v>
      </c>
      <c r="D102" s="8" t="s">
        <v>144</v>
      </c>
      <c r="E102" s="17"/>
      <c r="F102" s="8"/>
      <c r="G102" s="18"/>
      <c r="H102" s="13" t="e">
        <f>VLOOKUP(M102,'Listado Precios'!$A:$C,3,0)</f>
        <v>#N/A</v>
      </c>
      <c r="I102" s="13" t="e">
        <f>VLOOKUP(M102,'Listado Precios'!$A:$C,2,0)</f>
        <v>#N/A</v>
      </c>
      <c r="J102" s="118">
        <v>45783</v>
      </c>
      <c r="K102" s="15" t="s">
        <v>219</v>
      </c>
      <c r="M102" s="16" t="str">
        <f>CONCATENATE(Registro!$C102,Registro!$D102)</f>
        <v xml:space="preserve">Netflix2 pantallas </v>
      </c>
    </row>
    <row r="103" spans="1:13" ht="15.75" customHeight="1">
      <c r="A103" s="7" t="s">
        <v>217</v>
      </c>
      <c r="B103" s="8" t="s">
        <v>218</v>
      </c>
      <c r="C103" s="8" t="s">
        <v>13</v>
      </c>
      <c r="D103" s="8" t="s">
        <v>14</v>
      </c>
      <c r="E103" s="17"/>
      <c r="F103" s="8"/>
      <c r="G103" s="18"/>
      <c r="H103" s="13">
        <f>VLOOKUP(M103,'Listado Precios'!$A:$C,3,0)</f>
        <v>8000</v>
      </c>
      <c r="I103" s="13">
        <f>VLOOKUP(M103,'Listado Precios'!$A:$C,2,0)</f>
        <v>5000</v>
      </c>
      <c r="J103" s="118">
        <v>45783</v>
      </c>
      <c r="K103" s="15" t="s">
        <v>219</v>
      </c>
      <c r="M103" s="16" t="str">
        <f>CONCATENATE(Registro!$C103,Registro!$D103)</f>
        <v>PrimeVideo1 pantalla</v>
      </c>
    </row>
    <row r="104" spans="1:13" ht="15.75" customHeight="1">
      <c r="A104" s="7" t="s">
        <v>220</v>
      </c>
      <c r="B104" s="8" t="s">
        <v>221</v>
      </c>
      <c r="C104" s="9" t="s">
        <v>17</v>
      </c>
      <c r="D104" s="8"/>
      <c r="E104" s="20" t="s">
        <v>222</v>
      </c>
      <c r="F104" s="8" t="s">
        <v>47</v>
      </c>
      <c r="G104" s="12"/>
      <c r="H104" s="13">
        <f>VLOOKUP(M104,'Listado Precios'!$A:$C,3,0)</f>
        <v>8000</v>
      </c>
      <c r="I104" s="13">
        <f>VLOOKUP(M104,'Listado Precios'!$A:$C,2,0)</f>
        <v>5280</v>
      </c>
      <c r="J104" s="118">
        <v>45621</v>
      </c>
      <c r="K104" s="15" t="s">
        <v>223</v>
      </c>
      <c r="M104" s="16" t="str">
        <f>CONCATENATE(Registro!$C104,Registro!$D104)</f>
        <v>Spotify</v>
      </c>
    </row>
    <row r="105" spans="1:13" ht="15.75" customHeight="1">
      <c r="A105" s="63" t="s">
        <v>224</v>
      </c>
      <c r="B105" s="63" t="s">
        <v>225</v>
      </c>
      <c r="C105" s="9" t="s">
        <v>22</v>
      </c>
      <c r="D105" s="8" t="s">
        <v>14</v>
      </c>
      <c r="E105" s="17"/>
      <c r="F105" s="8"/>
      <c r="G105" s="18"/>
      <c r="H105" s="13">
        <f>VLOOKUP(M105,'Listado Precios'!$A:$C,3,0)</f>
        <v>13000</v>
      </c>
      <c r="I105" s="13">
        <f>VLOOKUP(M105,'Listado Precios'!$A:$C,2,0)</f>
        <v>7600</v>
      </c>
      <c r="J105" s="109">
        <v>45981</v>
      </c>
      <c r="K105" s="15" t="s">
        <v>226</v>
      </c>
      <c r="M105" s="16" t="str">
        <f>CONCATENATE(Registro!$C105,Registro!$D105)</f>
        <v>Netflix1 pantalla</v>
      </c>
    </row>
    <row r="106" spans="1:13" ht="15.75" customHeight="1">
      <c r="A106" s="7" t="s">
        <v>136</v>
      </c>
      <c r="B106" s="8" t="s">
        <v>137</v>
      </c>
      <c r="C106" s="8" t="s">
        <v>77</v>
      </c>
      <c r="D106" s="9" t="s">
        <v>14</v>
      </c>
      <c r="E106" s="60"/>
      <c r="F106" s="8"/>
      <c r="G106" s="12"/>
      <c r="H106" s="13" t="e">
        <f>VLOOKUP(M106,'Listado Precios'!$A:$C,3,0)</f>
        <v>#N/A</v>
      </c>
      <c r="I106" s="13" t="e">
        <f>VLOOKUP(M106,'Listado Precios'!$A:$C,2,0)</f>
        <v>#N/A</v>
      </c>
      <c r="J106" s="109">
        <v>45832</v>
      </c>
      <c r="K106" s="15"/>
      <c r="M106" s="16" t="str">
        <f>CONCATENATE(Registro!$C106,Registro!$D106)</f>
        <v>Paramount1 pantalla</v>
      </c>
    </row>
    <row r="107" spans="1:13" ht="15.75" customHeight="1">
      <c r="A107" s="123" t="s">
        <v>39</v>
      </c>
      <c r="B107" s="8" t="s">
        <v>40</v>
      </c>
      <c r="C107" s="8" t="s">
        <v>25</v>
      </c>
      <c r="D107" s="8" t="s">
        <v>14</v>
      </c>
      <c r="E107" s="17"/>
      <c r="F107" s="8"/>
      <c r="G107" s="18"/>
      <c r="H107" s="13">
        <f>VLOOKUP(M107,'Listado Precios'!$A:$C,3,0)</f>
        <v>8000</v>
      </c>
      <c r="I107" s="13">
        <f>VLOOKUP(M107,'Listado Precios'!$A:$C,2,0)</f>
        <v>5000</v>
      </c>
      <c r="J107" s="14">
        <v>46133</v>
      </c>
      <c r="K107" s="15"/>
      <c r="M107" s="16" t="str">
        <f>CONCATENATE(Registro!$C107,Registro!$D107)</f>
        <v>HBO1 pantalla</v>
      </c>
    </row>
    <row r="108" spans="1:13" ht="15.75" customHeight="1">
      <c r="A108" s="7" t="s">
        <v>227</v>
      </c>
      <c r="B108" s="8" t="s">
        <v>119</v>
      </c>
      <c r="C108" s="9" t="s">
        <v>25</v>
      </c>
      <c r="D108" s="8" t="s">
        <v>14</v>
      </c>
      <c r="E108" s="17"/>
      <c r="F108" s="8"/>
      <c r="G108" s="18"/>
      <c r="H108" s="13">
        <f>VLOOKUP(M108,'Listado Precios'!$A:$C,3,0)</f>
        <v>8000</v>
      </c>
      <c r="I108" s="13">
        <f>VLOOKUP(M108,'Listado Precios'!$A:$C,2,0)</f>
        <v>5000</v>
      </c>
      <c r="J108" s="109">
        <v>46194</v>
      </c>
      <c r="K108" s="15"/>
      <c r="M108" s="16" t="str">
        <f>CONCATENATE(Registro!$C108,Registro!$D108)</f>
        <v>HBO1 pantalla</v>
      </c>
    </row>
    <row r="109" spans="1:13" ht="15.75" customHeight="1">
      <c r="A109" s="7" t="s">
        <v>228</v>
      </c>
      <c r="B109" s="8" t="s">
        <v>229</v>
      </c>
      <c r="C109" s="8" t="s">
        <v>22</v>
      </c>
      <c r="D109" s="8" t="s">
        <v>14</v>
      </c>
      <c r="E109" s="17"/>
      <c r="F109" s="8"/>
      <c r="G109" s="18"/>
      <c r="H109" s="13">
        <f>VLOOKUP(M109,'Listado Precios'!$A:$C,3,0)</f>
        <v>13000</v>
      </c>
      <c r="I109" s="13">
        <f>VLOOKUP(M109,'Listado Precios'!$A:$C,2,0)</f>
        <v>7600</v>
      </c>
      <c r="J109" s="109">
        <v>45809</v>
      </c>
      <c r="K109" s="15"/>
      <c r="M109" s="16" t="str">
        <f>CONCATENATE(Registro!$C109,Registro!$D109)</f>
        <v>Netflix1 pantalla</v>
      </c>
    </row>
    <row r="110" spans="1:13" ht="15.75" customHeight="1">
      <c r="A110" s="19" t="s">
        <v>230</v>
      </c>
      <c r="B110" s="17" t="s">
        <v>231</v>
      </c>
      <c r="C110" s="8" t="s">
        <v>43</v>
      </c>
      <c r="D110" s="8" t="s">
        <v>14</v>
      </c>
      <c r="E110" s="17"/>
      <c r="F110" s="8"/>
      <c r="G110" s="18"/>
      <c r="H110" s="13">
        <f>VLOOKUP(M110,'Listado Precios'!$A:$C,3,0)</f>
        <v>12000</v>
      </c>
      <c r="I110" s="13">
        <f>VLOOKUP(M110,'Listado Precios'!$A:$C,2,0)</f>
        <v>7000</v>
      </c>
      <c r="J110" s="109">
        <v>46114</v>
      </c>
      <c r="K110" s="15"/>
      <c r="M110" s="16" t="str">
        <f>CONCATENATE(Registro!$C110,Registro!$D110)</f>
        <v>DisneyP1 pantalla</v>
      </c>
    </row>
    <row r="111" spans="1:13" ht="15.75" customHeight="1">
      <c r="A111" s="7" t="s">
        <v>232</v>
      </c>
      <c r="B111" s="8" t="s">
        <v>233</v>
      </c>
      <c r="C111" s="8" t="s">
        <v>22</v>
      </c>
      <c r="D111" s="8" t="s">
        <v>14</v>
      </c>
      <c r="E111" s="17"/>
      <c r="F111" s="8"/>
      <c r="G111" s="18"/>
      <c r="H111" s="13">
        <f>VLOOKUP(M111,'Listado Precios'!$A:$C,3,0)</f>
        <v>13000</v>
      </c>
      <c r="I111" s="13">
        <f>VLOOKUP(M111,'Listado Precios'!$A:$C,2,0)</f>
        <v>7600</v>
      </c>
      <c r="J111" s="109">
        <v>46129</v>
      </c>
      <c r="K111" s="15"/>
      <c r="M111" s="16" t="str">
        <f>CONCATENATE(Registro!$C111,Registro!$D111)</f>
        <v>Netflix1 pantalla</v>
      </c>
    </row>
    <row r="112" spans="1:13" ht="15.75" customHeight="1">
      <c r="A112" s="7" t="s">
        <v>136</v>
      </c>
      <c r="B112" s="8" t="s">
        <v>137</v>
      </c>
      <c r="C112" s="9" t="s">
        <v>13</v>
      </c>
      <c r="D112" s="8" t="s">
        <v>14</v>
      </c>
      <c r="E112" s="17"/>
      <c r="F112" s="8"/>
      <c r="G112" s="18"/>
      <c r="H112" s="13">
        <f>VLOOKUP(M112,'Listado Precios'!$A:$C,3,0)</f>
        <v>8000</v>
      </c>
      <c r="I112" s="13">
        <f>VLOOKUP(M112,'Listado Precios'!$A:$C,2,0)</f>
        <v>5000</v>
      </c>
      <c r="J112" s="109">
        <v>46196</v>
      </c>
      <c r="K112" s="15"/>
      <c r="M112" s="16" t="str">
        <f>CONCATENATE(Registro!$C112,Registro!$D112)</f>
        <v>PrimeVideo1 pantalla</v>
      </c>
    </row>
    <row r="113" spans="1:13" ht="15.75" customHeight="1">
      <c r="A113" s="19" t="s">
        <v>234</v>
      </c>
      <c r="B113" s="17" t="s">
        <v>235</v>
      </c>
      <c r="C113" s="8" t="s">
        <v>19</v>
      </c>
      <c r="D113" s="9"/>
      <c r="E113" s="20"/>
      <c r="F113" s="8"/>
      <c r="G113" s="12"/>
      <c r="H113" s="13">
        <f>VLOOKUP(M113,'Listado Precios'!$A:$C,3,0)</f>
        <v>25000</v>
      </c>
      <c r="I113" s="13">
        <f>VLOOKUP(M113,'Listado Precios'!$A:$C,2,0)</f>
        <v>13000</v>
      </c>
      <c r="J113" s="115">
        <v>46184</v>
      </c>
      <c r="K113" s="15"/>
      <c r="M113" s="16" t="str">
        <f>CONCATENATE(Registro!$C113,Registro!$D113)</f>
        <v>ChatGPT</v>
      </c>
    </row>
    <row r="114" spans="1:13" ht="15.75" customHeight="1">
      <c r="A114" s="19" t="s">
        <v>236</v>
      </c>
      <c r="B114" s="17" t="s">
        <v>237</v>
      </c>
      <c r="C114" s="9" t="s">
        <v>238</v>
      </c>
      <c r="D114" s="9" t="s">
        <v>14</v>
      </c>
      <c r="E114" s="20" t="s">
        <v>239</v>
      </c>
      <c r="F114" s="8" t="s">
        <v>240</v>
      </c>
      <c r="G114" s="12" t="s">
        <v>241</v>
      </c>
      <c r="H114" s="13">
        <f>VLOOKUP(M114,'Listado Precios'!$A:$C,3,0)</f>
        <v>40000</v>
      </c>
      <c r="I114" s="13">
        <f>VLOOKUP(M114,'Listado Precios'!$A:$C,2,0)</f>
        <v>34250</v>
      </c>
      <c r="J114" s="109">
        <v>45536</v>
      </c>
      <c r="K114" s="15"/>
      <c r="M114" s="16" t="str">
        <f>CONCATENATE(Registro!$C114,Registro!$D114)</f>
        <v>Directv GO1 pantalla</v>
      </c>
    </row>
    <row r="115" spans="1:13" ht="15.75" customHeight="1">
      <c r="A115" s="7" t="s">
        <v>242</v>
      </c>
      <c r="B115" s="8" t="s">
        <v>243</v>
      </c>
      <c r="C115" s="9" t="s">
        <v>238</v>
      </c>
      <c r="D115" s="10" t="s">
        <v>14</v>
      </c>
      <c r="E115" s="11"/>
      <c r="F115" s="8"/>
      <c r="G115" s="12"/>
      <c r="H115" s="13">
        <f>VLOOKUP(M115,'Listado Precios'!$A:$C,3,0)</f>
        <v>40000</v>
      </c>
      <c r="I115" s="13">
        <f>VLOOKUP(M115,'Listado Precios'!$A:$C,2,0)</f>
        <v>34250</v>
      </c>
      <c r="J115" s="14">
        <v>45471</v>
      </c>
      <c r="K115" s="15"/>
      <c r="M115" s="16" t="str">
        <f>CONCATENATE(Registro!$C115,Registro!$D115)</f>
        <v>Directv GO1 pantalla</v>
      </c>
    </row>
    <row r="116" spans="1:13" ht="15.75" customHeight="1">
      <c r="A116" s="7" t="s">
        <v>244</v>
      </c>
      <c r="B116" s="8" t="s">
        <v>245</v>
      </c>
      <c r="C116" s="9" t="s">
        <v>77</v>
      </c>
      <c r="D116" s="8" t="s">
        <v>14</v>
      </c>
      <c r="E116" s="17"/>
      <c r="F116" s="8"/>
      <c r="G116" s="18"/>
      <c r="H116" s="13" t="e">
        <f>VLOOKUP(M116,'Listado Precios'!$A:$C,3,0)</f>
        <v>#N/A</v>
      </c>
      <c r="I116" s="13" t="e">
        <f>VLOOKUP(M116,'Listado Precios'!$A:$C,2,0)</f>
        <v>#N/A</v>
      </c>
      <c r="J116" s="109">
        <v>45858</v>
      </c>
      <c r="K116" s="15"/>
      <c r="M116" s="16" t="str">
        <f>CONCATENATE(Registro!$C116,Registro!$D116)</f>
        <v>Paramount1 pantalla</v>
      </c>
    </row>
    <row r="117" spans="1:13" ht="15.75" customHeight="1">
      <c r="A117" s="7" t="s">
        <v>246</v>
      </c>
      <c r="B117" s="8" t="s">
        <v>247</v>
      </c>
      <c r="C117" s="9" t="s">
        <v>77</v>
      </c>
      <c r="D117" s="8" t="s">
        <v>14</v>
      </c>
      <c r="E117" s="17"/>
      <c r="F117" s="8"/>
      <c r="G117" s="18"/>
      <c r="H117" s="13" t="e">
        <f>VLOOKUP(M117,'Listado Precios'!$A:$C,3,0)</f>
        <v>#N/A</v>
      </c>
      <c r="I117" s="13" t="e">
        <f>VLOOKUP(M117,'Listado Precios'!$A:$C,2,0)</f>
        <v>#N/A</v>
      </c>
      <c r="J117" s="118">
        <v>45690</v>
      </c>
      <c r="K117" s="15"/>
      <c r="M117" s="16" t="str">
        <f>CONCATENATE(Registro!$C117,Registro!$D117)</f>
        <v>Paramount1 pantalla</v>
      </c>
    </row>
    <row r="118" spans="1:13" ht="15.75" customHeight="1">
      <c r="A118" s="7" t="s">
        <v>248</v>
      </c>
      <c r="B118" s="8" t="s">
        <v>249</v>
      </c>
      <c r="C118" s="8" t="s">
        <v>17</v>
      </c>
      <c r="D118" s="8"/>
      <c r="E118" s="17" t="s">
        <v>250</v>
      </c>
      <c r="F118" s="8" t="s">
        <v>164</v>
      </c>
      <c r="G118" s="18"/>
      <c r="H118" s="13">
        <f>VLOOKUP(M118,'Listado Precios'!$A:$C,3,0)</f>
        <v>8000</v>
      </c>
      <c r="I118" s="13">
        <f>VLOOKUP(M118,'Listado Precios'!$A:$C,2,0)</f>
        <v>5280</v>
      </c>
      <c r="J118" s="109">
        <v>46129</v>
      </c>
      <c r="K118" s="15"/>
      <c r="M118" s="16" t="str">
        <f>CONCATENATE(Registro!$C118,Registro!$D118)</f>
        <v>Spotify</v>
      </c>
    </row>
    <row r="119" spans="1:13" ht="15.75" customHeight="1">
      <c r="A119" s="7" t="s">
        <v>248</v>
      </c>
      <c r="B119" s="8" t="s">
        <v>249</v>
      </c>
      <c r="C119" s="9" t="s">
        <v>238</v>
      </c>
      <c r="D119" s="8" t="s">
        <v>14</v>
      </c>
      <c r="E119" s="17" t="s">
        <v>251</v>
      </c>
      <c r="F119" s="8" t="s">
        <v>252</v>
      </c>
      <c r="G119" s="18"/>
      <c r="H119" s="13">
        <f>VLOOKUP(M119,'Listado Precios'!$A:$C,3,0)</f>
        <v>40000</v>
      </c>
      <c r="I119" s="13">
        <f>VLOOKUP(M119,'Listado Precios'!$A:$C,2,0)</f>
        <v>34250</v>
      </c>
      <c r="J119" s="14">
        <v>46189</v>
      </c>
      <c r="K119" s="15"/>
      <c r="M119" s="16" t="str">
        <f>CONCATENATE(Registro!$C119,Registro!$D119)</f>
        <v>Directv GO1 pantalla</v>
      </c>
    </row>
    <row r="120" spans="1:13" ht="15.75" customHeight="1">
      <c r="A120" s="7" t="s">
        <v>236</v>
      </c>
      <c r="B120" s="8" t="s">
        <v>253</v>
      </c>
      <c r="C120" s="9" t="s">
        <v>43</v>
      </c>
      <c r="D120" s="8" t="s">
        <v>14</v>
      </c>
      <c r="E120" s="17" t="s">
        <v>254</v>
      </c>
      <c r="F120" s="8" t="s">
        <v>255</v>
      </c>
      <c r="G120" s="18"/>
      <c r="H120" s="13">
        <f>VLOOKUP(M120,'Listado Precios'!$A:$C,3,0)</f>
        <v>12000</v>
      </c>
      <c r="I120" s="13">
        <f>VLOOKUP(M120,'Listado Precios'!$A:$C,2,0)</f>
        <v>7000</v>
      </c>
      <c r="J120" s="14">
        <v>45739</v>
      </c>
      <c r="K120" s="15"/>
      <c r="M120" s="16" t="str">
        <f>CONCATENATE(Registro!$C120,Registro!$D120)</f>
        <v>DisneyP1 pantalla</v>
      </c>
    </row>
    <row r="121" spans="1:13" ht="15.75" customHeight="1">
      <c r="A121" s="19" t="s">
        <v>256</v>
      </c>
      <c r="B121" s="17" t="s">
        <v>257</v>
      </c>
      <c r="C121" s="8" t="s">
        <v>43</v>
      </c>
      <c r="D121" s="9" t="s">
        <v>14</v>
      </c>
      <c r="E121" s="191" t="s">
        <v>258</v>
      </c>
      <c r="F121" s="8" t="s">
        <v>259</v>
      </c>
      <c r="G121" s="12" t="s">
        <v>260</v>
      </c>
      <c r="H121" s="13">
        <f>VLOOKUP(M121,'Listado Precios'!$A:$C,3,0)</f>
        <v>12000</v>
      </c>
      <c r="I121" s="13">
        <f>VLOOKUP(M121,'Listado Precios'!$A:$C,2,0)</f>
        <v>7000</v>
      </c>
      <c r="J121" s="109">
        <v>45536</v>
      </c>
      <c r="K121" s="15"/>
      <c r="M121" s="16" t="str">
        <f>CONCATENATE(Registro!$C121,Registro!$D121)</f>
        <v>DisneyP1 pantalla</v>
      </c>
    </row>
    <row r="122" spans="1:13" ht="15.75" customHeight="1">
      <c r="A122" s="7" t="s">
        <v>261</v>
      </c>
      <c r="B122" s="8" t="s">
        <v>262</v>
      </c>
      <c r="C122" s="9" t="s">
        <v>263</v>
      </c>
      <c r="D122" s="8" t="s">
        <v>14</v>
      </c>
      <c r="E122" s="17"/>
      <c r="F122" s="8"/>
      <c r="G122" s="18"/>
      <c r="H122" s="13">
        <f>VLOOKUP(M122,'Listado Precios'!$A:$C,3,0)</f>
        <v>8000</v>
      </c>
      <c r="I122" s="13">
        <f>VLOOKUP(M122,'Listado Precios'!$A:$C,2,0)</f>
        <v>5000</v>
      </c>
      <c r="J122" s="109">
        <v>45878</v>
      </c>
      <c r="K122" s="15"/>
      <c r="M122" s="16" t="str">
        <f>CONCATENATE(Registro!$C122,Registro!$D122)</f>
        <v>Vix1 pantalla</v>
      </c>
    </row>
    <row r="123" spans="1:13" ht="15.75" customHeight="1">
      <c r="A123" s="19" t="s">
        <v>264</v>
      </c>
      <c r="B123" s="17" t="s">
        <v>265</v>
      </c>
      <c r="C123" s="8" t="s">
        <v>22</v>
      </c>
      <c r="D123" s="8" t="s">
        <v>14</v>
      </c>
      <c r="E123" s="17"/>
      <c r="F123" s="8"/>
      <c r="G123" s="18"/>
      <c r="H123" s="13">
        <f>VLOOKUP(M123,'Listado Precios'!$A:$C,3,0)</f>
        <v>13000</v>
      </c>
      <c r="I123" s="13">
        <f>VLOOKUP(M123,'Listado Precios'!$A:$C,2,0)</f>
        <v>7600</v>
      </c>
      <c r="J123" s="109">
        <v>46182</v>
      </c>
      <c r="K123" s="15"/>
      <c r="M123" s="16" t="str">
        <f>CONCATENATE(Registro!$C123,Registro!$D123)</f>
        <v>Netflix1 pantalla</v>
      </c>
    </row>
    <row r="124" spans="1:13" ht="15.75" customHeight="1">
      <c r="A124" s="123" t="s">
        <v>266</v>
      </c>
      <c r="B124" s="8" t="s">
        <v>267</v>
      </c>
      <c r="C124" s="9" t="s">
        <v>22</v>
      </c>
      <c r="D124" s="8" t="s">
        <v>14</v>
      </c>
      <c r="E124" s="17" t="s">
        <v>268</v>
      </c>
      <c r="F124" s="8" t="s">
        <v>269</v>
      </c>
      <c r="G124" s="18"/>
      <c r="H124" s="13">
        <f>VLOOKUP(M124,'Listado Precios'!$A:$C,3,0)</f>
        <v>13000</v>
      </c>
      <c r="I124" s="13">
        <f>VLOOKUP(M124,'Listado Precios'!$A:$C,2,0)</f>
        <v>7600</v>
      </c>
      <c r="J124" s="109">
        <v>45536</v>
      </c>
      <c r="K124" s="15"/>
      <c r="M124" s="16" t="str">
        <f>CONCATENATE(Registro!$C124,Registro!$D124)</f>
        <v>Netflix1 pantalla</v>
      </c>
    </row>
    <row r="125" spans="1:13" ht="15.75" customHeight="1">
      <c r="A125" s="7" t="s">
        <v>270</v>
      </c>
      <c r="B125" s="8" t="s">
        <v>271</v>
      </c>
      <c r="C125" s="8" t="s">
        <v>25</v>
      </c>
      <c r="D125" s="9" t="s">
        <v>14</v>
      </c>
      <c r="E125" s="20" t="s">
        <v>272</v>
      </c>
      <c r="F125" s="8" t="s">
        <v>273</v>
      </c>
      <c r="G125" s="12" t="s">
        <v>274</v>
      </c>
      <c r="H125" s="13">
        <f>VLOOKUP(M125,'Listado Precios'!$A:$C,3,0)</f>
        <v>8000</v>
      </c>
      <c r="I125" s="13">
        <f>VLOOKUP(M125,'Listado Precios'!$A:$C,2,0)</f>
        <v>5000</v>
      </c>
      <c r="J125" s="109">
        <v>45536</v>
      </c>
      <c r="K125" s="15"/>
      <c r="M125" s="16" t="str">
        <f>CONCATENATE(Registro!$C125,Registro!$D125)</f>
        <v>HBO1 pantalla</v>
      </c>
    </row>
    <row r="126" spans="1:13" ht="15.75" customHeight="1">
      <c r="A126" s="19" t="s">
        <v>275</v>
      </c>
      <c r="B126" s="17" t="s">
        <v>276</v>
      </c>
      <c r="C126" s="8" t="s">
        <v>22</v>
      </c>
      <c r="D126" s="8" t="s">
        <v>14</v>
      </c>
      <c r="E126" s="17"/>
      <c r="F126" s="8"/>
      <c r="G126" s="18"/>
      <c r="H126" s="13">
        <f>VLOOKUP(M126,'Listado Precios'!$A:$C,3,0)</f>
        <v>13000</v>
      </c>
      <c r="I126" s="13">
        <f>VLOOKUP(M126,'Listado Precios'!$A:$C,2,0)</f>
        <v>7600</v>
      </c>
      <c r="J126" s="115">
        <v>46082</v>
      </c>
      <c r="K126" s="15"/>
      <c r="M126" s="16" t="str">
        <f>CONCATENATE(Registro!$C126,Registro!$D126)</f>
        <v>Netflix1 pantalla</v>
      </c>
    </row>
    <row r="127" spans="1:13" ht="15.75" customHeight="1">
      <c r="A127" s="19" t="s">
        <v>277</v>
      </c>
      <c r="B127" s="17" t="s">
        <v>278</v>
      </c>
      <c r="C127" s="9" t="s">
        <v>77</v>
      </c>
      <c r="D127" s="8" t="s">
        <v>14</v>
      </c>
      <c r="E127" s="17"/>
      <c r="F127" s="8"/>
      <c r="G127" s="18"/>
      <c r="H127" s="13" t="e">
        <f>VLOOKUP(M127,'Listado Precios'!$A:$C,3,0)</f>
        <v>#N/A</v>
      </c>
      <c r="I127" s="13" t="e">
        <f>VLOOKUP(M127,'Listado Precios'!$A:$C,2,0)</f>
        <v>#N/A</v>
      </c>
      <c r="J127" s="118">
        <v>46189</v>
      </c>
      <c r="K127" s="15"/>
      <c r="M127" s="16" t="str">
        <f>CONCATENATE(Registro!$C127,Registro!$D127)</f>
        <v>Paramount1 pantalla</v>
      </c>
    </row>
    <row r="128" spans="1:13" ht="15.75" customHeight="1">
      <c r="A128" s="7" t="s">
        <v>28</v>
      </c>
      <c r="B128" s="8" t="s">
        <v>29</v>
      </c>
      <c r="C128" s="9" t="s">
        <v>77</v>
      </c>
      <c r="D128" s="8" t="s">
        <v>14</v>
      </c>
      <c r="E128" s="17"/>
      <c r="F128" s="8"/>
      <c r="G128" s="18"/>
      <c r="H128" s="13" t="e">
        <f>VLOOKUP(M128,'Listado Precios'!$A:$C,3,0)</f>
        <v>#N/A</v>
      </c>
      <c r="I128" s="13" t="e">
        <f>VLOOKUP(M128,'Listado Precios'!$A:$C,2,0)</f>
        <v>#N/A</v>
      </c>
      <c r="J128" s="118">
        <v>46189</v>
      </c>
      <c r="K128" s="15"/>
      <c r="M128" s="16" t="str">
        <f>CONCATENATE(Registro!$C128,Registro!$D128)</f>
        <v>Paramount1 pantalla</v>
      </c>
    </row>
    <row r="129" spans="1:13" ht="15.75" customHeight="1">
      <c r="A129" s="7" t="s">
        <v>20</v>
      </c>
      <c r="B129" s="8" t="s">
        <v>21</v>
      </c>
      <c r="C129" s="9" t="s">
        <v>22</v>
      </c>
      <c r="D129" s="8" t="s">
        <v>14</v>
      </c>
      <c r="E129" s="136" t="s">
        <v>279</v>
      </c>
      <c r="F129" s="8"/>
      <c r="G129" s="18"/>
      <c r="H129" s="13">
        <f>VLOOKUP(M129,'Listado Precios'!$A:$C,3,0)</f>
        <v>13000</v>
      </c>
      <c r="I129" s="13">
        <f>VLOOKUP(M129,'Listado Precios'!$A:$C,2,0)</f>
        <v>7600</v>
      </c>
      <c r="J129" s="115">
        <v>46184</v>
      </c>
      <c r="K129" s="15"/>
      <c r="M129" s="16" t="str">
        <f>CONCATENATE(Registro!$C129,Registro!$D129)</f>
        <v>Netflix1 pantalla</v>
      </c>
    </row>
    <row r="130" spans="1:13" ht="15.75" customHeight="1">
      <c r="A130" s="19" t="s">
        <v>280</v>
      </c>
      <c r="B130" s="17" t="s">
        <v>281</v>
      </c>
      <c r="C130" s="8" t="s">
        <v>22</v>
      </c>
      <c r="D130" s="8" t="s">
        <v>14</v>
      </c>
      <c r="E130" s="17"/>
      <c r="F130" s="8"/>
      <c r="G130" s="18"/>
      <c r="H130" s="13">
        <f>VLOOKUP(M130,'Listado Precios'!$A:$C,3,0)</f>
        <v>13000</v>
      </c>
      <c r="I130" s="13">
        <f>VLOOKUP(M130,'Listado Precios'!$A:$C,2,0)</f>
        <v>7600</v>
      </c>
      <c r="J130" s="115">
        <v>45817</v>
      </c>
      <c r="K130" s="15"/>
      <c r="M130" s="16" t="str">
        <f>CONCATENATE(Registro!$C130,Registro!$D130)</f>
        <v>Netflix1 pantalla</v>
      </c>
    </row>
    <row r="131" spans="1:13" ht="15.75" customHeight="1">
      <c r="A131" s="19" t="s">
        <v>282</v>
      </c>
      <c r="B131" s="17" t="s">
        <v>283</v>
      </c>
      <c r="C131" s="8" t="s">
        <v>25</v>
      </c>
      <c r="D131" s="8" t="s">
        <v>14</v>
      </c>
      <c r="E131" s="17"/>
      <c r="F131" s="8"/>
      <c r="G131" s="18"/>
      <c r="H131" s="13">
        <f>VLOOKUP(M131,'Listado Precios'!$A:$C,3,0)</f>
        <v>8000</v>
      </c>
      <c r="I131" s="13">
        <f>VLOOKUP(M131,'Listado Precios'!$A:$C,2,0)</f>
        <v>5000</v>
      </c>
      <c r="J131" s="115">
        <v>46114</v>
      </c>
      <c r="K131" s="15"/>
      <c r="M131" s="16" t="str">
        <f>CONCATENATE(Registro!$C131,Registro!$D131)</f>
        <v>HBO1 pantalla</v>
      </c>
    </row>
    <row r="132" spans="1:13" ht="15.75" customHeight="1">
      <c r="A132" s="19" t="s">
        <v>277</v>
      </c>
      <c r="B132" s="17" t="s">
        <v>278</v>
      </c>
      <c r="C132" s="9" t="s">
        <v>77</v>
      </c>
      <c r="D132" s="9" t="s">
        <v>144</v>
      </c>
      <c r="E132" s="17"/>
      <c r="F132" s="17"/>
      <c r="G132" s="17"/>
      <c r="H132" s="13" t="e">
        <f>VLOOKUP(M132,'Listado Precios'!$A:$C,3,0)</f>
        <v>#N/A</v>
      </c>
      <c r="I132" s="13" t="e">
        <f>VLOOKUP(M132,'Listado Precios'!$A:$C,2,0)</f>
        <v>#N/A</v>
      </c>
      <c r="J132" s="115">
        <v>46184</v>
      </c>
      <c r="K132" s="15"/>
      <c r="M132" s="16" t="str">
        <f>CONCATENATE(Registro!$C132,Registro!$D132)</f>
        <v xml:space="preserve">Paramount2 pantallas </v>
      </c>
    </row>
    <row r="133" spans="1:13" ht="15.75" customHeight="1">
      <c r="A133" s="7" t="s">
        <v>284</v>
      </c>
      <c r="B133" s="8" t="s">
        <v>285</v>
      </c>
      <c r="C133" s="9" t="s">
        <v>25</v>
      </c>
      <c r="D133" s="8" t="s">
        <v>14</v>
      </c>
      <c r="E133" s="17"/>
      <c r="F133" s="8"/>
      <c r="G133" s="18"/>
      <c r="H133" s="13">
        <f>VLOOKUP(M133,'Listado Precios'!$A:$C,3,0)</f>
        <v>8000</v>
      </c>
      <c r="I133" s="13">
        <f>VLOOKUP(M133,'Listado Precios'!$A:$C,2,0)</f>
        <v>5000</v>
      </c>
      <c r="J133" s="115">
        <v>45760</v>
      </c>
      <c r="K133" s="15"/>
      <c r="M133" s="16" t="str">
        <f>CONCATENATE(Registro!$C133,Registro!$D133)</f>
        <v>HBO1 pantalla</v>
      </c>
    </row>
    <row r="134" spans="1:13" ht="15.75" customHeight="1">
      <c r="A134" s="7" t="s">
        <v>286</v>
      </c>
      <c r="B134" s="8" t="s">
        <v>287</v>
      </c>
      <c r="C134" s="8" t="s">
        <v>43</v>
      </c>
      <c r="D134" s="8" t="s">
        <v>14</v>
      </c>
      <c r="E134" s="17"/>
      <c r="F134" s="123"/>
      <c r="G134" s="18"/>
      <c r="H134" s="13">
        <f>VLOOKUP(M134,'Listado Precios'!$A:$C,3,0)</f>
        <v>12000</v>
      </c>
      <c r="I134" s="13">
        <f>VLOOKUP(M134,'Listado Precios'!$A:$C,2,0)</f>
        <v>7000</v>
      </c>
      <c r="J134" s="115">
        <v>46178</v>
      </c>
      <c r="K134" s="15"/>
      <c r="M134" s="16" t="str">
        <f>CONCATENATE(Registro!$C134,Registro!$D134)</f>
        <v>DisneyP1 pantalla</v>
      </c>
    </row>
    <row r="135" spans="1:13" ht="15.75" customHeight="1">
      <c r="A135" s="7" t="s">
        <v>20</v>
      </c>
      <c r="B135" s="8" t="s">
        <v>21</v>
      </c>
      <c r="C135" s="9" t="s">
        <v>22</v>
      </c>
      <c r="D135" s="8" t="s">
        <v>14</v>
      </c>
      <c r="E135" s="17"/>
      <c r="F135" s="8"/>
      <c r="G135" s="18"/>
      <c r="H135" s="13">
        <f>VLOOKUP(M135,'Listado Precios'!$A:$C,3,0)</f>
        <v>13000</v>
      </c>
      <c r="I135" s="13">
        <f>VLOOKUP(M135,'Listado Precios'!$A:$C,2,0)</f>
        <v>7600</v>
      </c>
      <c r="J135" s="118">
        <v>46175</v>
      </c>
      <c r="K135" s="15"/>
      <c r="M135" s="16" t="str">
        <f>CONCATENATE(Registro!$C135,Registro!$D135)</f>
        <v>Netflix1 pantalla</v>
      </c>
    </row>
    <row r="136" spans="1:13" ht="15.75" customHeight="1">
      <c r="A136" s="7" t="s">
        <v>288</v>
      </c>
      <c r="B136" s="8" t="s">
        <v>289</v>
      </c>
      <c r="C136" s="9" t="s">
        <v>22</v>
      </c>
      <c r="D136" s="10" t="s">
        <v>14</v>
      </c>
      <c r="E136" s="11"/>
      <c r="F136" s="8"/>
      <c r="G136" s="12"/>
      <c r="H136" s="13">
        <f>VLOOKUP(M136,'Listado Precios'!$A:$C,3,0)</f>
        <v>13000</v>
      </c>
      <c r="I136" s="13">
        <f>VLOOKUP(M136,'Listado Precios'!$A:$C,2,0)</f>
        <v>7600</v>
      </c>
      <c r="J136" s="118">
        <v>46053</v>
      </c>
      <c r="K136" s="15"/>
      <c r="M136" s="16" t="str">
        <f>CONCATENATE(Registro!$C136,Registro!$D136)</f>
        <v>Netflix1 pantalla</v>
      </c>
    </row>
    <row r="137" spans="1:13" ht="15.75" customHeight="1">
      <c r="A137" s="7" t="s">
        <v>290</v>
      </c>
      <c r="B137" s="8" t="s">
        <v>291</v>
      </c>
      <c r="C137" s="8" t="s">
        <v>13</v>
      </c>
      <c r="D137" s="8" t="s">
        <v>14</v>
      </c>
      <c r="E137" s="17"/>
      <c r="F137" s="8"/>
      <c r="G137" s="18"/>
      <c r="H137" s="13">
        <f>VLOOKUP(M137,'Listado Precios'!$A:$C,3,0)</f>
        <v>8000</v>
      </c>
      <c r="I137" s="13">
        <f>VLOOKUP(M137,'Listado Precios'!$A:$C,2,0)</f>
        <v>5000</v>
      </c>
      <c r="J137" s="115">
        <v>45887</v>
      </c>
      <c r="K137" s="15"/>
      <c r="M137" s="16" t="str">
        <f>CONCATENATE(Registro!$C137,Registro!$D137)</f>
        <v>PrimeVideo1 pantalla</v>
      </c>
    </row>
    <row r="138" spans="1:13" ht="15.75" customHeight="1">
      <c r="A138" s="7" t="s">
        <v>292</v>
      </c>
      <c r="B138" s="8" t="s">
        <v>293</v>
      </c>
      <c r="C138" s="9" t="s">
        <v>43</v>
      </c>
      <c r="D138" s="8" t="s">
        <v>14</v>
      </c>
      <c r="E138" s="17"/>
      <c r="F138" s="8"/>
      <c r="G138" s="18"/>
      <c r="H138" s="13">
        <f>VLOOKUP(M138,'Listado Precios'!$A:$C,3,0)</f>
        <v>12000</v>
      </c>
      <c r="I138" s="13">
        <f>VLOOKUP(M138,'Listado Precios'!$A:$C,2,0)</f>
        <v>7000</v>
      </c>
      <c r="J138" s="115">
        <v>45899</v>
      </c>
      <c r="K138" s="15"/>
      <c r="M138" s="16" t="str">
        <f>CONCATENATE(Registro!$C138,Registro!$D138)</f>
        <v>DisneyP1 pantalla</v>
      </c>
    </row>
    <row r="139" spans="1:13" ht="15.75" customHeight="1">
      <c r="A139" s="7" t="s">
        <v>294</v>
      </c>
      <c r="B139" s="8" t="s">
        <v>295</v>
      </c>
      <c r="C139" s="9" t="s">
        <v>77</v>
      </c>
      <c r="D139" s="8" t="s">
        <v>14</v>
      </c>
      <c r="E139" s="17"/>
      <c r="F139" s="8"/>
      <c r="G139" s="18"/>
      <c r="H139" s="13" t="e">
        <f>VLOOKUP(M139,'Listado Precios'!$A:$C,3,0)</f>
        <v>#N/A</v>
      </c>
      <c r="I139" s="13" t="e">
        <f>VLOOKUP(M139,'Listado Precios'!$A:$C,2,0)</f>
        <v>#N/A</v>
      </c>
      <c r="J139" s="115">
        <v>46182</v>
      </c>
      <c r="K139" s="15"/>
      <c r="M139" s="16" t="str">
        <f>CONCATENATE(Registro!$C139,Registro!$D139)</f>
        <v>Paramount1 pantalla</v>
      </c>
    </row>
    <row r="140" spans="1:13" ht="15.75" customHeight="1">
      <c r="A140" s="7" t="s">
        <v>11</v>
      </c>
      <c r="B140" s="17" t="s">
        <v>12</v>
      </c>
      <c r="C140" s="8" t="s">
        <v>43</v>
      </c>
      <c r="D140" s="9" t="s">
        <v>14</v>
      </c>
      <c r="E140" s="20" t="s">
        <v>296</v>
      </c>
      <c r="F140" s="8"/>
      <c r="G140" s="12"/>
      <c r="H140" s="13">
        <f>VLOOKUP(M140,'Listado Precios'!$A:$C,3,0)</f>
        <v>12000</v>
      </c>
      <c r="I140" s="13">
        <f>VLOOKUP(M140,'Listado Precios'!$A:$C,2,0)</f>
        <v>7000</v>
      </c>
      <c r="J140" s="115">
        <v>45536</v>
      </c>
      <c r="K140" s="52"/>
      <c r="M140" s="16" t="str">
        <f>CONCATENATE(Registro!$C140,Registro!$D140)</f>
        <v>DisneyP1 pantalla</v>
      </c>
    </row>
    <row r="141" spans="1:13" ht="15.75" customHeight="1">
      <c r="A141" s="19" t="s">
        <v>297</v>
      </c>
      <c r="B141" s="17" t="s">
        <v>298</v>
      </c>
      <c r="C141" s="8" t="s">
        <v>17</v>
      </c>
      <c r="D141" s="8"/>
      <c r="E141" s="17" t="s">
        <v>299</v>
      </c>
      <c r="F141" s="8" t="s">
        <v>47</v>
      </c>
      <c r="G141" s="18"/>
      <c r="H141" s="13">
        <f>VLOOKUP(M141,'Listado Precios'!$A:$C,3,0)</f>
        <v>8000</v>
      </c>
      <c r="I141" s="13">
        <f>VLOOKUP(M141,'Listado Precios'!$A:$C,2,0)</f>
        <v>5280</v>
      </c>
      <c r="J141" s="115">
        <v>46021</v>
      </c>
      <c r="K141" s="15"/>
      <c r="M141" s="16" t="str">
        <f>CONCATENATE(Registro!$C141,Registro!$D141)</f>
        <v>Spotify</v>
      </c>
    </row>
    <row r="142" spans="1:13" ht="15.75" customHeight="1">
      <c r="A142" s="7" t="s">
        <v>300</v>
      </c>
      <c r="B142" s="8" t="s">
        <v>301</v>
      </c>
      <c r="C142" s="9" t="s">
        <v>43</v>
      </c>
      <c r="D142" s="8" t="s">
        <v>14</v>
      </c>
      <c r="E142" s="17"/>
      <c r="F142" s="8"/>
      <c r="G142" s="18"/>
      <c r="H142" s="13">
        <f>VLOOKUP(M142,'Listado Precios'!$A:$C,3,0)</f>
        <v>12000</v>
      </c>
      <c r="I142" s="13">
        <f>VLOOKUP(M142,'Listado Precios'!$A:$C,2,0)</f>
        <v>7000</v>
      </c>
      <c r="J142" s="115">
        <v>46187</v>
      </c>
      <c r="K142" s="15"/>
      <c r="M142" s="16" t="str">
        <f>CONCATENATE(Registro!$C142,Registro!$D142)</f>
        <v>DisneyP1 pantalla</v>
      </c>
    </row>
    <row r="143" spans="1:13" ht="15.75" customHeight="1">
      <c r="A143" s="63" t="s">
        <v>302</v>
      </c>
      <c r="B143" s="63" t="s">
        <v>303</v>
      </c>
      <c r="C143" s="8" t="s">
        <v>22</v>
      </c>
      <c r="D143" s="8" t="s">
        <v>14</v>
      </c>
      <c r="E143" s="17"/>
      <c r="F143" s="8"/>
      <c r="G143" s="18"/>
      <c r="H143" s="13">
        <f>VLOOKUP(M143,'Listado Precios'!$A:$C,3,0)</f>
        <v>13000</v>
      </c>
      <c r="I143" s="13">
        <f>VLOOKUP(M143,'Listado Precios'!$A:$C,2,0)</f>
        <v>7600</v>
      </c>
      <c r="J143" s="115">
        <v>46172</v>
      </c>
      <c r="K143" s="15"/>
      <c r="M143" s="16" t="str">
        <f>CONCATENATE(Registro!$C143,Registro!$D143)</f>
        <v>Netflix1 pantalla</v>
      </c>
    </row>
    <row r="144" spans="1:13" ht="15.75" customHeight="1">
      <c r="A144" s="19" t="s">
        <v>15</v>
      </c>
      <c r="B144" s="17" t="s">
        <v>16</v>
      </c>
      <c r="C144" s="9" t="s">
        <v>43</v>
      </c>
      <c r="D144" s="8" t="s">
        <v>14</v>
      </c>
      <c r="E144" s="17"/>
      <c r="F144" s="8"/>
      <c r="G144" s="18"/>
      <c r="H144" s="13">
        <f>VLOOKUP(M144,'Listado Precios'!$A:$C,3,0)</f>
        <v>12000</v>
      </c>
      <c r="I144" s="13">
        <f>VLOOKUP(M144,'Listado Precios'!$A:$C,2,0)</f>
        <v>7000</v>
      </c>
      <c r="J144" s="115">
        <v>46176</v>
      </c>
      <c r="K144" s="15"/>
      <c r="M144" s="16" t="str">
        <f>CONCATENATE(Registro!$C144,Registro!$D144)</f>
        <v>DisneyP1 pantalla</v>
      </c>
    </row>
    <row r="145" spans="1:13" ht="15.75" customHeight="1">
      <c r="A145" s="7" t="s">
        <v>304</v>
      </c>
      <c r="B145" s="8"/>
      <c r="C145" s="8" t="s">
        <v>17</v>
      </c>
      <c r="D145" s="8"/>
      <c r="E145" s="17" t="s">
        <v>305</v>
      </c>
      <c r="F145" s="8" t="s">
        <v>84</v>
      </c>
      <c r="G145" s="18"/>
      <c r="H145" s="13">
        <f>VLOOKUP(M145,'Listado Precios'!$A:$C,3,0)</f>
        <v>8000</v>
      </c>
      <c r="I145" s="13">
        <f>VLOOKUP(M145,'Listado Precios'!$A:$C,2,0)</f>
        <v>5280</v>
      </c>
      <c r="J145" s="115">
        <v>45786</v>
      </c>
      <c r="K145" s="15"/>
      <c r="M145" s="16" t="str">
        <f>CONCATENATE(Registro!$C145,Registro!$D145)</f>
        <v>Spotify</v>
      </c>
    </row>
    <row r="146" spans="1:13" ht="15.75" customHeight="1">
      <c r="A146" s="7" t="s">
        <v>306</v>
      </c>
      <c r="B146" s="8" t="s">
        <v>307</v>
      </c>
      <c r="C146" s="9" t="s">
        <v>19</v>
      </c>
      <c r="D146" s="8"/>
      <c r="E146" s="17"/>
      <c r="F146" s="8"/>
      <c r="G146" s="18"/>
      <c r="H146" s="13">
        <f>VLOOKUP(M146,'Listado Precios'!$A:$C,3,0)</f>
        <v>25000</v>
      </c>
      <c r="I146" s="13">
        <f>VLOOKUP(M146,'Listado Precios'!$A:$C,2,0)</f>
        <v>13000</v>
      </c>
      <c r="J146" s="115">
        <v>45983</v>
      </c>
      <c r="K146" s="15"/>
      <c r="M146" s="16" t="str">
        <f>CONCATENATE(Registro!$C146,Registro!$D146)</f>
        <v>ChatGPT</v>
      </c>
    </row>
    <row r="147" spans="1:13" ht="15.75" customHeight="1">
      <c r="A147" s="7" t="s">
        <v>308</v>
      </c>
      <c r="B147" s="8" t="s">
        <v>309</v>
      </c>
      <c r="C147" s="9" t="s">
        <v>43</v>
      </c>
      <c r="D147" s="8" t="s">
        <v>14</v>
      </c>
      <c r="E147" s="17"/>
      <c r="F147" s="8"/>
      <c r="G147" s="18"/>
      <c r="H147" s="13">
        <f>VLOOKUP(M147,'Listado Precios'!$A:$C,3,0)</f>
        <v>12000</v>
      </c>
      <c r="I147" s="13">
        <f>VLOOKUP(M147,'Listado Precios'!$A:$C,2,0)</f>
        <v>7000</v>
      </c>
      <c r="J147" s="118">
        <v>45690</v>
      </c>
      <c r="K147" s="15"/>
      <c r="M147" s="16" t="str">
        <f>CONCATENATE(Registro!$C147,Registro!$D147)</f>
        <v>DisneyP1 pantalla</v>
      </c>
    </row>
    <row r="148" spans="1:13" ht="15.75" customHeight="1">
      <c r="A148" s="7" t="s">
        <v>310</v>
      </c>
      <c r="B148" s="8" t="s">
        <v>311</v>
      </c>
      <c r="C148" s="9" t="s">
        <v>22</v>
      </c>
      <c r="D148" s="8" t="s">
        <v>14</v>
      </c>
      <c r="E148" s="17"/>
      <c r="F148" s="8"/>
      <c r="G148" s="18"/>
      <c r="H148" s="13">
        <f>VLOOKUP(M148,'Listado Precios'!$A:$C,3,0)</f>
        <v>13000</v>
      </c>
      <c r="I148" s="13">
        <f>VLOOKUP(M148,'Listado Precios'!$A:$C,2,0)</f>
        <v>7600</v>
      </c>
      <c r="J148" s="115">
        <v>45983</v>
      </c>
      <c r="K148" s="15"/>
      <c r="M148" s="16" t="str">
        <f>CONCATENATE(Registro!$C148,Registro!$D148)</f>
        <v>Netflix1 pantalla</v>
      </c>
    </row>
    <row r="149" spans="1:13" ht="15.75" customHeight="1">
      <c r="A149" s="7" t="s">
        <v>312</v>
      </c>
      <c r="B149" s="8" t="s">
        <v>313</v>
      </c>
      <c r="C149" s="9" t="s">
        <v>65</v>
      </c>
      <c r="D149" s="8" t="s">
        <v>14</v>
      </c>
      <c r="E149" s="17" t="s">
        <v>314</v>
      </c>
      <c r="F149" s="8"/>
      <c r="G149" s="18"/>
      <c r="H149" s="13">
        <f>VLOOKUP(M149,'Listado Precios'!$A:$C,3,0)</f>
        <v>8000</v>
      </c>
      <c r="I149" s="13">
        <f>VLOOKUP(M149,'Listado Precios'!$A:$C,2,0)</f>
        <v>5000</v>
      </c>
      <c r="J149" s="115">
        <v>45907</v>
      </c>
      <c r="K149" s="15"/>
      <c r="M149" s="16" t="str">
        <f>CONCATENATE(Registro!$C149,Registro!$D149)</f>
        <v>Crunchyroll1 pantalla</v>
      </c>
    </row>
    <row r="150" spans="1:13" ht="15.75" customHeight="1">
      <c r="A150" s="7" t="s">
        <v>315</v>
      </c>
      <c r="B150" s="8" t="s">
        <v>316</v>
      </c>
      <c r="C150" s="9" t="s">
        <v>22</v>
      </c>
      <c r="D150" s="8" t="s">
        <v>14</v>
      </c>
      <c r="E150" s="17"/>
      <c r="F150" s="8"/>
      <c r="G150" s="18"/>
      <c r="H150" s="13">
        <f>VLOOKUP(M150,'Listado Precios'!$A:$C,3,0)</f>
        <v>13000</v>
      </c>
      <c r="I150" s="13">
        <f>VLOOKUP(M150,'Listado Precios'!$A:$C,2,0)</f>
        <v>7600</v>
      </c>
      <c r="J150" s="115">
        <v>45729</v>
      </c>
      <c r="K150" s="15"/>
      <c r="M150" s="16" t="str">
        <f>CONCATENATE(Registro!$C150,Registro!$D150)</f>
        <v>Netflix1 pantalla</v>
      </c>
    </row>
    <row r="151" spans="1:13" ht="15.75" customHeight="1">
      <c r="A151" s="7" t="s">
        <v>317</v>
      </c>
      <c r="B151" s="8" t="s">
        <v>318</v>
      </c>
      <c r="C151" s="9" t="s">
        <v>43</v>
      </c>
      <c r="D151" s="8" t="s">
        <v>14</v>
      </c>
      <c r="E151" s="17"/>
      <c r="F151" s="8"/>
      <c r="G151" s="18"/>
      <c r="H151" s="13">
        <f>VLOOKUP(M151,'Listado Precios'!$A:$C,3,0)</f>
        <v>12000</v>
      </c>
      <c r="I151" s="13">
        <f>VLOOKUP(M151,'Listado Precios'!$A:$C,2,0)</f>
        <v>7000</v>
      </c>
      <c r="J151" s="99">
        <v>45912</v>
      </c>
      <c r="K151" s="15"/>
      <c r="M151" s="16" t="str">
        <f>CONCATENATE(Registro!$C151,Registro!$D151)</f>
        <v>DisneyP1 pantalla</v>
      </c>
    </row>
    <row r="152" spans="1:13" ht="15.75" customHeight="1">
      <c r="A152" s="7" t="s">
        <v>70</v>
      </c>
      <c r="B152" s="8" t="s">
        <v>319</v>
      </c>
      <c r="C152" s="9" t="s">
        <v>43</v>
      </c>
      <c r="D152" s="8" t="s">
        <v>14</v>
      </c>
      <c r="E152" s="17"/>
      <c r="F152" s="8"/>
      <c r="G152" s="18"/>
      <c r="H152" s="13">
        <f>VLOOKUP(M152,'Listado Precios'!$A:$C,3,0)</f>
        <v>12000</v>
      </c>
      <c r="I152" s="13">
        <f>VLOOKUP(M152,'Listado Precios'!$A:$C,2,0)</f>
        <v>7000</v>
      </c>
      <c r="J152" s="99">
        <v>45972</v>
      </c>
      <c r="K152" s="15"/>
      <c r="M152" s="16" t="str">
        <f>CONCATENATE(Registro!$C152,Registro!$D152)</f>
        <v>DisneyP1 pantalla</v>
      </c>
    </row>
    <row r="153" spans="1:13" ht="15.75" customHeight="1">
      <c r="A153" s="7" t="s">
        <v>320</v>
      </c>
      <c r="B153" s="8" t="s">
        <v>321</v>
      </c>
      <c r="C153" s="9" t="s">
        <v>13</v>
      </c>
      <c r="D153" s="8" t="s">
        <v>14</v>
      </c>
      <c r="E153" s="17" t="s">
        <v>322</v>
      </c>
      <c r="F153" s="8" t="s">
        <v>323</v>
      </c>
      <c r="G153" s="18" t="s">
        <v>324</v>
      </c>
      <c r="H153" s="13">
        <f>VLOOKUP(M153,'Listado Precios'!$A:$C,3,0)</f>
        <v>8000</v>
      </c>
      <c r="I153" s="13">
        <f>VLOOKUP(M153,'Listado Precios'!$A:$C,2,0)</f>
        <v>5000</v>
      </c>
      <c r="J153" s="99">
        <v>45536</v>
      </c>
      <c r="K153" s="15"/>
      <c r="M153" s="16" t="str">
        <f>CONCATENATE(Registro!$C153,Registro!$D153)</f>
        <v>PrimeVideo1 pantalla</v>
      </c>
    </row>
    <row r="154" spans="1:13" ht="15.75" customHeight="1">
      <c r="A154" s="19" t="s">
        <v>325</v>
      </c>
      <c r="B154" s="17" t="s">
        <v>326</v>
      </c>
      <c r="C154" s="8" t="s">
        <v>25</v>
      </c>
      <c r="D154" s="8" t="s">
        <v>14</v>
      </c>
      <c r="E154" s="17"/>
      <c r="F154" s="8"/>
      <c r="G154" s="18"/>
      <c r="H154" s="13">
        <f>VLOOKUP(M154,'Listado Precios'!$A:$C,3,0)</f>
        <v>8000</v>
      </c>
      <c r="I154" s="13">
        <f>VLOOKUP(M154,'Listado Precios'!$A:$C,2,0)</f>
        <v>5000</v>
      </c>
      <c r="J154" s="99">
        <v>46127</v>
      </c>
      <c r="K154" s="14"/>
      <c r="M154" s="16" t="str">
        <f>CONCATENATE(Registro!$C154,Registro!$D154)</f>
        <v>HBO1 pantalla</v>
      </c>
    </row>
    <row r="155" spans="1:13" ht="15.75" customHeight="1">
      <c r="A155" s="19" t="s">
        <v>327</v>
      </c>
      <c r="B155" s="17"/>
      <c r="C155" s="9" t="s">
        <v>22</v>
      </c>
      <c r="D155" s="10" t="s">
        <v>14</v>
      </c>
      <c r="E155" s="20"/>
      <c r="F155" s="8"/>
      <c r="G155" s="12"/>
      <c r="H155" s="13">
        <f>VLOOKUP(M155,'Listado Precios'!$A:$C,3,0)</f>
        <v>13000</v>
      </c>
      <c r="I155" s="13">
        <f>VLOOKUP(M155,'Listado Precios'!$A:$C,2,0)</f>
        <v>7600</v>
      </c>
      <c r="J155" s="99">
        <v>46135</v>
      </c>
      <c r="K155" s="15"/>
      <c r="M155" s="16" t="str">
        <f>CONCATENATE(Registro!$C155,Registro!$D155)</f>
        <v>Netflix1 pantalla</v>
      </c>
    </row>
    <row r="156" spans="1:13" ht="15.75" customHeight="1">
      <c r="A156" s="7" t="s">
        <v>122</v>
      </c>
      <c r="B156" s="8" t="s">
        <v>149</v>
      </c>
      <c r="C156" s="9" t="s">
        <v>17</v>
      </c>
      <c r="D156" s="10"/>
      <c r="E156" s="11" t="s">
        <v>328</v>
      </c>
      <c r="F156" s="8" t="s">
        <v>84</v>
      </c>
      <c r="G156" s="12"/>
      <c r="H156" s="13">
        <f>VLOOKUP(M156,'Listado Precios'!$A:$C,3,0)</f>
        <v>8000</v>
      </c>
      <c r="I156" s="13">
        <f>VLOOKUP(M156,'Listado Precios'!$A:$C,2,0)</f>
        <v>5280</v>
      </c>
      <c r="J156" s="99">
        <v>45739</v>
      </c>
      <c r="K156" s="15"/>
      <c r="M156" s="16" t="str">
        <f>CONCATENATE(Registro!$C156,Registro!$D156)</f>
        <v>Spotify</v>
      </c>
    </row>
    <row r="157" spans="1:13" ht="15.75" customHeight="1">
      <c r="A157" s="7" t="s">
        <v>266</v>
      </c>
      <c r="B157" s="8" t="s">
        <v>267</v>
      </c>
      <c r="C157" s="9" t="s">
        <v>43</v>
      </c>
      <c r="D157" s="8" t="s">
        <v>14</v>
      </c>
      <c r="E157" s="17" t="s">
        <v>329</v>
      </c>
      <c r="F157" s="8" t="s">
        <v>268</v>
      </c>
      <c r="G157" s="18"/>
      <c r="H157" s="13">
        <f>VLOOKUP(M157,'Listado Precios'!$A:$C,3,0)</f>
        <v>12000</v>
      </c>
      <c r="I157" s="13">
        <f>VLOOKUP(M157,'Listado Precios'!$A:$C,2,0)</f>
        <v>7000</v>
      </c>
      <c r="J157" s="28">
        <v>45612</v>
      </c>
      <c r="K157" s="15"/>
      <c r="M157" s="16" t="str">
        <f>CONCATENATE(Registro!$C157,Registro!$D157)</f>
        <v>DisneyP1 pantalla</v>
      </c>
    </row>
    <row r="158" spans="1:13" ht="15.75" customHeight="1">
      <c r="A158" s="7" t="s">
        <v>15</v>
      </c>
      <c r="B158" s="8" t="s">
        <v>16</v>
      </c>
      <c r="C158" s="9" t="s">
        <v>22</v>
      </c>
      <c r="D158" s="8" t="s">
        <v>14</v>
      </c>
      <c r="E158" s="17"/>
      <c r="F158" s="8"/>
      <c r="G158" s="18"/>
      <c r="H158" s="13">
        <f>VLOOKUP(M158,'Listado Precios'!$A:$C,3,0)</f>
        <v>13000</v>
      </c>
      <c r="I158" s="13">
        <f>VLOOKUP(M158,'Listado Precios'!$A:$C,2,0)</f>
        <v>7600</v>
      </c>
      <c r="J158" s="28">
        <v>45573</v>
      </c>
      <c r="K158" s="15"/>
      <c r="M158" s="16" t="str">
        <f>CONCATENATE(Registro!$C158,Registro!$D158)</f>
        <v>Netflix1 pantalla</v>
      </c>
    </row>
    <row r="159" spans="1:13" ht="15.75" customHeight="1">
      <c r="A159" s="7" t="s">
        <v>317</v>
      </c>
      <c r="B159" s="8" t="s">
        <v>318</v>
      </c>
      <c r="C159" s="9" t="s">
        <v>25</v>
      </c>
      <c r="D159" s="8" t="s">
        <v>14</v>
      </c>
      <c r="E159" s="17"/>
      <c r="F159" s="8"/>
      <c r="G159" s="18"/>
      <c r="H159" s="13">
        <f>VLOOKUP(M159,'Listado Precios'!$A:$C,3,0)</f>
        <v>8000</v>
      </c>
      <c r="I159" s="13">
        <f>VLOOKUP(M159,'Listado Precios'!$A:$C,2,0)</f>
        <v>5000</v>
      </c>
      <c r="J159" s="99">
        <v>45912</v>
      </c>
      <c r="K159" s="15"/>
      <c r="M159" s="16" t="str">
        <f>CONCATENATE(Registro!$C159,Registro!$D159)</f>
        <v>HBO1 pantalla</v>
      </c>
    </row>
    <row r="160" spans="1:13" ht="15.75" customHeight="1">
      <c r="A160" s="7" t="s">
        <v>330</v>
      </c>
      <c r="B160" s="8" t="s">
        <v>331</v>
      </c>
      <c r="C160" s="9" t="s">
        <v>13</v>
      </c>
      <c r="D160" s="8" t="s">
        <v>14</v>
      </c>
      <c r="E160" s="17"/>
      <c r="F160" s="8"/>
      <c r="G160" s="18"/>
      <c r="H160" s="13">
        <f>VLOOKUP(M160,'Listado Precios'!$A:$C,3,0)</f>
        <v>8000</v>
      </c>
      <c r="I160" s="13">
        <f>VLOOKUP(M160,'Listado Precios'!$A:$C,2,0)</f>
        <v>5000</v>
      </c>
      <c r="J160" s="99">
        <v>45958</v>
      </c>
      <c r="K160" s="15"/>
      <c r="M160" s="16" t="str">
        <f>CONCATENATE(Registro!$C160,Registro!$D160)</f>
        <v>PrimeVideo1 pantalla</v>
      </c>
    </row>
    <row r="161" spans="1:13" ht="15.75" customHeight="1">
      <c r="A161" s="7" t="s">
        <v>332</v>
      </c>
      <c r="B161" s="8" t="s">
        <v>333</v>
      </c>
      <c r="C161" s="9" t="s">
        <v>43</v>
      </c>
      <c r="D161" s="8" t="s">
        <v>14</v>
      </c>
      <c r="E161" s="17"/>
      <c r="F161" s="8"/>
      <c r="G161" s="18"/>
      <c r="H161" s="13">
        <f>VLOOKUP(M161,'Listado Precios'!$A:$C,3,0)</f>
        <v>12000</v>
      </c>
      <c r="I161" s="13">
        <f>VLOOKUP(M161,'Listado Precios'!$A:$C,2,0)</f>
        <v>7000</v>
      </c>
      <c r="J161" s="99">
        <v>46002</v>
      </c>
      <c r="K161" s="15"/>
      <c r="M161" s="16" t="str">
        <f>CONCATENATE(Registro!$C161,Registro!$D161)</f>
        <v>DisneyP1 pantalla</v>
      </c>
    </row>
    <row r="162" spans="1:13" ht="15.75" customHeight="1">
      <c r="A162" s="19" t="s">
        <v>334</v>
      </c>
      <c r="B162" s="17" t="s">
        <v>335</v>
      </c>
      <c r="C162" s="8" t="s">
        <v>25</v>
      </c>
      <c r="D162" s="8" t="s">
        <v>14</v>
      </c>
      <c r="E162" s="19"/>
      <c r="F162" s="8"/>
      <c r="G162" s="18"/>
      <c r="H162" s="13">
        <f>VLOOKUP(M162,'Listado Precios'!$A:$C,3,0)</f>
        <v>8000</v>
      </c>
      <c r="I162" s="13">
        <f>VLOOKUP(M162,'Listado Precios'!$A:$C,2,0)</f>
        <v>5000</v>
      </c>
      <c r="J162" s="99">
        <v>46047</v>
      </c>
      <c r="K162" s="15"/>
      <c r="M162" s="16" t="str">
        <f>CONCATENATE(Registro!$C162,Registro!$D162)</f>
        <v>HBO1 pantalla</v>
      </c>
    </row>
    <row r="163" spans="1:13" ht="15.75" customHeight="1">
      <c r="A163" s="7" t="s">
        <v>336</v>
      </c>
      <c r="B163" s="8" t="s">
        <v>337</v>
      </c>
      <c r="C163" s="8" t="s">
        <v>22</v>
      </c>
      <c r="D163" s="8" t="s">
        <v>14</v>
      </c>
      <c r="E163" s="17"/>
      <c r="F163" s="8"/>
      <c r="G163" s="18"/>
      <c r="H163" s="13">
        <f>VLOOKUP(M163,'Listado Precios'!$A:$C,3,0)</f>
        <v>13000</v>
      </c>
      <c r="I163" s="13">
        <f>VLOOKUP(M163,'Listado Precios'!$A:$C,2,0)</f>
        <v>7600</v>
      </c>
      <c r="J163" s="99">
        <v>46097</v>
      </c>
      <c r="K163" s="15"/>
      <c r="M163" s="16" t="str">
        <f>CONCATENATE(Registro!$C163,Registro!$D163)</f>
        <v>Netflix1 pantalla</v>
      </c>
    </row>
    <row r="164" spans="1:13" ht="15.75" customHeight="1">
      <c r="A164" s="66" t="s">
        <v>338</v>
      </c>
      <c r="B164" s="17" t="s">
        <v>339</v>
      </c>
      <c r="C164" s="8" t="s">
        <v>22</v>
      </c>
      <c r="D164" s="8" t="s">
        <v>14</v>
      </c>
      <c r="E164" s="17"/>
      <c r="F164" s="8"/>
      <c r="G164" s="18"/>
      <c r="H164" s="13">
        <f>VLOOKUP(M164,'Listado Precios'!$A:$C,3,0)</f>
        <v>13000</v>
      </c>
      <c r="I164" s="13">
        <f>VLOOKUP(M164,'Listado Precios'!$A:$C,2,0)</f>
        <v>7600</v>
      </c>
      <c r="J164" s="99">
        <v>46064</v>
      </c>
      <c r="K164" s="61"/>
      <c r="M164" s="16" t="str">
        <f>CONCATENATE(Registro!$C164,Registro!$D164)</f>
        <v>Netflix1 pantalla</v>
      </c>
    </row>
    <row r="165" spans="1:13" ht="15.75" customHeight="1">
      <c r="A165" s="7" t="s">
        <v>340</v>
      </c>
      <c r="B165" s="8" t="s">
        <v>341</v>
      </c>
      <c r="C165" s="9" t="s">
        <v>77</v>
      </c>
      <c r="D165" s="8" t="s">
        <v>14</v>
      </c>
      <c r="E165" s="17" t="s">
        <v>342</v>
      </c>
      <c r="F165" s="8"/>
      <c r="G165" s="18"/>
      <c r="H165" s="13" t="e">
        <f>VLOOKUP(M165,'Listado Precios'!$A:$C,3,0)</f>
        <v>#N/A</v>
      </c>
      <c r="I165" s="13" t="e">
        <f>VLOOKUP(M165,'Listado Precios'!$A:$C,2,0)</f>
        <v>#N/A</v>
      </c>
      <c r="J165" s="99">
        <v>45760</v>
      </c>
      <c r="K165" s="61"/>
      <c r="M165" s="16" t="str">
        <f>CONCATENATE(Registro!$C165,Registro!$D165)</f>
        <v>Paramount1 pantalla</v>
      </c>
    </row>
    <row r="166" spans="1:13" ht="15.75" customHeight="1">
      <c r="A166" s="7" t="s">
        <v>343</v>
      </c>
      <c r="B166" s="8" t="s">
        <v>344</v>
      </c>
      <c r="C166" s="9" t="s">
        <v>43</v>
      </c>
      <c r="D166" s="8" t="s">
        <v>14</v>
      </c>
      <c r="E166" s="20" t="s">
        <v>345</v>
      </c>
      <c r="F166" s="8" t="s">
        <v>346</v>
      </c>
      <c r="G166" s="12"/>
      <c r="H166" s="13">
        <f>VLOOKUP(M166,'Listado Precios'!$A:$C,3,0)</f>
        <v>12000</v>
      </c>
      <c r="I166" s="13">
        <f>VLOOKUP(M166,'Listado Precios'!$A:$C,2,0)</f>
        <v>7000</v>
      </c>
      <c r="J166" s="99">
        <v>45536</v>
      </c>
      <c r="K166" s="15"/>
      <c r="M166" s="16" t="str">
        <f>CONCATENATE(Registro!$C166,Registro!$D166)</f>
        <v>DisneyP1 pantalla</v>
      </c>
    </row>
    <row r="167" spans="1:13" ht="15.75" customHeight="1">
      <c r="A167" s="7" t="s">
        <v>347</v>
      </c>
      <c r="B167" s="8" t="s">
        <v>348</v>
      </c>
      <c r="C167" s="9" t="s">
        <v>43</v>
      </c>
      <c r="D167" s="8" t="s">
        <v>14</v>
      </c>
      <c r="E167" s="17"/>
      <c r="F167" s="8"/>
      <c r="G167" s="18"/>
      <c r="H167" s="13">
        <f>VLOOKUP(M167,'Listado Precios'!$A:$C,3,0)</f>
        <v>12000</v>
      </c>
      <c r="I167" s="13">
        <f>VLOOKUP(M167,'Listado Precios'!$A:$C,2,0)</f>
        <v>7000</v>
      </c>
      <c r="J167" s="99">
        <v>45989</v>
      </c>
      <c r="K167" s="15"/>
      <c r="M167" s="16" t="str">
        <f>CONCATENATE(Registro!$C167,Registro!$D167)</f>
        <v>DisneyP1 pantalla</v>
      </c>
    </row>
    <row r="168" spans="1:13" ht="15.75" customHeight="1">
      <c r="A168" s="7" t="s">
        <v>134</v>
      </c>
      <c r="B168" s="8" t="s">
        <v>135</v>
      </c>
      <c r="C168" s="9" t="s">
        <v>43</v>
      </c>
      <c r="D168" s="8" t="s">
        <v>14</v>
      </c>
      <c r="E168" s="17"/>
      <c r="F168" s="8"/>
      <c r="G168" s="18"/>
      <c r="H168" s="13">
        <f>VLOOKUP(M168,'Listado Precios'!$A:$C,3,0)</f>
        <v>12000</v>
      </c>
      <c r="I168" s="13">
        <f>VLOOKUP(M168,'Listado Precios'!$A:$C,2,0)</f>
        <v>7000</v>
      </c>
      <c r="J168" s="99">
        <v>46089</v>
      </c>
      <c r="K168" s="15"/>
      <c r="M168" s="16" t="str">
        <f>CONCATENATE(Registro!$C168,Registro!$D168)</f>
        <v>DisneyP1 pantalla</v>
      </c>
    </row>
    <row r="169" spans="1:13" ht="15.75" customHeight="1">
      <c r="A169" s="7" t="s">
        <v>349</v>
      </c>
      <c r="B169" s="8" t="s">
        <v>350</v>
      </c>
      <c r="C169" s="9" t="s">
        <v>238</v>
      </c>
      <c r="D169" s="8" t="s">
        <v>14</v>
      </c>
      <c r="E169" s="17"/>
      <c r="F169" s="8"/>
      <c r="G169" s="18"/>
      <c r="H169" s="13">
        <f>VLOOKUP(M169,'Listado Precios'!$A:$C,3,0)</f>
        <v>40000</v>
      </c>
      <c r="I169" s="13">
        <f>VLOOKUP(M169,'Listado Precios'!$A:$C,2,0)</f>
        <v>34250</v>
      </c>
      <c r="J169" s="99">
        <v>46149</v>
      </c>
      <c r="K169" s="15"/>
      <c r="M169" s="16" t="str">
        <f>CONCATENATE(Registro!$C169,Registro!$D169)</f>
        <v>Directv GO1 pantalla</v>
      </c>
    </row>
    <row r="170" spans="1:13" ht="15.75" customHeight="1">
      <c r="A170" s="7" t="s">
        <v>128</v>
      </c>
      <c r="B170" s="8" t="s">
        <v>351</v>
      </c>
      <c r="C170" s="8" t="s">
        <v>13</v>
      </c>
      <c r="D170" s="9" t="s">
        <v>14</v>
      </c>
      <c r="E170" s="67" t="s">
        <v>352</v>
      </c>
      <c r="F170" s="67" t="s">
        <v>353</v>
      </c>
      <c r="G170" s="67"/>
      <c r="H170" s="13">
        <f>VLOOKUP(M170,'Listado Precios'!$A:$C,3,0)</f>
        <v>8000</v>
      </c>
      <c r="I170" s="13">
        <f>VLOOKUP(M170,'Listado Precios'!$A:$C,2,0)</f>
        <v>5000</v>
      </c>
      <c r="J170" s="99">
        <v>45536</v>
      </c>
      <c r="K170" s="15"/>
      <c r="M170" s="16" t="str">
        <f>CONCATENATE(Registro!$C170,Registro!$D170)</f>
        <v>PrimeVideo1 pantalla</v>
      </c>
    </row>
    <row r="171" spans="1:13" ht="15.75" customHeight="1">
      <c r="A171" s="19" t="s">
        <v>354</v>
      </c>
      <c r="B171" s="17" t="s">
        <v>355</v>
      </c>
      <c r="C171" s="8" t="s">
        <v>22</v>
      </c>
      <c r="D171" s="8" t="s">
        <v>14</v>
      </c>
      <c r="E171" s="17"/>
      <c r="F171" s="8"/>
      <c r="G171" s="18"/>
      <c r="H171" s="13">
        <f>VLOOKUP(M171,'Listado Precios'!$A:$C,3,0)</f>
        <v>13000</v>
      </c>
      <c r="I171" s="13">
        <f>VLOOKUP(M171,'Listado Precios'!$A:$C,2,0)</f>
        <v>7600</v>
      </c>
      <c r="J171" s="99">
        <v>46089</v>
      </c>
      <c r="K171" s="15"/>
      <c r="M171" s="16" t="str">
        <f>CONCATENATE(Registro!$C171,Registro!$D171)</f>
        <v>Netflix1 pantalla</v>
      </c>
    </row>
    <row r="172" spans="1:13" ht="15.75" customHeight="1">
      <c r="A172" s="7" t="s">
        <v>248</v>
      </c>
      <c r="B172" s="8" t="s">
        <v>249</v>
      </c>
      <c r="C172" s="8" t="s">
        <v>17</v>
      </c>
      <c r="D172" s="8" t="s">
        <v>14</v>
      </c>
      <c r="E172" s="17" t="s">
        <v>356</v>
      </c>
      <c r="F172" s="8" t="s">
        <v>47</v>
      </c>
      <c r="G172" s="18"/>
      <c r="H172" s="13" t="e">
        <f>VLOOKUP(M172,'Listado Precios'!$A:$C,3,0)</f>
        <v>#N/A</v>
      </c>
      <c r="I172" s="13" t="e">
        <f>VLOOKUP(M172,'Listado Precios'!$A:$C,2,0)</f>
        <v>#N/A</v>
      </c>
      <c r="J172" s="99">
        <v>46115</v>
      </c>
      <c r="K172" s="15"/>
      <c r="M172" s="16" t="str">
        <f>CONCATENATE(Registro!$C172,Registro!$D172)</f>
        <v>Spotify1 pantalla</v>
      </c>
    </row>
    <row r="173" spans="1:13" ht="15.75" customHeight="1">
      <c r="A173" s="19" t="s">
        <v>357</v>
      </c>
      <c r="B173" s="17" t="s">
        <v>358</v>
      </c>
      <c r="C173" s="8" t="s">
        <v>19</v>
      </c>
      <c r="D173" s="8"/>
      <c r="E173" s="17"/>
      <c r="F173" s="8"/>
      <c r="G173" s="18"/>
      <c r="H173" s="13">
        <f>VLOOKUP(M173,'Listado Precios'!$A:$C,3,0)</f>
        <v>25000</v>
      </c>
      <c r="I173" s="13">
        <f>VLOOKUP(M173,'Listado Precios'!$A:$C,2,0)</f>
        <v>13000</v>
      </c>
      <c r="J173" s="99">
        <v>46146</v>
      </c>
      <c r="K173" s="15"/>
      <c r="M173" s="16" t="str">
        <f>CONCATENATE(Registro!$C173,Registro!$D173)</f>
        <v>ChatGPT</v>
      </c>
    </row>
    <row r="174" spans="1:13" ht="15.75" customHeight="1">
      <c r="A174" s="7" t="s">
        <v>359</v>
      </c>
      <c r="B174" s="8" t="s">
        <v>360</v>
      </c>
      <c r="C174" s="8" t="s">
        <v>13</v>
      </c>
      <c r="D174" s="9" t="s">
        <v>14</v>
      </c>
      <c r="E174" s="20"/>
      <c r="F174" s="8"/>
      <c r="G174" s="12"/>
      <c r="H174" s="13">
        <f>VLOOKUP(M174,'Listado Precios'!$A:$C,3,0)</f>
        <v>8000</v>
      </c>
      <c r="I174" s="13">
        <f>VLOOKUP(M174,'Listado Precios'!$A:$C,2,0)</f>
        <v>5000</v>
      </c>
      <c r="J174" s="99">
        <v>45850</v>
      </c>
      <c r="K174" s="15"/>
      <c r="M174" s="16" t="str">
        <f>CONCATENATE(Registro!$C174,Registro!$D174)</f>
        <v>PrimeVideo1 pantalla</v>
      </c>
    </row>
    <row r="175" spans="1:13" ht="15.75" customHeight="1">
      <c r="A175" s="19" t="s">
        <v>361</v>
      </c>
      <c r="B175" s="17" t="s">
        <v>362</v>
      </c>
      <c r="C175" s="8" t="s">
        <v>22</v>
      </c>
      <c r="D175" s="8" t="s">
        <v>14</v>
      </c>
      <c r="E175" s="17"/>
      <c r="F175" s="8"/>
      <c r="G175" s="18"/>
      <c r="H175" s="13">
        <f>VLOOKUP(M175,'Listado Precios'!$A:$C,3,0)</f>
        <v>13000</v>
      </c>
      <c r="I175" s="13">
        <f>VLOOKUP(M175,'Listado Precios'!$A:$C,2,0)</f>
        <v>7600</v>
      </c>
      <c r="J175" s="99">
        <v>46146</v>
      </c>
      <c r="K175" s="15"/>
      <c r="M175" s="16" t="str">
        <f>CONCATENATE(Registro!$C175,Registro!$D175)</f>
        <v>Netflix1 pantalla</v>
      </c>
    </row>
    <row r="176" spans="1:13" ht="15.75" customHeight="1">
      <c r="A176" s="64" t="s">
        <v>363</v>
      </c>
      <c r="B176" s="63" t="s">
        <v>364</v>
      </c>
      <c r="C176" s="8" t="s">
        <v>22</v>
      </c>
      <c r="D176" s="21" t="s">
        <v>14</v>
      </c>
      <c r="E176" s="64"/>
      <c r="F176" s="63"/>
      <c r="G176" s="68"/>
      <c r="H176" s="13">
        <f>VLOOKUP(M176,'Listado Precios'!$A:$C,3,0)</f>
        <v>13000</v>
      </c>
      <c r="I176" s="13">
        <f>VLOOKUP(M176,'Listado Precios'!$A:$C,2,0)</f>
        <v>7600</v>
      </c>
      <c r="J176" s="99">
        <v>46139</v>
      </c>
      <c r="K176" s="15"/>
      <c r="M176" s="16" t="str">
        <f>CONCATENATE(Registro!$C176,Registro!$D176)</f>
        <v>Netflix1 pantalla</v>
      </c>
    </row>
    <row r="177" spans="1:13" ht="15.75" customHeight="1">
      <c r="A177" s="64" t="s">
        <v>363</v>
      </c>
      <c r="B177" s="63" t="s">
        <v>364</v>
      </c>
      <c r="C177" s="21" t="s">
        <v>43</v>
      </c>
      <c r="D177" s="120" t="s">
        <v>14</v>
      </c>
      <c r="E177" s="189" t="s">
        <v>365</v>
      </c>
      <c r="F177" s="189" t="s">
        <v>366</v>
      </c>
      <c r="G177" s="189"/>
      <c r="H177" s="13">
        <f>VLOOKUP(M177,'Listado Precios'!$A:$C,3,0)</f>
        <v>12000</v>
      </c>
      <c r="I177" s="13">
        <f>VLOOKUP(M177,'Listado Precios'!$A:$C,2,0)</f>
        <v>7000</v>
      </c>
      <c r="J177" s="99">
        <v>46139</v>
      </c>
      <c r="K177" s="15"/>
      <c r="M177" s="16" t="str">
        <f>CONCATENATE(Registro!$C177,Registro!$D177)</f>
        <v>DisneyP1 pantalla</v>
      </c>
    </row>
    <row r="178" spans="1:13" ht="15.75" customHeight="1">
      <c r="A178" s="19" t="s">
        <v>367</v>
      </c>
      <c r="B178" s="17" t="s">
        <v>368</v>
      </c>
      <c r="C178" s="21" t="s">
        <v>22</v>
      </c>
      <c r="D178" s="21" t="s">
        <v>14</v>
      </c>
      <c r="E178" s="64"/>
      <c r="F178" s="63"/>
      <c r="G178" s="68"/>
      <c r="H178" s="13">
        <f>VLOOKUP(M178,'Listado Precios'!$A:$C,3,0)</f>
        <v>13000</v>
      </c>
      <c r="I178" s="13">
        <f>VLOOKUP(M178,'Listado Precios'!$A:$C,2,0)</f>
        <v>7600</v>
      </c>
      <c r="J178" s="99">
        <v>46139</v>
      </c>
      <c r="K178" s="15"/>
      <c r="M178" s="16" t="str">
        <f>CONCATENATE(Registro!$C178,Registro!$D178)</f>
        <v>Netflix1 pantalla</v>
      </c>
    </row>
    <row r="179" spans="1:13" ht="15.75" customHeight="1">
      <c r="A179" s="63" t="s">
        <v>369</v>
      </c>
      <c r="B179" s="63" t="s">
        <v>370</v>
      </c>
      <c r="C179" s="21" t="s">
        <v>65</v>
      </c>
      <c r="D179" s="21" t="s">
        <v>14</v>
      </c>
      <c r="E179" s="132"/>
      <c r="F179" s="21"/>
      <c r="G179" s="133"/>
      <c r="H179" s="13">
        <f>VLOOKUP(M179,'Listado Precios'!$A:$C,3,0)</f>
        <v>8000</v>
      </c>
      <c r="I179" s="13">
        <f>VLOOKUP(M179,'Listado Precios'!$A:$C,2,0)</f>
        <v>5000</v>
      </c>
      <c r="J179" s="99">
        <v>45844</v>
      </c>
      <c r="K179" s="15"/>
      <c r="M179" s="16" t="str">
        <f>CONCATENATE(Registro!$C179,Registro!$D179)</f>
        <v>Crunchyroll1 pantalla</v>
      </c>
    </row>
    <row r="180" spans="1:13" ht="15.75" customHeight="1">
      <c r="A180" s="7" t="s">
        <v>142</v>
      </c>
      <c r="B180" s="8" t="s">
        <v>143</v>
      </c>
      <c r="C180" s="120" t="s">
        <v>22</v>
      </c>
      <c r="D180" s="21" t="s">
        <v>14</v>
      </c>
      <c r="E180" s="173"/>
      <c r="F180" s="73"/>
      <c r="G180" s="190"/>
      <c r="H180" s="13">
        <f>VLOOKUP(M180,'Listado Precios'!$A:$C,3,0)</f>
        <v>13000</v>
      </c>
      <c r="I180" s="13">
        <f>VLOOKUP(M180,'Listado Precios'!$A:$C,2,0)</f>
        <v>7600</v>
      </c>
      <c r="J180" s="28">
        <v>45695</v>
      </c>
      <c r="K180" s="15"/>
      <c r="M180" s="16" t="str">
        <f>CONCATENATE(Registro!$C180,Registro!$D180)</f>
        <v>Netflix1 pantalla</v>
      </c>
    </row>
    <row r="181" spans="1:13" ht="15.75" customHeight="1">
      <c r="A181" s="63" t="s">
        <v>371</v>
      </c>
      <c r="B181" s="63" t="s">
        <v>214</v>
      </c>
      <c r="C181" s="63" t="s">
        <v>17</v>
      </c>
      <c r="D181" s="63"/>
      <c r="E181" s="64" t="s">
        <v>372</v>
      </c>
      <c r="F181" s="63" t="s">
        <v>47</v>
      </c>
      <c r="G181" s="68"/>
      <c r="H181" s="13">
        <f>VLOOKUP(M181,'Listado Precios'!$A:$C,3,0)</f>
        <v>8000</v>
      </c>
      <c r="I181" s="13">
        <f>VLOOKUP(M181,'Listado Precios'!$A:$C,2,0)</f>
        <v>5280</v>
      </c>
      <c r="J181" s="99">
        <v>45745</v>
      </c>
      <c r="K181" s="15"/>
      <c r="M181" s="16" t="str">
        <f>CONCATENATE(Registro!$C181,Registro!$D181)</f>
        <v>Spotify</v>
      </c>
    </row>
    <row r="182" spans="1:13" ht="15.75" customHeight="1">
      <c r="A182" s="63" t="s">
        <v>373</v>
      </c>
      <c r="B182" s="63"/>
      <c r="C182" s="71" t="s">
        <v>19</v>
      </c>
      <c r="D182" s="63"/>
      <c r="E182" s="64" t="s">
        <v>374</v>
      </c>
      <c r="F182" s="63"/>
      <c r="G182" s="72"/>
      <c r="H182" s="13">
        <f>VLOOKUP(M182,'Listado Precios'!$A:$C,3,0)</f>
        <v>25000</v>
      </c>
      <c r="I182" s="13">
        <f>VLOOKUP(M182,'Listado Precios'!$A:$C,2,0)</f>
        <v>13000</v>
      </c>
      <c r="J182" s="28">
        <v>46136</v>
      </c>
      <c r="K182" s="142"/>
      <c r="M182" s="16" t="str">
        <f>CONCATENATE(Registro!$C182,Registro!$D182)</f>
        <v>ChatGPT</v>
      </c>
    </row>
    <row r="183" spans="1:13" ht="15.75" customHeight="1">
      <c r="A183" s="7" t="s">
        <v>375</v>
      </c>
      <c r="B183" s="8" t="s">
        <v>376</v>
      </c>
      <c r="C183" s="71" t="s">
        <v>22</v>
      </c>
      <c r="D183" s="63" t="s">
        <v>14</v>
      </c>
      <c r="E183" s="64"/>
      <c r="F183" s="63"/>
      <c r="G183" s="68"/>
      <c r="H183" s="13">
        <f>VLOOKUP(M183,'Listado Precios'!$A:$C,3,0)</f>
        <v>13000</v>
      </c>
      <c r="I183" s="13">
        <f>VLOOKUP(M183,'Listado Precios'!$A:$C,2,0)</f>
        <v>7600</v>
      </c>
      <c r="J183" s="28">
        <v>46133</v>
      </c>
      <c r="K183" s="61"/>
      <c r="M183" s="16" t="str">
        <f>CONCATENATE(Registro!$C183,Registro!$D183)</f>
        <v>Netflix1 pantalla</v>
      </c>
    </row>
    <row r="184" spans="1:13" ht="15.75" customHeight="1">
      <c r="A184" s="63" t="s">
        <v>377</v>
      </c>
      <c r="B184" s="63" t="s">
        <v>378</v>
      </c>
      <c r="C184" s="63" t="s">
        <v>22</v>
      </c>
      <c r="D184" s="63" t="s">
        <v>14</v>
      </c>
      <c r="E184" s="64"/>
      <c r="F184" s="63"/>
      <c r="G184" s="68"/>
      <c r="H184" s="13">
        <f>VLOOKUP(M184,'Listado Precios'!$A:$C,3,0)</f>
        <v>13000</v>
      </c>
      <c r="I184" s="13">
        <f>VLOOKUP(M184,'Listado Precios'!$A:$C,2,0)</f>
        <v>7600</v>
      </c>
      <c r="J184" s="99">
        <v>46130</v>
      </c>
      <c r="K184" s="61"/>
      <c r="M184" s="16" t="str">
        <f>CONCATENATE(Registro!$C184,Registro!$D184)</f>
        <v>Netflix1 pantalla</v>
      </c>
    </row>
    <row r="185" spans="1:13" ht="15.75" customHeight="1">
      <c r="A185" s="63" t="s">
        <v>66</v>
      </c>
      <c r="B185" s="63" t="s">
        <v>67</v>
      </c>
      <c r="C185" s="71" t="s">
        <v>43</v>
      </c>
      <c r="D185" s="63" t="s">
        <v>14</v>
      </c>
      <c r="E185" s="64"/>
      <c r="F185" s="63"/>
      <c r="G185" s="68"/>
      <c r="H185" s="13">
        <f>VLOOKUP(M185,'Listado Precios'!$A:$C,3,0)</f>
        <v>12000</v>
      </c>
      <c r="I185" s="13">
        <f>VLOOKUP(M185,'Listado Precios'!$A:$C,2,0)</f>
        <v>7000</v>
      </c>
      <c r="J185" s="28">
        <v>45748</v>
      </c>
      <c r="K185" s="61"/>
      <c r="M185" s="16" t="str">
        <f>CONCATENATE(Registro!$C185,Registro!$D185)</f>
        <v>DisneyP1 pantalla</v>
      </c>
    </row>
    <row r="186" spans="1:13" ht="15.75" customHeight="1">
      <c r="A186" s="7" t="s">
        <v>379</v>
      </c>
      <c r="B186" s="8" t="s">
        <v>380</v>
      </c>
      <c r="C186" s="8" t="s">
        <v>13</v>
      </c>
      <c r="D186" s="8" t="s">
        <v>14</v>
      </c>
      <c r="E186" s="17"/>
      <c r="F186" s="8"/>
      <c r="G186" s="18"/>
      <c r="H186" s="13">
        <f>VLOOKUP(M186,'Listado Precios'!$A:$C,3,0)</f>
        <v>8000</v>
      </c>
      <c r="I186" s="13">
        <f>VLOOKUP(M186,'Listado Precios'!$A:$C,2,0)</f>
        <v>5000</v>
      </c>
      <c r="J186" s="28">
        <v>45470</v>
      </c>
      <c r="K186" s="15"/>
      <c r="M186" s="16" t="str">
        <f>CONCATENATE(Registro!$C186,Registro!$D186)</f>
        <v>PrimeVideo1 pantalla</v>
      </c>
    </row>
    <row r="187" spans="1:13" ht="15.75" customHeight="1">
      <c r="A187" s="63" t="s">
        <v>381</v>
      </c>
      <c r="B187" s="63" t="s">
        <v>382</v>
      </c>
      <c r="C187" s="71" t="s">
        <v>19</v>
      </c>
      <c r="D187" s="63"/>
      <c r="E187" s="64"/>
      <c r="F187" s="63"/>
      <c r="G187" s="68"/>
      <c r="H187" s="13">
        <f>VLOOKUP(M187,'Listado Precios'!$A:$C,3,0)</f>
        <v>25000</v>
      </c>
      <c r="I187" s="13">
        <f>VLOOKUP(M187,'Listado Precios'!$A:$C,2,0)</f>
        <v>13000</v>
      </c>
      <c r="J187" s="99">
        <v>46041</v>
      </c>
      <c r="K187" s="61"/>
      <c r="M187" s="16" t="str">
        <f>CONCATENATE(Registro!$C187,Registro!$D187)</f>
        <v>ChatGPT</v>
      </c>
    </row>
    <row r="188" spans="1:13" ht="15.75" customHeight="1">
      <c r="A188" s="63" t="s">
        <v>383</v>
      </c>
      <c r="B188" s="63" t="s">
        <v>384</v>
      </c>
      <c r="C188" s="63" t="s">
        <v>13</v>
      </c>
      <c r="D188" s="63" t="s">
        <v>14</v>
      </c>
      <c r="E188" s="64"/>
      <c r="F188" s="63"/>
      <c r="G188" s="68"/>
      <c r="H188" s="13">
        <f>VLOOKUP(M188,'Listado Precios'!$A:$C,3,0)</f>
        <v>8000</v>
      </c>
      <c r="I188" s="13">
        <f>VLOOKUP(M188,'Listado Precios'!$A:$C,2,0)</f>
        <v>5000</v>
      </c>
      <c r="J188" s="99">
        <v>46062</v>
      </c>
      <c r="K188" s="61"/>
      <c r="M188" s="16" t="str">
        <f>CONCATENATE(Registro!$C188,Registro!$D188)</f>
        <v>PrimeVideo1 pantalla</v>
      </c>
    </row>
    <row r="189" spans="1:13" ht="15.75" customHeight="1">
      <c r="A189" s="63" t="s">
        <v>385</v>
      </c>
      <c r="B189" s="63" t="s">
        <v>386</v>
      </c>
      <c r="C189" s="71" t="s">
        <v>25</v>
      </c>
      <c r="D189" s="63" t="s">
        <v>14</v>
      </c>
      <c r="E189" s="64"/>
      <c r="F189" s="63"/>
      <c r="G189" s="68"/>
      <c r="H189" s="13">
        <f>VLOOKUP(M189,'Listado Precios'!$A:$C,3,0)</f>
        <v>8000</v>
      </c>
      <c r="I189" s="13">
        <f>VLOOKUP(M189,'Listado Precios'!$A:$C,2,0)</f>
        <v>5000</v>
      </c>
      <c r="J189" s="99">
        <v>45911</v>
      </c>
      <c r="K189" s="61"/>
      <c r="M189" s="16" t="str">
        <f>CONCATENATE(Registro!$C189,Registro!$D189)</f>
        <v>HBO1 pantalla</v>
      </c>
    </row>
    <row r="190" spans="1:13" ht="15.75" customHeight="1">
      <c r="A190" s="63" t="s">
        <v>387</v>
      </c>
      <c r="B190" s="63" t="s">
        <v>388</v>
      </c>
      <c r="C190" s="71" t="s">
        <v>263</v>
      </c>
      <c r="D190" s="63" t="s">
        <v>14</v>
      </c>
      <c r="E190" s="64"/>
      <c r="F190" s="63"/>
      <c r="G190" s="68"/>
      <c r="H190" s="13">
        <f>VLOOKUP(M190,'Listado Precios'!$A:$C,3,0)</f>
        <v>8000</v>
      </c>
      <c r="I190" s="13">
        <f>VLOOKUP(M190,'Listado Precios'!$A:$C,2,0)</f>
        <v>5000</v>
      </c>
      <c r="J190" s="99">
        <v>46127</v>
      </c>
      <c r="K190" s="61"/>
      <c r="M190" s="16" t="str">
        <f>CONCATENATE(Registro!$C190,Registro!$D190)</f>
        <v>Vix1 pantalla</v>
      </c>
    </row>
    <row r="191" spans="1:13" ht="15.75" customHeight="1">
      <c r="A191" s="7" t="s">
        <v>389</v>
      </c>
      <c r="B191" s="8" t="s">
        <v>390</v>
      </c>
      <c r="C191" s="71" t="s">
        <v>43</v>
      </c>
      <c r="D191" s="63" t="s">
        <v>14</v>
      </c>
      <c r="E191" s="64"/>
      <c r="F191" s="123"/>
      <c r="G191" s="68"/>
      <c r="H191" s="13">
        <f>VLOOKUP(M191,'Listado Precios'!$A:$C,3,0)</f>
        <v>12000</v>
      </c>
      <c r="I191" s="13">
        <f>VLOOKUP(M191,'Listado Precios'!$A:$C,2,0)</f>
        <v>7000</v>
      </c>
      <c r="J191" s="99">
        <v>46127</v>
      </c>
      <c r="K191" s="61"/>
      <c r="M191" s="16" t="str">
        <f>CONCATENATE(Registro!$C191,Registro!$D191)</f>
        <v>DisneyP1 pantalla</v>
      </c>
    </row>
    <row r="192" spans="1:13" ht="15.75" customHeight="1">
      <c r="A192" s="7" t="s">
        <v>391</v>
      </c>
      <c r="B192" s="8" t="s">
        <v>392</v>
      </c>
      <c r="C192" s="71" t="s">
        <v>22</v>
      </c>
      <c r="D192" s="63" t="s">
        <v>14</v>
      </c>
      <c r="E192" s="78"/>
      <c r="F192" s="63"/>
      <c r="G192" s="72"/>
      <c r="H192" s="13">
        <f>VLOOKUP(M192,'Listado Precios'!$A:$C,3,0)</f>
        <v>13000</v>
      </c>
      <c r="I192" s="13">
        <f>VLOOKUP(M192,'Listado Precios'!$A:$C,2,0)</f>
        <v>7600</v>
      </c>
      <c r="J192" s="99">
        <v>46127</v>
      </c>
      <c r="K192" s="61"/>
      <c r="M192" s="16" t="str">
        <f>CONCATENATE(Registro!$C192,Registro!$D192)</f>
        <v>Netflix1 pantalla</v>
      </c>
    </row>
    <row r="193" spans="1:13" ht="15.75" customHeight="1">
      <c r="A193" s="63" t="s">
        <v>393</v>
      </c>
      <c r="B193" s="63" t="s">
        <v>394</v>
      </c>
      <c r="C193" s="71" t="s">
        <v>22</v>
      </c>
      <c r="D193" s="63" t="s">
        <v>144</v>
      </c>
      <c r="E193" s="78"/>
      <c r="F193" s="8"/>
      <c r="G193" s="72"/>
      <c r="H193" s="13" t="e">
        <f>VLOOKUP(M193,'Listado Precios'!$A:$C,3,0)</f>
        <v>#N/A</v>
      </c>
      <c r="I193" s="13" t="e">
        <f>VLOOKUP(M193,'Listado Precios'!$A:$C,2,0)</f>
        <v>#N/A</v>
      </c>
      <c r="J193" s="28">
        <v>46098</v>
      </c>
      <c r="K193" s="61"/>
      <c r="M193" s="16" t="str">
        <f>CONCATENATE(Registro!$C193,Registro!$D193)</f>
        <v xml:space="preserve">Netflix2 pantallas </v>
      </c>
    </row>
    <row r="194" spans="1:13" ht="15.75" customHeight="1">
      <c r="A194" s="63" t="s">
        <v>383</v>
      </c>
      <c r="B194" s="63" t="s">
        <v>384</v>
      </c>
      <c r="C194" s="71" t="s">
        <v>22</v>
      </c>
      <c r="D194" s="80" t="s">
        <v>14</v>
      </c>
      <c r="E194" s="74"/>
      <c r="F194" s="63"/>
      <c r="G194" s="72"/>
      <c r="H194" s="13">
        <f>VLOOKUP(M194,'Listado Precios'!$A:$C,3,0)</f>
        <v>13000</v>
      </c>
      <c r="I194" s="13">
        <f>VLOOKUP(M194,'Listado Precios'!$A:$C,2,0)</f>
        <v>7600</v>
      </c>
      <c r="J194" s="28">
        <v>45739</v>
      </c>
      <c r="K194" s="61"/>
      <c r="M194" s="16" t="str">
        <f>CONCATENATE(Registro!$C194,Registro!$D194)</f>
        <v>Netflix1 pantalla</v>
      </c>
    </row>
    <row r="195" spans="1:13" ht="15.75" customHeight="1">
      <c r="A195" s="63" t="s">
        <v>395</v>
      </c>
      <c r="B195" s="63" t="s">
        <v>396</v>
      </c>
      <c r="C195" s="71" t="s">
        <v>22</v>
      </c>
      <c r="D195" s="63" t="s">
        <v>14</v>
      </c>
      <c r="E195" s="64" t="s">
        <v>397</v>
      </c>
      <c r="F195" s="63"/>
      <c r="G195" s="68"/>
      <c r="H195" s="13">
        <f>VLOOKUP(M195,'Listado Precios'!$A:$C,3,0)</f>
        <v>13000</v>
      </c>
      <c r="I195" s="13">
        <f>VLOOKUP(M195,'Listado Precios'!$A:$C,2,0)</f>
        <v>7600</v>
      </c>
      <c r="J195" s="28">
        <v>45676</v>
      </c>
      <c r="K195" s="61"/>
      <c r="M195" s="16" t="str">
        <f>CONCATENATE(Registro!$C195,Registro!$D195)</f>
        <v>Netflix1 pantalla</v>
      </c>
    </row>
    <row r="196" spans="1:13" ht="15.75" customHeight="1">
      <c r="A196" s="63" t="s">
        <v>398</v>
      </c>
      <c r="B196" s="63" t="s">
        <v>399</v>
      </c>
      <c r="C196" s="71" t="s">
        <v>19</v>
      </c>
      <c r="D196" s="63" t="s">
        <v>14</v>
      </c>
      <c r="E196" s="64"/>
      <c r="F196" s="63"/>
      <c r="G196" s="68"/>
      <c r="H196" s="13" t="e">
        <f>VLOOKUP(M196,'Listado Precios'!$A:$C,3,0)</f>
        <v>#N/A</v>
      </c>
      <c r="I196" s="13" t="e">
        <f>VLOOKUP(M196,'Listado Precios'!$A:$C,2,0)</f>
        <v>#N/A</v>
      </c>
      <c r="J196" s="99">
        <v>45987</v>
      </c>
      <c r="K196" s="61"/>
      <c r="M196" s="16" t="str">
        <f>CONCATENATE(Registro!$C196,Registro!$D196)</f>
        <v>ChatGPT1 pantalla</v>
      </c>
    </row>
    <row r="197" spans="1:13" ht="15.75" customHeight="1">
      <c r="A197" s="19" t="s">
        <v>400</v>
      </c>
      <c r="B197" s="17" t="s">
        <v>401</v>
      </c>
      <c r="C197" s="63" t="s">
        <v>19</v>
      </c>
      <c r="D197" s="63"/>
      <c r="E197" s="64"/>
      <c r="F197" s="63"/>
      <c r="G197" s="68"/>
      <c r="H197" s="13">
        <f>VLOOKUP(M197,'Listado Precios'!$A:$C,3,0)</f>
        <v>25000</v>
      </c>
      <c r="I197" s="13">
        <f>VLOOKUP(M197,'Listado Precios'!$A:$C,2,0)</f>
        <v>13000</v>
      </c>
      <c r="J197" s="99">
        <v>46027</v>
      </c>
      <c r="K197" s="61"/>
      <c r="M197" s="16" t="str">
        <f>CONCATENATE(Registro!$C197,Registro!$D197)</f>
        <v>ChatGPT</v>
      </c>
    </row>
    <row r="198" spans="1:13" ht="15.75" customHeight="1">
      <c r="A198" s="64" t="s">
        <v>402</v>
      </c>
      <c r="B198" s="63" t="s">
        <v>403</v>
      </c>
      <c r="C198" s="63" t="s">
        <v>13</v>
      </c>
      <c r="D198" s="71" t="s">
        <v>14</v>
      </c>
      <c r="E198" s="113"/>
      <c r="F198" s="63"/>
      <c r="G198" s="72"/>
      <c r="H198" s="13">
        <f>VLOOKUP(M198,'Listado Precios'!$A:$C,3,0)</f>
        <v>8000</v>
      </c>
      <c r="I198" s="13">
        <f>VLOOKUP(M198,'Listado Precios'!$A:$C,2,0)</f>
        <v>5000</v>
      </c>
      <c r="J198" s="28">
        <v>46090</v>
      </c>
      <c r="K198" s="61"/>
      <c r="M198" s="16" t="str">
        <f>CONCATENATE(Registro!$C198,Registro!$D198)</f>
        <v>PrimeVideo1 pantalla</v>
      </c>
    </row>
    <row r="199" spans="1:13" ht="15.75" customHeight="1">
      <c r="A199" s="64" t="s">
        <v>404</v>
      </c>
      <c r="B199" s="64" t="s">
        <v>405</v>
      </c>
      <c r="C199" s="63" t="s">
        <v>19</v>
      </c>
      <c r="D199" s="63"/>
      <c r="E199" s="64"/>
      <c r="F199" s="63"/>
      <c r="G199" s="68"/>
      <c r="H199" s="13">
        <f>VLOOKUP(M199,'Listado Precios'!$A:$C,3,0)</f>
        <v>25000</v>
      </c>
      <c r="I199" s="13">
        <f>VLOOKUP(M199,'Listado Precios'!$A:$C,2,0)</f>
        <v>13000</v>
      </c>
      <c r="J199" s="99">
        <v>46120</v>
      </c>
      <c r="K199" s="61"/>
      <c r="M199" s="16" t="str">
        <f>CONCATENATE(Registro!$C199,Registro!$D199)</f>
        <v>ChatGPT</v>
      </c>
    </row>
    <row r="200" spans="1:13" ht="15.75" customHeight="1">
      <c r="A200" s="7" t="s">
        <v>134</v>
      </c>
      <c r="B200" s="8" t="s">
        <v>135</v>
      </c>
      <c r="C200" s="63" t="s">
        <v>77</v>
      </c>
      <c r="D200" s="63" t="s">
        <v>14</v>
      </c>
      <c r="E200" s="64"/>
      <c r="F200" s="63"/>
      <c r="G200" s="68"/>
      <c r="H200" s="13" t="e">
        <f>VLOOKUP(M200,'Listado Precios'!$A:$C,3,0)</f>
        <v>#N/A</v>
      </c>
      <c r="I200" s="13" t="e">
        <f>VLOOKUP(M200,'Listado Precios'!$A:$C,2,0)</f>
        <v>#N/A</v>
      </c>
      <c r="J200" s="99">
        <v>46149</v>
      </c>
      <c r="K200" s="61"/>
      <c r="M200" s="16" t="str">
        <f>CONCATENATE(Registro!$C200,Registro!$D200)</f>
        <v>Paramount1 pantalla</v>
      </c>
    </row>
    <row r="201" spans="1:13" ht="15.75" customHeight="1">
      <c r="A201" s="64" t="s">
        <v>402</v>
      </c>
      <c r="B201" s="63" t="s">
        <v>403</v>
      </c>
      <c r="C201" s="63" t="s">
        <v>406</v>
      </c>
      <c r="D201" s="63"/>
      <c r="E201" s="64"/>
      <c r="F201" s="63"/>
      <c r="G201" s="68"/>
      <c r="H201" s="13">
        <f>VLOOKUP(M201,'Listado Precios'!$A:$C,3,0)</f>
        <v>7000</v>
      </c>
      <c r="I201" s="13">
        <f>VLOOKUP(M201,'Listado Precios'!$A:$C,2,0)</f>
        <v>3200</v>
      </c>
      <c r="J201" s="99">
        <v>46063</v>
      </c>
      <c r="K201" s="61"/>
      <c r="M201" s="16" t="str">
        <f>CONCATENATE(Registro!$C201,Registro!$D201)</f>
        <v>Youtube</v>
      </c>
    </row>
    <row r="202" spans="1:13" ht="15.75" customHeight="1">
      <c r="A202" s="64" t="s">
        <v>407</v>
      </c>
      <c r="B202" s="64" t="s">
        <v>408</v>
      </c>
      <c r="C202" s="63" t="s">
        <v>22</v>
      </c>
      <c r="D202" s="63" t="s">
        <v>14</v>
      </c>
      <c r="E202" s="64"/>
      <c r="F202" s="63"/>
      <c r="G202" s="68"/>
      <c r="H202" s="13">
        <f>VLOOKUP(M202,'Listado Precios'!$A:$C,3,0)</f>
        <v>13000</v>
      </c>
      <c r="I202" s="13">
        <f>VLOOKUP(M202,'Listado Precios'!$A:$C,2,0)</f>
        <v>7600</v>
      </c>
      <c r="J202" s="99">
        <v>46024</v>
      </c>
      <c r="K202" s="61"/>
      <c r="M202" s="16" t="str">
        <f>CONCATENATE(Registro!$C202,Registro!$D202)</f>
        <v>Netflix1 pantalla</v>
      </c>
    </row>
    <row r="203" spans="1:13" ht="15.75" customHeight="1">
      <c r="A203" s="7" t="s">
        <v>409</v>
      </c>
      <c r="B203" s="8" t="s">
        <v>410</v>
      </c>
      <c r="C203" s="71" t="s">
        <v>43</v>
      </c>
      <c r="D203" s="63" t="s">
        <v>14</v>
      </c>
      <c r="E203" s="64"/>
      <c r="F203" s="63"/>
      <c r="G203" s="68"/>
      <c r="H203" s="13">
        <f>VLOOKUP(M203,'Listado Precios'!$A:$C,3,0)</f>
        <v>12000</v>
      </c>
      <c r="I203" s="13">
        <f>VLOOKUP(M203,'Listado Precios'!$A:$C,2,0)</f>
        <v>7000</v>
      </c>
      <c r="J203" s="99">
        <v>45927</v>
      </c>
      <c r="K203" s="61"/>
      <c r="M203" s="16" t="str">
        <f>CONCATENATE(Registro!$C203,Registro!$D203)</f>
        <v>DisneyP1 pantalla</v>
      </c>
    </row>
    <row r="204" spans="1:13" ht="15.75" customHeight="1">
      <c r="A204" s="64" t="s">
        <v>411</v>
      </c>
      <c r="B204" s="64" t="s">
        <v>412</v>
      </c>
      <c r="C204" s="63" t="s">
        <v>43</v>
      </c>
      <c r="D204" s="63" t="s">
        <v>14</v>
      </c>
      <c r="E204" s="64"/>
      <c r="F204" s="63"/>
      <c r="G204" s="68"/>
      <c r="H204" s="13">
        <f>VLOOKUP(M204,'Listado Precios'!$A:$C,3,0)</f>
        <v>12000</v>
      </c>
      <c r="I204" s="13">
        <f>VLOOKUP(M204,'Listado Precios'!$A:$C,2,0)</f>
        <v>7000</v>
      </c>
      <c r="J204" s="99">
        <v>46112</v>
      </c>
      <c r="K204" s="61"/>
      <c r="M204" s="16" t="str">
        <f>CONCATENATE(Registro!$C204,Registro!$D204)</f>
        <v>DisneyP1 pantalla</v>
      </c>
    </row>
    <row r="205" spans="1:13" ht="15.75" customHeight="1">
      <c r="A205" s="64" t="s">
        <v>230</v>
      </c>
      <c r="B205" s="64" t="s">
        <v>231</v>
      </c>
      <c r="C205" s="63" t="s">
        <v>25</v>
      </c>
      <c r="D205" s="63" t="s">
        <v>14</v>
      </c>
      <c r="E205" s="64"/>
      <c r="F205" s="63"/>
      <c r="G205" s="68"/>
      <c r="H205" s="13">
        <f>VLOOKUP(M205,'Listado Precios'!$A:$C,3,0)</f>
        <v>8000</v>
      </c>
      <c r="I205" s="13">
        <f>VLOOKUP(M205,'Listado Precios'!$A:$C,2,0)</f>
        <v>5000</v>
      </c>
      <c r="J205" s="99">
        <v>46114</v>
      </c>
      <c r="K205" s="61"/>
      <c r="M205" s="16" t="str">
        <f>CONCATENATE(Registro!$C205,Registro!$D205)</f>
        <v>HBO1 pantalla</v>
      </c>
    </row>
    <row r="206" spans="1:13" ht="15.75" customHeight="1">
      <c r="A206" s="63" t="s">
        <v>236</v>
      </c>
      <c r="B206" s="63" t="s">
        <v>253</v>
      </c>
      <c r="C206" s="71" t="s">
        <v>25</v>
      </c>
      <c r="D206" s="63" t="s">
        <v>14</v>
      </c>
      <c r="E206" s="64"/>
      <c r="F206" s="63"/>
      <c r="G206" s="68"/>
      <c r="H206" s="13">
        <f>VLOOKUP(M206,'Listado Precios'!$A:$C,3,0)</f>
        <v>8000</v>
      </c>
      <c r="I206" s="13">
        <f>VLOOKUP(M206,'Listado Precios'!$A:$C,2,0)</f>
        <v>5000</v>
      </c>
      <c r="J206" s="99">
        <v>45913</v>
      </c>
      <c r="K206" s="61"/>
      <c r="M206" s="16" t="str">
        <f>CONCATENATE(Registro!$C206,Registro!$D206)</f>
        <v>HBO1 pantalla</v>
      </c>
    </row>
    <row r="207" spans="1:13" ht="15.75" customHeight="1">
      <c r="A207" s="63" t="s">
        <v>413</v>
      </c>
      <c r="B207" s="63" t="s">
        <v>414</v>
      </c>
      <c r="C207" s="71" t="s">
        <v>17</v>
      </c>
      <c r="D207" s="63"/>
      <c r="E207" s="64" t="s">
        <v>415</v>
      </c>
      <c r="F207" s="63" t="s">
        <v>164</v>
      </c>
      <c r="G207" s="68"/>
      <c r="H207" s="13">
        <f>VLOOKUP(M207,'Listado Precios'!$A:$C,3,0)</f>
        <v>8000</v>
      </c>
      <c r="I207" s="13">
        <f>VLOOKUP(M207,'Listado Precios'!$A:$C,2,0)</f>
        <v>5280</v>
      </c>
      <c r="J207" s="99">
        <v>45961</v>
      </c>
      <c r="K207" s="61"/>
      <c r="M207" s="16" t="str">
        <f>CONCATENATE(Registro!$C207,Registro!$D207)</f>
        <v>Spotify</v>
      </c>
    </row>
    <row r="208" spans="1:13" ht="15.75" customHeight="1">
      <c r="A208" s="63" t="s">
        <v>416</v>
      </c>
      <c r="B208" s="63" t="s">
        <v>417</v>
      </c>
      <c r="C208" s="71" t="s">
        <v>25</v>
      </c>
      <c r="D208" s="63" t="s">
        <v>14</v>
      </c>
      <c r="E208" s="78"/>
      <c r="F208" s="63"/>
      <c r="G208" s="72"/>
      <c r="H208" s="13">
        <f>VLOOKUP(M208,'Listado Precios'!$A:$C,3,0)</f>
        <v>8000</v>
      </c>
      <c r="I208" s="13">
        <f>VLOOKUP(M208,'Listado Precios'!$A:$C,2,0)</f>
        <v>5000</v>
      </c>
      <c r="J208" s="28">
        <v>45653</v>
      </c>
      <c r="K208" s="61"/>
      <c r="M208" s="16" t="str">
        <f>CONCATENATE(Registro!$C208,Registro!$D208)</f>
        <v>HBO1 pantalla</v>
      </c>
    </row>
    <row r="209" spans="1:13" ht="15.75" customHeight="1">
      <c r="A209" s="63" t="s">
        <v>312</v>
      </c>
      <c r="B209" s="63" t="s">
        <v>313</v>
      </c>
      <c r="C209" s="71" t="s">
        <v>22</v>
      </c>
      <c r="D209" s="63" t="s">
        <v>14</v>
      </c>
      <c r="E209" s="17"/>
      <c r="F209" s="63"/>
      <c r="G209" s="68"/>
      <c r="H209" s="13">
        <f>VLOOKUP(M209,'Listado Precios'!$A:$C,3,0)</f>
        <v>13000</v>
      </c>
      <c r="I209" s="13">
        <f>VLOOKUP(M209,'Listado Precios'!$A:$C,2,0)</f>
        <v>7600</v>
      </c>
      <c r="J209" s="99">
        <v>46003</v>
      </c>
      <c r="K209" s="61"/>
      <c r="M209" s="16" t="str">
        <f>CONCATENATE(Registro!$C209,Registro!$D209)</f>
        <v>Netflix1 pantalla</v>
      </c>
    </row>
    <row r="210" spans="1:13" ht="15.75" customHeight="1">
      <c r="A210" s="63" t="s">
        <v>418</v>
      </c>
      <c r="B210" s="63" t="s">
        <v>419</v>
      </c>
      <c r="C210" s="71" t="s">
        <v>43</v>
      </c>
      <c r="D210" s="63" t="s">
        <v>14</v>
      </c>
      <c r="E210" s="64"/>
      <c r="F210" s="63"/>
      <c r="G210" s="68"/>
      <c r="H210" s="13">
        <f>VLOOKUP(M210,'Listado Precios'!$A:$C,3,0)</f>
        <v>12000</v>
      </c>
      <c r="I210" s="13">
        <f>VLOOKUP(M210,'Listado Precios'!$A:$C,2,0)</f>
        <v>7000</v>
      </c>
      <c r="J210" s="99">
        <v>45983</v>
      </c>
      <c r="K210" s="61"/>
      <c r="M210" s="16" t="str">
        <f>CONCATENATE(Registro!$C210,Registro!$D210)</f>
        <v>DisneyP1 pantalla</v>
      </c>
    </row>
    <row r="211" spans="1:13" ht="15.75" customHeight="1">
      <c r="A211" s="64" t="s">
        <v>420</v>
      </c>
      <c r="B211" s="64" t="s">
        <v>421</v>
      </c>
      <c r="C211" s="63" t="s">
        <v>22</v>
      </c>
      <c r="D211" s="63" t="s">
        <v>14</v>
      </c>
      <c r="E211" s="64"/>
      <c r="F211" s="63"/>
      <c r="G211" s="68"/>
      <c r="H211" s="13">
        <f>VLOOKUP(M211,'Listado Precios'!$A:$C,3,0)</f>
        <v>13000</v>
      </c>
      <c r="I211" s="13">
        <f>VLOOKUP(M211,'Listado Precios'!$A:$C,2,0)</f>
        <v>7600</v>
      </c>
      <c r="J211" s="99">
        <v>46034</v>
      </c>
      <c r="K211" s="61"/>
      <c r="M211" s="16" t="str">
        <f>CONCATENATE(Registro!$C211,Registro!$D211)</f>
        <v>Netflix1 pantalla</v>
      </c>
    </row>
    <row r="212" spans="1:13" ht="15.75" customHeight="1">
      <c r="A212" s="63" t="s">
        <v>422</v>
      </c>
      <c r="B212" s="123" t="s">
        <v>423</v>
      </c>
      <c r="C212" s="71" t="s">
        <v>13</v>
      </c>
      <c r="D212" s="63" t="s">
        <v>14</v>
      </c>
      <c r="E212" s="64" t="s">
        <v>424</v>
      </c>
      <c r="F212" s="63" t="s">
        <v>425</v>
      </c>
      <c r="G212" s="68"/>
      <c r="H212" s="13">
        <f>VLOOKUP(M212,'Listado Precios'!$A:$C,3,0)</f>
        <v>8000</v>
      </c>
      <c r="I212" s="13">
        <f>VLOOKUP(M212,'Listado Precios'!$A:$C,2,0)</f>
        <v>5000</v>
      </c>
      <c r="J212" s="99">
        <v>45536</v>
      </c>
      <c r="K212" s="61"/>
      <c r="M212" s="16" t="str">
        <f>CONCATENATE(Registro!$C212,Registro!$D212)</f>
        <v>PrimeVideo1 pantalla</v>
      </c>
    </row>
    <row r="213" spans="1:13" ht="15.75" customHeight="1">
      <c r="A213" s="63" t="s">
        <v>426</v>
      </c>
      <c r="B213" s="63" t="s">
        <v>427</v>
      </c>
      <c r="C213" s="71" t="s">
        <v>17</v>
      </c>
      <c r="D213" s="63"/>
      <c r="E213" s="64" t="s">
        <v>428</v>
      </c>
      <c r="F213" s="63" t="s">
        <v>47</v>
      </c>
      <c r="G213" s="68"/>
      <c r="H213" s="13">
        <f>VLOOKUP(M213,'Listado Precios'!$A:$C,3,0)</f>
        <v>8000</v>
      </c>
      <c r="I213" s="13">
        <f>VLOOKUP(M213,'Listado Precios'!$A:$C,2,0)</f>
        <v>5280</v>
      </c>
      <c r="J213" s="99">
        <v>45902</v>
      </c>
      <c r="K213" s="61"/>
      <c r="M213" s="16" t="str">
        <f>CONCATENATE(Registro!$C213,Registro!$D213)</f>
        <v>Spotify</v>
      </c>
    </row>
    <row r="214" spans="1:13" ht="15.75" customHeight="1">
      <c r="A214" s="64" t="s">
        <v>429</v>
      </c>
      <c r="B214" s="64" t="s">
        <v>430</v>
      </c>
      <c r="C214" s="71" t="s">
        <v>22</v>
      </c>
      <c r="D214" s="71" t="s">
        <v>14</v>
      </c>
      <c r="E214" s="78"/>
      <c r="F214" s="63"/>
      <c r="G214" s="72"/>
      <c r="H214" s="13">
        <f>VLOOKUP(M214,'Listado Precios'!$A:$C,3,0)</f>
        <v>13000</v>
      </c>
      <c r="I214" s="13">
        <f>VLOOKUP(M214,'Listado Precios'!$A:$C,2,0)</f>
        <v>7600</v>
      </c>
      <c r="J214" s="28">
        <v>45667</v>
      </c>
      <c r="K214" s="61"/>
      <c r="M214" s="16" t="str">
        <f>CONCATENATE(Registro!$C214,Registro!$D214)</f>
        <v>Netflix1 pantalla</v>
      </c>
    </row>
    <row r="215" spans="1:13" ht="15.75" customHeight="1">
      <c r="A215" s="64" t="s">
        <v>426</v>
      </c>
      <c r="B215" s="64"/>
      <c r="C215" s="63" t="s">
        <v>22</v>
      </c>
      <c r="D215" s="63" t="s">
        <v>14</v>
      </c>
      <c r="E215" s="64"/>
      <c r="F215" s="63"/>
      <c r="G215" s="68"/>
      <c r="H215" s="13">
        <f>VLOOKUP(M215,'Listado Precios'!$A:$C,3,0)</f>
        <v>13000</v>
      </c>
      <c r="I215" s="13">
        <f>VLOOKUP(M215,'Listado Precios'!$A:$C,2,0)</f>
        <v>7600</v>
      </c>
      <c r="J215" s="99">
        <v>45400</v>
      </c>
      <c r="K215" s="61"/>
      <c r="M215" s="16" t="str">
        <f>CONCATENATE(Registro!$C215,Registro!$D215)</f>
        <v>Netflix1 pantalla</v>
      </c>
    </row>
    <row r="216" spans="1:13" ht="15.75" customHeight="1">
      <c r="A216" s="64" t="s">
        <v>429</v>
      </c>
      <c r="B216" s="64" t="s">
        <v>430</v>
      </c>
      <c r="C216" s="63" t="s">
        <v>43</v>
      </c>
      <c r="D216" s="71" t="s">
        <v>14</v>
      </c>
      <c r="E216" s="78"/>
      <c r="F216" s="63"/>
      <c r="G216" s="72"/>
      <c r="H216" s="13">
        <f>VLOOKUP(M216,'Listado Precios'!$A:$C,3,0)</f>
        <v>12000</v>
      </c>
      <c r="I216" s="13">
        <f>VLOOKUP(M216,'Listado Precios'!$A:$C,2,0)</f>
        <v>7000</v>
      </c>
      <c r="J216" s="28">
        <v>45667</v>
      </c>
      <c r="K216" s="61"/>
      <c r="M216" s="16" t="str">
        <f>CONCATENATE(Registro!$C216,Registro!$D216)</f>
        <v>DisneyP1 pantalla</v>
      </c>
    </row>
    <row r="217" spans="1:13" ht="15.75" customHeight="1">
      <c r="A217" s="64" t="s">
        <v>15</v>
      </c>
      <c r="B217" s="64" t="s">
        <v>16</v>
      </c>
      <c r="C217" s="71" t="s">
        <v>65</v>
      </c>
      <c r="D217" s="63" t="s">
        <v>14</v>
      </c>
      <c r="E217" s="64"/>
      <c r="F217" s="63"/>
      <c r="G217" s="68"/>
      <c r="H217" s="13">
        <f>VLOOKUP(M217,'Listado Precios'!$A:$C,3,0)</f>
        <v>8000</v>
      </c>
      <c r="I217" s="13">
        <f>VLOOKUP(M217,'Listado Precios'!$A:$C,2,0)</f>
        <v>5000</v>
      </c>
      <c r="J217" s="99">
        <v>45959</v>
      </c>
      <c r="K217" s="61"/>
      <c r="M217" s="16" t="str">
        <f>CONCATENATE(Registro!$C217,Registro!$D217)</f>
        <v>Crunchyroll1 pantalla</v>
      </c>
    </row>
    <row r="218" spans="1:13" ht="15.75" customHeight="1">
      <c r="A218" s="63" t="s">
        <v>431</v>
      </c>
      <c r="B218" s="63" t="s">
        <v>432</v>
      </c>
      <c r="C218" s="71" t="s">
        <v>22</v>
      </c>
      <c r="D218" s="63" t="s">
        <v>14</v>
      </c>
      <c r="E218" s="64"/>
      <c r="F218" s="63"/>
      <c r="G218" s="68"/>
      <c r="H218" s="13">
        <f>VLOOKUP(M218,'Listado Precios'!$A:$C,3,0)</f>
        <v>13000</v>
      </c>
      <c r="I218" s="13">
        <f>VLOOKUP(M218,'Listado Precios'!$A:$C,2,0)</f>
        <v>7600</v>
      </c>
      <c r="J218" s="28">
        <v>45667</v>
      </c>
      <c r="K218" s="61"/>
      <c r="M218" s="16" t="str">
        <f>CONCATENATE(Registro!$C218,Registro!$D218)</f>
        <v>Netflix1 pantalla</v>
      </c>
    </row>
    <row r="219" spans="1:13" ht="15.75" customHeight="1">
      <c r="A219" s="64" t="s">
        <v>433</v>
      </c>
      <c r="B219" s="64" t="s">
        <v>434</v>
      </c>
      <c r="C219" s="63" t="s">
        <v>43</v>
      </c>
      <c r="D219" s="63" t="s">
        <v>14</v>
      </c>
      <c r="E219" s="64"/>
      <c r="F219" s="63"/>
      <c r="G219" s="68"/>
      <c r="H219" s="13">
        <f>VLOOKUP(M219,'Listado Precios'!$A:$C,3,0)</f>
        <v>12000</v>
      </c>
      <c r="I219" s="13">
        <f>VLOOKUP(M219,'Listado Precios'!$A:$C,2,0)</f>
        <v>7000</v>
      </c>
      <c r="J219" s="99">
        <v>46058</v>
      </c>
      <c r="K219" s="61"/>
      <c r="M219" s="16" t="str">
        <f>CONCATENATE(Registro!$C219,Registro!$D219)</f>
        <v>DisneyP1 pantalla</v>
      </c>
    </row>
    <row r="220" spans="1:13" ht="15.75" customHeight="1">
      <c r="A220" s="64" t="s">
        <v>435</v>
      </c>
      <c r="B220" s="64" t="s">
        <v>436</v>
      </c>
      <c r="C220" s="63" t="s">
        <v>25</v>
      </c>
      <c r="D220" s="63" t="s">
        <v>14</v>
      </c>
      <c r="E220" s="64"/>
      <c r="F220" s="63"/>
      <c r="G220" s="68"/>
      <c r="H220" s="13">
        <f>VLOOKUP(M220,'Listado Precios'!$A:$C,3,0)</f>
        <v>8000</v>
      </c>
      <c r="I220" s="13">
        <f>VLOOKUP(M220,'Listado Precios'!$A:$C,2,0)</f>
        <v>5000</v>
      </c>
      <c r="J220" s="99">
        <v>46082</v>
      </c>
      <c r="K220" s="61"/>
      <c r="M220" s="16" t="str">
        <f>CONCATENATE(Registro!$C220,Registro!$D220)</f>
        <v>HBO1 pantalla</v>
      </c>
    </row>
    <row r="221" spans="1:13" ht="15.75" customHeight="1">
      <c r="A221" s="7" t="s">
        <v>402</v>
      </c>
      <c r="B221" s="8" t="s">
        <v>403</v>
      </c>
      <c r="C221" s="71" t="s">
        <v>22</v>
      </c>
      <c r="D221" s="63" t="s">
        <v>14</v>
      </c>
      <c r="E221" s="64"/>
      <c r="F221" s="63"/>
      <c r="G221" s="68"/>
      <c r="H221" s="13">
        <f>VLOOKUP(M221,'Listado Precios'!$A:$C,3,0)</f>
        <v>13000</v>
      </c>
      <c r="I221" s="13">
        <f>VLOOKUP(M221,'Listado Precios'!$A:$C,2,0)</f>
        <v>7600</v>
      </c>
      <c r="J221" s="99">
        <v>45764</v>
      </c>
      <c r="K221" s="61"/>
      <c r="M221" s="16" t="str">
        <f>CONCATENATE(Registro!$C221,Registro!$D221)</f>
        <v>Netflix1 pantalla</v>
      </c>
    </row>
    <row r="222" spans="1:13" ht="15.75" customHeight="1">
      <c r="A222" s="64" t="s">
        <v>437</v>
      </c>
      <c r="B222" s="64" t="s">
        <v>438</v>
      </c>
      <c r="C222" s="63" t="s">
        <v>43</v>
      </c>
      <c r="D222" s="63" t="s">
        <v>14</v>
      </c>
      <c r="E222" s="64"/>
      <c r="F222" s="63"/>
      <c r="G222" s="68"/>
      <c r="H222" s="13">
        <f>VLOOKUP(M222,'Listado Precios'!$A:$C,3,0)</f>
        <v>12000</v>
      </c>
      <c r="I222" s="13">
        <f>VLOOKUP(M222,'Listado Precios'!$A:$C,2,0)</f>
        <v>7000</v>
      </c>
      <c r="J222" s="99">
        <v>46043</v>
      </c>
      <c r="K222" s="15"/>
      <c r="M222" s="16" t="str">
        <f>CONCATENATE(Registro!$C222,Registro!$D222)</f>
        <v>DisneyP1 pantalla</v>
      </c>
    </row>
    <row r="223" spans="1:13" ht="15.75" customHeight="1">
      <c r="A223" s="63" t="s">
        <v>439</v>
      </c>
      <c r="B223" s="63" t="s">
        <v>440</v>
      </c>
      <c r="C223" s="63" t="s">
        <v>43</v>
      </c>
      <c r="D223" s="63" t="s">
        <v>14</v>
      </c>
      <c r="E223" s="64"/>
      <c r="F223" s="63"/>
      <c r="G223" s="68"/>
      <c r="H223" s="13">
        <f>VLOOKUP(M223,'Listado Precios'!$A:$C,3,0)</f>
        <v>12000</v>
      </c>
      <c r="I223" s="13">
        <f>VLOOKUP(M223,'Listado Precios'!$A:$C,2,0)</f>
        <v>7000</v>
      </c>
      <c r="J223" s="99">
        <v>46051</v>
      </c>
      <c r="K223" s="61"/>
      <c r="M223" s="16" t="str">
        <f>CONCATENATE(Registro!$C223,Registro!$D223)</f>
        <v>DisneyP1 pantalla</v>
      </c>
    </row>
    <row r="224" spans="1:13" ht="15.75" customHeight="1">
      <c r="A224" s="7" t="s">
        <v>441</v>
      </c>
      <c r="B224" s="8" t="s">
        <v>442</v>
      </c>
      <c r="C224" s="71" t="s">
        <v>43</v>
      </c>
      <c r="D224" s="63" t="s">
        <v>38</v>
      </c>
      <c r="E224" s="130" t="s">
        <v>443</v>
      </c>
      <c r="F224" s="63" t="s">
        <v>444</v>
      </c>
      <c r="G224" s="68"/>
      <c r="H224" s="13" t="e">
        <f>VLOOKUP(M224,'Listado Precios'!$A:$C,3,0)</f>
        <v>#N/A</v>
      </c>
      <c r="I224" s="13" t="e">
        <f>VLOOKUP(M224,'Listado Precios'!$A:$C,2,0)</f>
        <v>#N/A</v>
      </c>
      <c r="J224" s="28">
        <v>45544</v>
      </c>
      <c r="K224" s="61"/>
      <c r="M224" s="16" t="str">
        <f>CONCATENATE(Registro!$C224,Registro!$D224)</f>
        <v>DisneyPCompleta</v>
      </c>
    </row>
    <row r="225" spans="1:13" ht="15.75" customHeight="1">
      <c r="A225" s="63" t="s">
        <v>445</v>
      </c>
      <c r="B225" s="63" t="s">
        <v>446</v>
      </c>
      <c r="C225" s="63" t="s">
        <v>43</v>
      </c>
      <c r="D225" s="63" t="s">
        <v>14</v>
      </c>
      <c r="E225" s="64"/>
      <c r="F225" s="63"/>
      <c r="G225" s="68"/>
      <c r="H225" s="13">
        <f>VLOOKUP(M225,'Listado Precios'!$A:$C,3,0)</f>
        <v>12000</v>
      </c>
      <c r="I225" s="13">
        <f>VLOOKUP(M225,'Listado Precios'!$A:$C,2,0)</f>
        <v>7000</v>
      </c>
      <c r="J225" s="99">
        <v>46066</v>
      </c>
      <c r="K225" s="61"/>
      <c r="M225" s="16" t="str">
        <f>CONCATENATE(Registro!$C225,Registro!$D225)</f>
        <v>DisneyP1 pantalla</v>
      </c>
    </row>
    <row r="226" spans="1:13" ht="15.75" customHeight="1">
      <c r="A226" s="63" t="s">
        <v>447</v>
      </c>
      <c r="B226" s="63" t="s">
        <v>448</v>
      </c>
      <c r="C226" s="71" t="s">
        <v>25</v>
      </c>
      <c r="D226" s="63" t="s">
        <v>38</v>
      </c>
      <c r="E226" s="64"/>
      <c r="F226" s="63"/>
      <c r="G226" s="68"/>
      <c r="H226" s="13" t="e">
        <f>VLOOKUP(M226,'Listado Precios'!$A:$C,3,0)</f>
        <v>#N/A</v>
      </c>
      <c r="I226" s="13" t="e">
        <f>VLOOKUP(M226,'Listado Precios'!$A:$C,2,0)</f>
        <v>#N/A</v>
      </c>
      <c r="J226" s="28">
        <v>45617</v>
      </c>
      <c r="K226" s="61"/>
      <c r="M226" s="16" t="str">
        <f>CONCATENATE(Registro!$C226,Registro!$D226)</f>
        <v>HBOCompleta</v>
      </c>
    </row>
    <row r="227" spans="1:13" ht="15.75" customHeight="1">
      <c r="A227" s="63" t="s">
        <v>449</v>
      </c>
      <c r="B227" s="63">
        <v>3188766010</v>
      </c>
      <c r="C227" s="63" t="s">
        <v>43</v>
      </c>
      <c r="D227" s="63" t="s">
        <v>14</v>
      </c>
      <c r="E227" s="125" t="s">
        <v>450</v>
      </c>
      <c r="F227" s="17" t="s">
        <v>451</v>
      </c>
      <c r="G227" s="68" t="s">
        <v>452</v>
      </c>
      <c r="H227" s="13">
        <f>VLOOKUP(M227,'Listado Precios'!$A:$C,3,0)</f>
        <v>12000</v>
      </c>
      <c r="I227" s="13">
        <f>VLOOKUP(M227,'Listado Precios'!$A:$C,2,0)</f>
        <v>7000</v>
      </c>
      <c r="J227" s="99">
        <v>45536</v>
      </c>
      <c r="K227" s="61"/>
      <c r="M227" s="16" t="str">
        <f>CONCATENATE(Registro!$C227,Registro!$D227)</f>
        <v>DisneyP1 pantalla</v>
      </c>
    </row>
    <row r="228" spans="1:13" ht="15.75" customHeight="1">
      <c r="A228" s="63" t="s">
        <v>453</v>
      </c>
      <c r="B228" s="63" t="s">
        <v>454</v>
      </c>
      <c r="C228" s="71" t="s">
        <v>43</v>
      </c>
      <c r="D228" s="63" t="s">
        <v>14</v>
      </c>
      <c r="E228" s="78"/>
      <c r="F228" s="63"/>
      <c r="G228" s="72"/>
      <c r="H228" s="13">
        <f>VLOOKUP(M228,'Listado Precios'!$A:$C,3,0)</f>
        <v>12000</v>
      </c>
      <c r="I228" s="13">
        <f>VLOOKUP(M228,'Listado Precios'!$A:$C,2,0)</f>
        <v>7000</v>
      </c>
      <c r="J228" s="99">
        <v>45948</v>
      </c>
      <c r="K228" s="61"/>
      <c r="M228" s="16" t="str">
        <f>CONCATENATE(Registro!$C228,Registro!$D228)</f>
        <v>DisneyP1 pantalla</v>
      </c>
    </row>
    <row r="229" spans="1:13" ht="15.75" customHeight="1">
      <c r="A229" s="64" t="s">
        <v>455</v>
      </c>
      <c r="B229" s="64" t="s">
        <v>456</v>
      </c>
      <c r="C229" s="63" t="s">
        <v>13</v>
      </c>
      <c r="D229" s="63" t="s">
        <v>14</v>
      </c>
      <c r="E229" s="64"/>
      <c r="F229" s="63"/>
      <c r="G229" s="68"/>
      <c r="H229" s="13">
        <f>VLOOKUP(M229,'Listado Precios'!$A:$C,3,0)</f>
        <v>8000</v>
      </c>
      <c r="I229" s="13">
        <f>VLOOKUP(M229,'Listado Precios'!$A:$C,2,0)</f>
        <v>5000</v>
      </c>
      <c r="J229" s="99">
        <v>46036</v>
      </c>
      <c r="K229" s="15"/>
      <c r="M229" s="16" t="str">
        <f>CONCATENATE(Registro!$C229,Registro!$D229)</f>
        <v>PrimeVideo1 pantalla</v>
      </c>
    </row>
    <row r="230" spans="1:13" ht="15.75" customHeight="1">
      <c r="A230" s="7" t="s">
        <v>457</v>
      </c>
      <c r="B230" s="8" t="s">
        <v>458</v>
      </c>
      <c r="C230" s="63" t="s">
        <v>22</v>
      </c>
      <c r="D230" s="63" t="s">
        <v>14</v>
      </c>
      <c r="E230" s="64"/>
      <c r="F230" s="63"/>
      <c r="G230" s="68"/>
      <c r="H230" s="13">
        <f>VLOOKUP(M230,'Listado Precios'!$A:$C,3,0)</f>
        <v>13000</v>
      </c>
      <c r="I230" s="13">
        <f>VLOOKUP(M230,'Listado Precios'!$A:$C,2,0)</f>
        <v>7600</v>
      </c>
      <c r="J230" s="99">
        <v>45831</v>
      </c>
      <c r="K230" s="61"/>
      <c r="M230" s="16" t="str">
        <f>CONCATENATE(Registro!$C230,Registro!$D230)</f>
        <v>Netflix1 pantalla</v>
      </c>
    </row>
    <row r="231" spans="1:13" ht="15.75" customHeight="1">
      <c r="A231" s="64" t="s">
        <v>459</v>
      </c>
      <c r="B231" s="64"/>
      <c r="C231" s="63" t="s">
        <v>460</v>
      </c>
      <c r="D231" s="63" t="s">
        <v>14</v>
      </c>
      <c r="E231" s="64"/>
      <c r="F231" s="63"/>
      <c r="G231" s="68"/>
      <c r="H231" s="13">
        <f>VLOOKUP(M231,'Listado Precios'!$A:$C,3,0)</f>
        <v>10000</v>
      </c>
      <c r="I231" s="13">
        <f>VLOOKUP(M231,'Listado Precios'!$A:$C,2,0)</f>
        <v>5000</v>
      </c>
      <c r="J231" s="99">
        <v>46063</v>
      </c>
      <c r="K231" s="61"/>
      <c r="M231" s="16" t="str">
        <f>CONCATENATE(Registro!$C231,Registro!$D231)</f>
        <v>DisneyE1 pantalla</v>
      </c>
    </row>
    <row r="232" spans="1:13" ht="15.75" customHeight="1">
      <c r="A232" s="63" t="s">
        <v>68</v>
      </c>
      <c r="B232" s="63" t="s">
        <v>461</v>
      </c>
      <c r="C232" s="71" t="s">
        <v>22</v>
      </c>
      <c r="D232" s="63" t="s">
        <v>14</v>
      </c>
      <c r="E232" s="64"/>
      <c r="F232" s="63"/>
      <c r="G232" s="68"/>
      <c r="H232" s="13">
        <f>VLOOKUP(M232,'Listado Precios'!$A:$C,3,0)</f>
        <v>13000</v>
      </c>
      <c r="I232" s="13">
        <f>VLOOKUP(M232,'Listado Precios'!$A:$C,2,0)</f>
        <v>7600</v>
      </c>
      <c r="J232" s="99">
        <v>45536</v>
      </c>
      <c r="K232" s="61"/>
      <c r="M232" s="16" t="str">
        <f>CONCATENATE(Registro!$C232,Registro!$D232)</f>
        <v>Netflix1 pantalla</v>
      </c>
    </row>
    <row r="233" spans="1:13" ht="15.75" customHeight="1">
      <c r="A233" s="63" t="s">
        <v>462</v>
      </c>
      <c r="B233" s="63" t="s">
        <v>463</v>
      </c>
      <c r="C233" s="71" t="s">
        <v>22</v>
      </c>
      <c r="D233" s="63" t="s">
        <v>14</v>
      </c>
      <c r="E233" s="78"/>
      <c r="F233" s="63"/>
      <c r="G233" s="72"/>
      <c r="H233" s="13">
        <f>VLOOKUP(M233,'Listado Precios'!$A:$C,3,0)</f>
        <v>13000</v>
      </c>
      <c r="I233" s="13">
        <f>VLOOKUP(M233,'Listado Precios'!$A:$C,2,0)</f>
        <v>7600</v>
      </c>
      <c r="J233" s="99">
        <v>46055</v>
      </c>
      <c r="K233" s="61"/>
      <c r="M233" s="16" t="str">
        <f>CONCATENATE(Registro!$C233,Registro!$D233)</f>
        <v>Netflix1 pantalla</v>
      </c>
    </row>
    <row r="234" spans="1:13" ht="15.75" customHeight="1">
      <c r="A234" s="63" t="s">
        <v>439</v>
      </c>
      <c r="B234" s="63" t="s">
        <v>440</v>
      </c>
      <c r="C234" s="63" t="s">
        <v>43</v>
      </c>
      <c r="D234" s="63" t="s">
        <v>14</v>
      </c>
      <c r="E234" s="64"/>
      <c r="F234" s="63"/>
      <c r="G234" s="68"/>
      <c r="H234" s="13">
        <f>VLOOKUP(M234,'Listado Precios'!$A:$C,3,0)</f>
        <v>12000</v>
      </c>
      <c r="I234" s="13">
        <f>VLOOKUP(M234,'Listado Precios'!$A:$C,2,0)</f>
        <v>7000</v>
      </c>
      <c r="J234" s="99">
        <v>46062</v>
      </c>
      <c r="K234" s="61"/>
      <c r="M234" s="16" t="str">
        <f>CONCATENATE(Registro!$C234,Registro!$D234)</f>
        <v>DisneyP1 pantalla</v>
      </c>
    </row>
    <row r="235" spans="1:13" ht="15.75" customHeight="1">
      <c r="A235" s="19" t="s">
        <v>464</v>
      </c>
      <c r="B235" s="17" t="s">
        <v>465</v>
      </c>
      <c r="C235" s="71" t="s">
        <v>65</v>
      </c>
      <c r="D235" s="63" t="s">
        <v>14</v>
      </c>
      <c r="E235" s="64"/>
      <c r="F235" s="63"/>
      <c r="G235" s="68"/>
      <c r="H235" s="13">
        <f>VLOOKUP(M235,'Listado Precios'!$A:$C,3,0)</f>
        <v>8000</v>
      </c>
      <c r="I235" s="13">
        <f>VLOOKUP(M235,'Listado Precios'!$A:$C,2,0)</f>
        <v>5000</v>
      </c>
      <c r="J235" s="28">
        <v>45628</v>
      </c>
      <c r="K235" s="61"/>
      <c r="M235" s="16" t="str">
        <f>CONCATENATE(Registro!$C235,Registro!$D235)</f>
        <v>Crunchyroll1 pantalla</v>
      </c>
    </row>
    <row r="236" spans="1:13" ht="15.75" customHeight="1">
      <c r="A236" s="7" t="s">
        <v>466</v>
      </c>
      <c r="B236" s="8" t="s">
        <v>467</v>
      </c>
      <c r="C236" s="71" t="s">
        <v>65</v>
      </c>
      <c r="D236" s="63" t="s">
        <v>14</v>
      </c>
      <c r="E236" s="78" t="s">
        <v>468</v>
      </c>
      <c r="F236" s="63" t="s">
        <v>469</v>
      </c>
      <c r="G236" s="72"/>
      <c r="H236" s="13">
        <f>VLOOKUP(M236,'Listado Precios'!$A:$C,3,0)</f>
        <v>8000</v>
      </c>
      <c r="I236" s="13">
        <f>VLOOKUP(M236,'Listado Precios'!$A:$C,2,0)</f>
        <v>5000</v>
      </c>
      <c r="J236" s="99">
        <v>45536</v>
      </c>
      <c r="K236" s="61"/>
      <c r="M236" s="16" t="str">
        <f>CONCATENATE(Registro!$C236,Registro!$D236)</f>
        <v>Crunchyroll1 pantalla</v>
      </c>
    </row>
    <row r="237" spans="1:13" ht="15.75" customHeight="1">
      <c r="A237" s="64" t="s">
        <v>470</v>
      </c>
      <c r="B237" s="64" t="s">
        <v>471</v>
      </c>
      <c r="C237" s="63" t="s">
        <v>22</v>
      </c>
      <c r="D237" s="63" t="s">
        <v>14</v>
      </c>
      <c r="E237" s="64"/>
      <c r="F237" s="63"/>
      <c r="G237" s="68"/>
      <c r="H237" s="13">
        <f>VLOOKUP(M237,'Listado Precios'!$A:$C,3,0)</f>
        <v>13000</v>
      </c>
      <c r="I237" s="13">
        <f>VLOOKUP(M237,'Listado Precios'!$A:$C,2,0)</f>
        <v>7600</v>
      </c>
      <c r="J237" s="99">
        <v>46020</v>
      </c>
      <c r="K237" s="61"/>
      <c r="M237" s="16" t="str">
        <f>CONCATENATE(Registro!$C237,Registro!$D237)</f>
        <v>Netflix1 pantalla</v>
      </c>
    </row>
    <row r="238" spans="1:13" ht="15.75" customHeight="1">
      <c r="A238" s="171" t="s">
        <v>472</v>
      </c>
      <c r="B238" s="67" t="s">
        <v>473</v>
      </c>
      <c r="C238" s="71" t="s">
        <v>25</v>
      </c>
      <c r="D238" s="63" t="s">
        <v>14</v>
      </c>
      <c r="E238" s="64"/>
      <c r="F238" s="63"/>
      <c r="G238" s="68"/>
      <c r="H238" s="13">
        <f>VLOOKUP(M238,'Listado Precios'!$A:$C,3,0)</f>
        <v>8000</v>
      </c>
      <c r="I238" s="13">
        <f>VLOOKUP(M238,'Listado Precios'!$A:$C,2,0)</f>
        <v>5000</v>
      </c>
      <c r="J238" s="99">
        <v>45970</v>
      </c>
      <c r="K238" s="61"/>
      <c r="M238" s="16" t="str">
        <f>CONCATENATE(Registro!$C238,Registro!$D238)</f>
        <v>HBO1 pantalla</v>
      </c>
    </row>
    <row r="239" spans="1:13" ht="15.75" customHeight="1">
      <c r="A239" s="63" t="s">
        <v>48</v>
      </c>
      <c r="B239" s="63" t="s">
        <v>49</v>
      </c>
      <c r="C239" s="71" t="s">
        <v>22</v>
      </c>
      <c r="D239" s="63" t="s">
        <v>14</v>
      </c>
      <c r="E239" s="64"/>
      <c r="F239" s="63"/>
      <c r="G239" s="68"/>
      <c r="H239" s="13">
        <f>VLOOKUP(M239,'Listado Precios'!$A:$C,3,0)</f>
        <v>13000</v>
      </c>
      <c r="I239" s="13">
        <f>VLOOKUP(M239,'Listado Precios'!$A:$C,2,0)</f>
        <v>7600</v>
      </c>
      <c r="J239" s="99">
        <v>45903</v>
      </c>
      <c r="K239" s="61"/>
      <c r="M239" s="16" t="str">
        <f>CONCATENATE(Registro!$C239,Registro!$D239)</f>
        <v>Netflix1 pantalla</v>
      </c>
    </row>
    <row r="240" spans="1:13" ht="15.75" customHeight="1">
      <c r="A240" s="63" t="s">
        <v>474</v>
      </c>
      <c r="B240" s="63" t="s">
        <v>475</v>
      </c>
      <c r="C240" s="71" t="s">
        <v>25</v>
      </c>
      <c r="D240" s="63" t="s">
        <v>14</v>
      </c>
      <c r="E240" s="64"/>
      <c r="F240" s="63"/>
      <c r="G240" s="68"/>
      <c r="H240" s="13">
        <f>VLOOKUP(M240,'Listado Precios'!$A:$C,3,0)</f>
        <v>8000</v>
      </c>
      <c r="I240" s="13">
        <f>VLOOKUP(M240,'Listado Precios'!$A:$C,2,0)</f>
        <v>5000</v>
      </c>
      <c r="J240" s="99">
        <v>45922</v>
      </c>
      <c r="K240" s="61"/>
      <c r="M240" s="16" t="str">
        <f>CONCATENATE(Registro!$C240,Registro!$D240)</f>
        <v>HBO1 pantalla</v>
      </c>
    </row>
    <row r="241" spans="1:13" ht="15.75" customHeight="1">
      <c r="A241" s="64" t="s">
        <v>476</v>
      </c>
      <c r="B241" s="64" t="s">
        <v>477</v>
      </c>
      <c r="C241" s="71" t="s">
        <v>13</v>
      </c>
      <c r="D241" s="71" t="s">
        <v>14</v>
      </c>
      <c r="E241" s="78" t="s">
        <v>478</v>
      </c>
      <c r="F241" s="63" t="s">
        <v>451</v>
      </c>
      <c r="G241" s="72" t="s">
        <v>479</v>
      </c>
      <c r="H241" s="13">
        <f>VLOOKUP(M241,'Listado Precios'!$A:$C,3,0)</f>
        <v>8000</v>
      </c>
      <c r="I241" s="13">
        <f>VLOOKUP(M241,'Listado Precios'!$A:$C,2,0)</f>
        <v>5000</v>
      </c>
      <c r="J241" s="99">
        <v>45536</v>
      </c>
      <c r="K241" s="61"/>
      <c r="M241" s="16" t="str">
        <f>CONCATENATE(Registro!$C241,Registro!$D241)</f>
        <v>PrimeVideo1 pantalla</v>
      </c>
    </row>
    <row r="242" spans="1:13" ht="15.75" customHeight="1">
      <c r="A242" s="173" t="s">
        <v>480</v>
      </c>
      <c r="B242" s="173"/>
      <c r="C242" s="73" t="s">
        <v>25</v>
      </c>
      <c r="D242" s="73" t="s">
        <v>14</v>
      </c>
      <c r="E242" s="173"/>
      <c r="F242" s="73"/>
      <c r="G242" s="190"/>
      <c r="H242" s="13">
        <f>VLOOKUP(M242,'Listado Precios'!$A:$C,3,0)</f>
        <v>8000</v>
      </c>
      <c r="I242" s="13">
        <f>VLOOKUP(M242,'Listado Precios'!$A:$C,2,0)</f>
        <v>5000</v>
      </c>
      <c r="J242" s="99">
        <v>46047</v>
      </c>
      <c r="K242" s="112"/>
      <c r="M242" s="16" t="str">
        <f>CONCATENATE(Registro!$C242,Registro!$D242)</f>
        <v>HBO1 pantalla</v>
      </c>
    </row>
    <row r="243" spans="1:13" ht="15.75" customHeight="1">
      <c r="A243" s="19" t="s">
        <v>367</v>
      </c>
      <c r="B243" s="17" t="s">
        <v>481</v>
      </c>
      <c r="C243" s="73" t="s">
        <v>22</v>
      </c>
      <c r="D243" s="73" t="s">
        <v>14</v>
      </c>
      <c r="E243" s="64"/>
      <c r="F243" s="63"/>
      <c r="G243" s="68"/>
      <c r="H243" s="13">
        <f>VLOOKUP(M243,'Listado Precios'!$A:$C,3,0)</f>
        <v>13000</v>
      </c>
      <c r="I243" s="13">
        <f>VLOOKUP(M243,'Listado Precios'!$A:$C,2,0)</f>
        <v>7600</v>
      </c>
      <c r="J243" s="99">
        <v>46041</v>
      </c>
      <c r="K243" s="61"/>
      <c r="M243" s="16" t="str">
        <f>CONCATENATE(Registro!$C243,Registro!$D243)</f>
        <v>Netflix1 pantalla</v>
      </c>
    </row>
    <row r="244" spans="1:13" ht="15.75" customHeight="1">
      <c r="A244" s="63" t="s">
        <v>482</v>
      </c>
      <c r="B244" s="63" t="s">
        <v>483</v>
      </c>
      <c r="C244" s="76" t="s">
        <v>43</v>
      </c>
      <c r="D244" s="73" t="s">
        <v>14</v>
      </c>
      <c r="E244" s="78" t="s">
        <v>484</v>
      </c>
      <c r="F244" s="63" t="s">
        <v>269</v>
      </c>
      <c r="G244" s="72"/>
      <c r="H244" s="13">
        <f>VLOOKUP(M244,'Listado Precios'!$A:$C,3,0)</f>
        <v>12000</v>
      </c>
      <c r="I244" s="13">
        <f>VLOOKUP(M244,'Listado Precios'!$A:$C,2,0)</f>
        <v>7000</v>
      </c>
      <c r="J244" s="28">
        <v>45644</v>
      </c>
      <c r="K244" s="61"/>
      <c r="M244" s="16" t="str">
        <f>CONCATENATE(Registro!$C244,Registro!$D244)</f>
        <v>DisneyP1 pantalla</v>
      </c>
    </row>
    <row r="245" spans="1:13" ht="15.75" customHeight="1">
      <c r="A245" s="63" t="s">
        <v>485</v>
      </c>
      <c r="B245" s="63" t="s">
        <v>486</v>
      </c>
      <c r="C245" s="76" t="s">
        <v>22</v>
      </c>
      <c r="D245" s="73" t="s">
        <v>14</v>
      </c>
      <c r="E245" s="64"/>
      <c r="F245" s="63"/>
      <c r="G245" s="68"/>
      <c r="H245" s="13">
        <f>VLOOKUP(M245,'Listado Precios'!$A:$C,3,0)</f>
        <v>13000</v>
      </c>
      <c r="I245" s="13">
        <f>VLOOKUP(M245,'Listado Precios'!$A:$C,2,0)</f>
        <v>7600</v>
      </c>
      <c r="J245" s="99">
        <v>46003</v>
      </c>
      <c r="K245" s="61"/>
      <c r="M245" s="16" t="str">
        <f>CONCATENATE(Registro!$C245,Registro!$D245)</f>
        <v>Netflix1 pantalla</v>
      </c>
    </row>
    <row r="246" spans="1:13" ht="15.75" customHeight="1">
      <c r="A246" s="63" t="s">
        <v>224</v>
      </c>
      <c r="B246" s="63" t="s">
        <v>225</v>
      </c>
      <c r="C246" s="76" t="s">
        <v>43</v>
      </c>
      <c r="D246" s="73" t="s">
        <v>14</v>
      </c>
      <c r="E246" s="64"/>
      <c r="F246" s="63"/>
      <c r="G246" s="68"/>
      <c r="H246" s="13">
        <f>VLOOKUP(M246,'Listado Precios'!$A:$C,3,0)</f>
        <v>12000</v>
      </c>
      <c r="I246" s="13">
        <f>VLOOKUP(M246,'Listado Precios'!$A:$C,2,0)</f>
        <v>7000</v>
      </c>
      <c r="J246" s="99">
        <v>45898</v>
      </c>
      <c r="K246" s="61"/>
      <c r="M246" s="16" t="str">
        <f>CONCATENATE(Registro!$C246,Registro!$D246)</f>
        <v>DisneyP1 pantalla</v>
      </c>
    </row>
    <row r="247" spans="1:13" ht="15.75" customHeight="1">
      <c r="A247" s="64" t="s">
        <v>487</v>
      </c>
      <c r="B247" s="64"/>
      <c r="C247" s="73" t="s">
        <v>460</v>
      </c>
      <c r="D247" s="73" t="s">
        <v>14</v>
      </c>
      <c r="E247" s="64"/>
      <c r="F247" s="63"/>
      <c r="G247" s="68"/>
      <c r="H247" s="13">
        <f>VLOOKUP(M247,'Listado Precios'!$A:$C,3,0)</f>
        <v>10000</v>
      </c>
      <c r="I247" s="13">
        <f>VLOOKUP(M247,'Listado Precios'!$A:$C,2,0)</f>
        <v>5000</v>
      </c>
      <c r="J247" s="99">
        <v>46041</v>
      </c>
      <c r="K247" s="61"/>
      <c r="M247" s="16" t="str">
        <f>CONCATENATE(Registro!$C247,Registro!$D247)</f>
        <v>DisneyE1 pantalla</v>
      </c>
    </row>
    <row r="248" spans="1:13" ht="15.75" customHeight="1">
      <c r="A248" s="63" t="s">
        <v>145</v>
      </c>
      <c r="B248" s="63" t="s">
        <v>146</v>
      </c>
      <c r="C248" s="73" t="s">
        <v>13</v>
      </c>
      <c r="D248" s="73" t="s">
        <v>14</v>
      </c>
      <c r="E248" s="64"/>
      <c r="F248" s="63"/>
      <c r="G248" s="68"/>
      <c r="H248" s="13">
        <f>VLOOKUP(M248,'Listado Precios'!$A:$C,3,0)</f>
        <v>8000</v>
      </c>
      <c r="I248" s="13">
        <f>VLOOKUP(M248,'Listado Precios'!$A:$C,2,0)</f>
        <v>5000</v>
      </c>
      <c r="J248" s="99">
        <v>45811</v>
      </c>
      <c r="K248" s="61"/>
      <c r="M248" s="16" t="str">
        <f>CONCATENATE(Registro!$C248,Registro!$D248)</f>
        <v>PrimeVideo1 pantalla</v>
      </c>
    </row>
    <row r="249" spans="1:13" ht="15.75" customHeight="1">
      <c r="A249" s="7" t="s">
        <v>330</v>
      </c>
      <c r="B249" s="8" t="s">
        <v>331</v>
      </c>
      <c r="C249" s="76" t="s">
        <v>25</v>
      </c>
      <c r="D249" s="73" t="s">
        <v>14</v>
      </c>
      <c r="E249" s="64"/>
      <c r="F249" s="63"/>
      <c r="G249" s="68"/>
      <c r="H249" s="13">
        <f>VLOOKUP(M249,'Listado Precios'!$A:$C,3,0)</f>
        <v>8000</v>
      </c>
      <c r="I249" s="13">
        <f>VLOOKUP(M249,'Listado Precios'!$A:$C,2,0)</f>
        <v>5000</v>
      </c>
      <c r="J249" s="99">
        <v>45958</v>
      </c>
      <c r="K249" s="61"/>
      <c r="M249" s="16" t="str">
        <f>CONCATENATE(Registro!$C249,Registro!$D249)</f>
        <v>HBO1 pantalla</v>
      </c>
    </row>
    <row r="250" spans="1:13" ht="15.75" customHeight="1">
      <c r="A250" s="63" t="s">
        <v>488</v>
      </c>
      <c r="B250" s="63" t="s">
        <v>489</v>
      </c>
      <c r="C250" s="76" t="s">
        <v>22</v>
      </c>
      <c r="D250" s="73" t="s">
        <v>14</v>
      </c>
      <c r="E250" s="64" t="s">
        <v>490</v>
      </c>
      <c r="F250" s="63" t="s">
        <v>491</v>
      </c>
      <c r="G250" s="68" t="s">
        <v>492</v>
      </c>
      <c r="H250" s="13">
        <f>VLOOKUP(M250,'Listado Precios'!$A:$C,3,0)</f>
        <v>13000</v>
      </c>
      <c r="I250" s="13">
        <f>VLOOKUP(M250,'Listado Precios'!$A:$C,2,0)</f>
        <v>7600</v>
      </c>
      <c r="J250" s="99">
        <v>45536</v>
      </c>
      <c r="K250" s="61"/>
      <c r="M250" s="16" t="str">
        <f>CONCATENATE(Registro!$C250,Registro!$D250)</f>
        <v>Netflix1 pantalla</v>
      </c>
    </row>
    <row r="251" spans="1:13" ht="15.75" customHeight="1">
      <c r="A251" s="64" t="s">
        <v>493</v>
      </c>
      <c r="B251" s="64" t="s">
        <v>494</v>
      </c>
      <c r="C251" s="73" t="s">
        <v>22</v>
      </c>
      <c r="D251" s="73" t="s">
        <v>14</v>
      </c>
      <c r="E251" s="87"/>
      <c r="F251" s="88"/>
      <c r="G251" s="91"/>
      <c r="H251" s="13">
        <f>VLOOKUP(M251,'Listado Precios'!$A:$C,3,0)</f>
        <v>13000</v>
      </c>
      <c r="I251" s="13">
        <f>VLOOKUP(M251,'Listado Precios'!$A:$C,2,0)</f>
        <v>7600</v>
      </c>
      <c r="J251" s="99">
        <v>46032</v>
      </c>
      <c r="K251" s="61"/>
      <c r="M251" s="16" t="str">
        <f>CONCATENATE(Registro!$C251,Registro!$D251)</f>
        <v>Netflix1 pantalla</v>
      </c>
    </row>
    <row r="252" spans="1:13" ht="15.75" customHeight="1">
      <c r="A252" s="7" t="s">
        <v>193</v>
      </c>
      <c r="B252" s="8" t="s">
        <v>495</v>
      </c>
      <c r="C252" s="76" t="s">
        <v>43</v>
      </c>
      <c r="D252" s="73" t="s">
        <v>14</v>
      </c>
      <c r="E252" s="89" t="s">
        <v>496</v>
      </c>
      <c r="F252" s="88" t="s">
        <v>497</v>
      </c>
      <c r="G252" s="90"/>
      <c r="H252" s="13">
        <f>VLOOKUP(M252,'Listado Precios'!$A:$C,3,0)</f>
        <v>12000</v>
      </c>
      <c r="I252" s="13">
        <f>VLOOKUP(M252,'Listado Precios'!$A:$C,2,0)</f>
        <v>7000</v>
      </c>
      <c r="J252" s="99">
        <v>45536</v>
      </c>
      <c r="K252" s="61"/>
      <c r="M252" s="16" t="str">
        <f>CONCATENATE(Registro!$C252,Registro!$D252)</f>
        <v>DisneyP1 pantalla</v>
      </c>
    </row>
    <row r="253" spans="1:13" ht="15.75" customHeight="1">
      <c r="A253" s="63" t="s">
        <v>498</v>
      </c>
      <c r="B253" s="63" t="s">
        <v>499</v>
      </c>
      <c r="C253" s="76" t="s">
        <v>43</v>
      </c>
      <c r="D253" s="93" t="s">
        <v>14</v>
      </c>
      <c r="E253" s="88" t="s">
        <v>498</v>
      </c>
      <c r="F253" s="88" t="s">
        <v>47</v>
      </c>
      <c r="G253" s="90"/>
      <c r="H253" s="13">
        <f>VLOOKUP(M253,'Listado Precios'!$A:$C,3,0)</f>
        <v>12000</v>
      </c>
      <c r="I253" s="13">
        <f>VLOOKUP(M253,'Listado Precios'!$A:$C,2,0)</f>
        <v>7000</v>
      </c>
      <c r="J253" s="28">
        <v>45464</v>
      </c>
      <c r="K253" s="61"/>
      <c r="M253" s="16" t="str">
        <f>CONCATENATE(Registro!$C253,Registro!$D253)</f>
        <v>DisneyP1 pantalla</v>
      </c>
    </row>
    <row r="254" spans="1:13" ht="15.75" customHeight="1">
      <c r="A254" s="63" t="s">
        <v>441</v>
      </c>
      <c r="B254" s="63" t="s">
        <v>442</v>
      </c>
      <c r="C254" s="76" t="s">
        <v>22</v>
      </c>
      <c r="D254" s="73" t="s">
        <v>38</v>
      </c>
      <c r="E254" s="87" t="s">
        <v>500</v>
      </c>
      <c r="F254" s="88" t="s">
        <v>501</v>
      </c>
      <c r="G254" s="91"/>
      <c r="H254" s="13">
        <f>VLOOKUP(M254,'Listado Precios'!$A:$C,3,0)</f>
        <v>40000</v>
      </c>
      <c r="I254" s="13">
        <f>VLOOKUP(M254,'Listado Precios'!$A:$C,2,0)</f>
        <v>38000</v>
      </c>
      <c r="J254" s="28">
        <v>45544</v>
      </c>
      <c r="K254" s="61"/>
      <c r="M254" s="16" t="str">
        <f>CONCATENATE(Registro!$C254,Registro!$D254)</f>
        <v>NetflixCompleta</v>
      </c>
    </row>
    <row r="255" spans="1:13" ht="15.75" customHeight="1">
      <c r="A255" s="63" t="s">
        <v>502</v>
      </c>
      <c r="B255" s="63" t="s">
        <v>503</v>
      </c>
      <c r="C255" s="73" t="s">
        <v>22</v>
      </c>
      <c r="D255" s="73" t="s">
        <v>14</v>
      </c>
      <c r="E255" s="87"/>
      <c r="F255" s="88"/>
      <c r="G255" s="91"/>
      <c r="H255" s="13">
        <f>VLOOKUP(M255,'Listado Precios'!$A:$C,3,0)</f>
        <v>13000</v>
      </c>
      <c r="I255" s="13">
        <f>VLOOKUP(M255,'Listado Precios'!$A:$C,2,0)</f>
        <v>7600</v>
      </c>
      <c r="J255" s="99">
        <v>45786</v>
      </c>
      <c r="K255" s="61"/>
      <c r="M255" s="16" t="str">
        <f>CONCATENATE(Registro!$C255,Registro!$D255)</f>
        <v>Netflix1 pantalla</v>
      </c>
    </row>
    <row r="256" spans="1:13" ht="15.75" customHeight="1">
      <c r="A256" s="63" t="s">
        <v>34</v>
      </c>
      <c r="B256" s="63" t="s">
        <v>35</v>
      </c>
      <c r="C256" s="73" t="s">
        <v>43</v>
      </c>
      <c r="D256" s="73" t="s">
        <v>14</v>
      </c>
      <c r="E256" s="87"/>
      <c r="F256" s="88"/>
      <c r="G256" s="91"/>
      <c r="H256" s="13">
        <f>VLOOKUP(M256,'Listado Precios'!$A:$C,3,0)</f>
        <v>12000</v>
      </c>
      <c r="I256" s="13">
        <f>VLOOKUP(M256,'Listado Precios'!$A:$C,2,0)</f>
        <v>7000</v>
      </c>
      <c r="J256" s="99">
        <v>45805</v>
      </c>
      <c r="K256" s="61"/>
      <c r="M256" s="16" t="str">
        <f>CONCATENATE(Registro!$C256,Registro!$D256)</f>
        <v>DisneyP1 pantalla</v>
      </c>
    </row>
    <row r="257" spans="1:13" ht="15.75" customHeight="1">
      <c r="A257" s="63" t="s">
        <v>504</v>
      </c>
      <c r="B257" s="63" t="s">
        <v>505</v>
      </c>
      <c r="C257" s="76" t="s">
        <v>22</v>
      </c>
      <c r="D257" s="73" t="s">
        <v>14</v>
      </c>
      <c r="E257" s="87"/>
      <c r="F257" s="88"/>
      <c r="G257" s="91"/>
      <c r="H257" s="13">
        <f>VLOOKUP(M257,'Listado Precios'!$A:$C,3,0)</f>
        <v>13000</v>
      </c>
      <c r="I257" s="13">
        <f>VLOOKUP(M257,'Listado Precios'!$A:$C,2,0)</f>
        <v>7600</v>
      </c>
      <c r="J257" s="28">
        <v>45662</v>
      </c>
      <c r="K257" s="61"/>
      <c r="M257" s="16" t="str">
        <f>CONCATENATE(Registro!$C257,Registro!$D257)</f>
        <v>Netflix1 pantalla</v>
      </c>
    </row>
    <row r="258" spans="1:13" ht="15.75" customHeight="1">
      <c r="A258" s="7" t="s">
        <v>506</v>
      </c>
      <c r="B258" s="8" t="s">
        <v>507</v>
      </c>
      <c r="C258" s="76" t="s">
        <v>22</v>
      </c>
      <c r="D258" s="73" t="s">
        <v>14</v>
      </c>
      <c r="E258" s="87" t="s">
        <v>508</v>
      </c>
      <c r="F258" s="88"/>
      <c r="G258" s="91"/>
      <c r="H258" s="13">
        <f>VLOOKUP(M258,'Listado Precios'!$A:$C,3,0)</f>
        <v>13000</v>
      </c>
      <c r="I258" s="13">
        <f>VLOOKUP(M258,'Listado Precios'!$A:$C,2,0)</f>
        <v>7600</v>
      </c>
      <c r="J258" s="28">
        <v>45685</v>
      </c>
      <c r="K258" s="61"/>
      <c r="M258" s="16" t="str">
        <f>CONCATENATE(Registro!$C258,Registro!$D258)</f>
        <v>Netflix1 pantalla</v>
      </c>
    </row>
    <row r="259" spans="1:13" ht="15.75" customHeight="1">
      <c r="A259" s="64" t="s">
        <v>487</v>
      </c>
      <c r="B259" s="64" t="s">
        <v>509</v>
      </c>
      <c r="C259" s="73" t="s">
        <v>25</v>
      </c>
      <c r="D259" s="73" t="s">
        <v>14</v>
      </c>
      <c r="E259" s="87"/>
      <c r="F259" s="88"/>
      <c r="G259" s="91"/>
      <c r="H259" s="13">
        <f>VLOOKUP(M259,'Listado Precios'!$A:$C,3,0)</f>
        <v>8000</v>
      </c>
      <c r="I259" s="13">
        <f>VLOOKUP(M259,'Listado Precios'!$A:$C,2,0)</f>
        <v>5000</v>
      </c>
      <c r="J259" s="99">
        <v>46027</v>
      </c>
      <c r="K259" s="61"/>
      <c r="M259" s="16" t="str">
        <f>CONCATENATE(Registro!$C259,Registro!$D259)</f>
        <v>HBO1 pantalla</v>
      </c>
    </row>
    <row r="260" spans="1:13" ht="15.75" customHeight="1">
      <c r="A260" s="63" t="s">
        <v>510</v>
      </c>
      <c r="B260" s="63" t="s">
        <v>511</v>
      </c>
      <c r="C260" s="73" t="s">
        <v>22</v>
      </c>
      <c r="D260" s="73" t="s">
        <v>14</v>
      </c>
      <c r="E260" s="130"/>
      <c r="F260" s="88"/>
      <c r="G260" s="91"/>
      <c r="H260" s="13">
        <f>VLOOKUP(M260,'Listado Precios'!$A:$C,3,0)</f>
        <v>13000</v>
      </c>
      <c r="I260" s="13">
        <f>VLOOKUP(M260,'Listado Precios'!$A:$C,2,0)</f>
        <v>7600</v>
      </c>
      <c r="J260" s="99">
        <v>45792</v>
      </c>
      <c r="K260" s="61"/>
      <c r="M260" s="16" t="str">
        <f>CONCATENATE(Registro!$C260,Registro!$D260)</f>
        <v>Netflix1 pantalla</v>
      </c>
    </row>
    <row r="261" spans="1:13" ht="15.75" customHeight="1">
      <c r="A261" s="63" t="s">
        <v>512</v>
      </c>
      <c r="B261" s="63" t="s">
        <v>513</v>
      </c>
      <c r="C261" s="76" t="s">
        <v>13</v>
      </c>
      <c r="D261" s="73" t="s">
        <v>14</v>
      </c>
      <c r="E261" s="130"/>
      <c r="F261" s="88"/>
      <c r="G261" s="91"/>
      <c r="H261" s="13">
        <f>VLOOKUP(M261,'Listado Precios'!$A:$C,3,0)</f>
        <v>8000</v>
      </c>
      <c r="I261" s="13">
        <f>VLOOKUP(M261,'Listado Precios'!$A:$C,2,0)</f>
        <v>5000</v>
      </c>
      <c r="J261" s="99">
        <v>45901</v>
      </c>
      <c r="K261" s="61"/>
      <c r="M261" s="16" t="str">
        <f>CONCATENATE(Registro!$C261,Registro!$D261)</f>
        <v>PrimeVideo1 pantalla</v>
      </c>
    </row>
    <row r="262" spans="1:13" ht="15.75" customHeight="1">
      <c r="A262" s="64" t="s">
        <v>514</v>
      </c>
      <c r="B262" s="64" t="s">
        <v>515</v>
      </c>
      <c r="C262" s="73" t="s">
        <v>22</v>
      </c>
      <c r="D262" s="73" t="s">
        <v>14</v>
      </c>
      <c r="E262" s="87"/>
      <c r="F262" s="88"/>
      <c r="G262" s="91"/>
      <c r="H262" s="13">
        <f>VLOOKUP(M262,'Listado Precios'!$A:$C,3,0)</f>
        <v>13000</v>
      </c>
      <c r="I262" s="13">
        <f>VLOOKUP(M262,'Listado Precios'!$A:$C,2,0)</f>
        <v>7600</v>
      </c>
      <c r="J262" s="99">
        <v>45400</v>
      </c>
      <c r="K262" s="61"/>
      <c r="M262" s="16" t="str">
        <f>CONCATENATE(Registro!$C262,Registro!$D262)</f>
        <v>Netflix1 pantalla</v>
      </c>
    </row>
    <row r="263" spans="1:13" ht="15.75" customHeight="1">
      <c r="A263" s="64" t="s">
        <v>516</v>
      </c>
      <c r="B263" s="64" t="s">
        <v>517</v>
      </c>
      <c r="C263" s="73" t="s">
        <v>17</v>
      </c>
      <c r="D263" s="73"/>
      <c r="E263" s="87"/>
      <c r="F263" s="88" t="s">
        <v>176</v>
      </c>
      <c r="G263" s="91"/>
      <c r="H263" s="13">
        <f>VLOOKUP(M263,'Listado Precios'!$A:$C,3,0)</f>
        <v>8000</v>
      </c>
      <c r="I263" s="13">
        <f>VLOOKUP(M263,'Listado Precios'!$A:$C,2,0)</f>
        <v>5280</v>
      </c>
      <c r="J263" s="99">
        <v>46021</v>
      </c>
      <c r="K263" s="61"/>
      <c r="M263" s="16" t="str">
        <f>CONCATENATE(Registro!$C263,Registro!$D263)</f>
        <v>Spotify</v>
      </c>
    </row>
    <row r="264" spans="1:13" ht="15.75" customHeight="1">
      <c r="A264" s="63" t="s">
        <v>518</v>
      </c>
      <c r="B264" s="63" t="s">
        <v>519</v>
      </c>
      <c r="C264" s="76" t="s">
        <v>22</v>
      </c>
      <c r="D264" s="73" t="s">
        <v>14</v>
      </c>
      <c r="E264" s="87"/>
      <c r="F264" s="88"/>
      <c r="G264" s="91"/>
      <c r="H264" s="13">
        <f>VLOOKUP(M264,'Listado Precios'!$A:$C,3,0)</f>
        <v>13000</v>
      </c>
      <c r="I264" s="13">
        <f>VLOOKUP(M264,'Listado Precios'!$A:$C,2,0)</f>
        <v>7600</v>
      </c>
      <c r="J264" s="99">
        <v>45987</v>
      </c>
      <c r="K264" s="61"/>
      <c r="M264" s="16" t="str">
        <f>CONCATENATE(Registro!$C264,Registro!$D264)</f>
        <v>Netflix1 pantalla</v>
      </c>
    </row>
    <row r="265" spans="1:13" ht="15.75" customHeight="1">
      <c r="A265" s="63" t="s">
        <v>520</v>
      </c>
      <c r="B265" s="63" t="s">
        <v>521</v>
      </c>
      <c r="C265" s="76" t="s">
        <v>22</v>
      </c>
      <c r="D265" s="73" t="s">
        <v>14</v>
      </c>
      <c r="E265" s="89" t="s">
        <v>522</v>
      </c>
      <c r="F265" s="88" t="s">
        <v>523</v>
      </c>
      <c r="G265" s="90"/>
      <c r="H265" s="13">
        <f>VLOOKUP(M265,'Listado Precios'!$A:$C,3,0)</f>
        <v>13000</v>
      </c>
      <c r="I265" s="13">
        <f>VLOOKUP(M265,'Listado Precios'!$A:$C,2,0)</f>
        <v>7600</v>
      </c>
      <c r="J265" s="99">
        <v>45536</v>
      </c>
      <c r="K265" s="61"/>
      <c r="M265" s="16" t="str">
        <f>CONCATENATE(Registro!$C265,Registro!$D265)</f>
        <v>Netflix1 pantalla</v>
      </c>
    </row>
    <row r="266" spans="1:13" ht="15.75" customHeight="1">
      <c r="A266" s="63" t="s">
        <v>524</v>
      </c>
      <c r="B266" s="63" t="s">
        <v>525</v>
      </c>
      <c r="C266" s="76" t="s">
        <v>25</v>
      </c>
      <c r="D266" s="73" t="s">
        <v>14</v>
      </c>
      <c r="E266" s="87"/>
      <c r="F266" s="88"/>
      <c r="G266" s="91"/>
      <c r="H266" s="13">
        <f>VLOOKUP(M266,'Listado Precios'!$A:$C,3,0)</f>
        <v>8000</v>
      </c>
      <c r="I266" s="13">
        <f>VLOOKUP(M266,'Listado Precios'!$A:$C,2,0)</f>
        <v>5000</v>
      </c>
      <c r="J266" s="99">
        <v>46018</v>
      </c>
      <c r="K266" s="61"/>
      <c r="M266" s="16" t="str">
        <f>CONCATENATE(Registro!$C266,Registro!$D266)</f>
        <v>HBO1 pantalla</v>
      </c>
    </row>
    <row r="267" spans="1:13" ht="15.75" customHeight="1">
      <c r="A267" s="63" t="s">
        <v>524</v>
      </c>
      <c r="B267" s="63" t="s">
        <v>525</v>
      </c>
      <c r="C267" s="76" t="s">
        <v>22</v>
      </c>
      <c r="D267" s="73" t="s">
        <v>144</v>
      </c>
      <c r="E267" s="87"/>
      <c r="F267" s="88"/>
      <c r="G267" s="91"/>
      <c r="H267" s="13" t="e">
        <f>VLOOKUP(M267,'Listado Precios'!$A:$C,3,0)</f>
        <v>#N/A</v>
      </c>
      <c r="I267" s="13" t="e">
        <f>VLOOKUP(M267,'Listado Precios'!$A:$C,2,0)</f>
        <v>#N/A</v>
      </c>
      <c r="J267" s="99">
        <v>46018</v>
      </c>
      <c r="K267" s="61"/>
      <c r="M267" s="16" t="str">
        <f>CONCATENATE(Registro!$C267,Registro!$D267)</f>
        <v xml:space="preserve">Netflix2 pantallas </v>
      </c>
    </row>
    <row r="268" spans="1:13" ht="15.75" customHeight="1">
      <c r="A268" s="63" t="s">
        <v>526</v>
      </c>
      <c r="B268" s="63" t="s">
        <v>527</v>
      </c>
      <c r="C268" s="76" t="s">
        <v>22</v>
      </c>
      <c r="D268" s="73" t="s">
        <v>14</v>
      </c>
      <c r="E268" s="89"/>
      <c r="F268" s="88"/>
      <c r="G268" s="90"/>
      <c r="H268" s="13">
        <f>VLOOKUP(M268,'Listado Precios'!$A:$C,3,0)</f>
        <v>13000</v>
      </c>
      <c r="I268" s="13">
        <f>VLOOKUP(M268,'Listado Precios'!$A:$C,2,0)</f>
        <v>7600</v>
      </c>
      <c r="J268" s="28">
        <v>45611</v>
      </c>
      <c r="K268" s="61"/>
      <c r="M268" s="16" t="str">
        <f>CONCATENATE(Registro!$C268,Registro!$D268)</f>
        <v>Netflix1 pantalla</v>
      </c>
    </row>
    <row r="269" spans="1:13" ht="15.75" customHeight="1">
      <c r="A269" s="7" t="s">
        <v>528</v>
      </c>
      <c r="B269" s="8" t="s">
        <v>529</v>
      </c>
      <c r="C269" s="73" t="s">
        <v>22</v>
      </c>
      <c r="D269" s="73" t="s">
        <v>14</v>
      </c>
      <c r="E269" s="87"/>
      <c r="F269" s="123"/>
      <c r="G269" s="91"/>
      <c r="H269" s="13">
        <f>VLOOKUP(M269,'Listado Precios'!$A:$C,3,0)</f>
        <v>13000</v>
      </c>
      <c r="I269" s="13">
        <f>VLOOKUP(M269,'Listado Precios'!$A:$C,2,0)</f>
        <v>7600</v>
      </c>
      <c r="J269" s="99">
        <v>45761</v>
      </c>
      <c r="K269" s="61"/>
      <c r="M269" s="16" t="str">
        <f>CONCATENATE(Registro!$C269,Registro!$D269)</f>
        <v>Netflix1 pantalla</v>
      </c>
    </row>
    <row r="270" spans="1:13" ht="15.75" customHeight="1">
      <c r="A270" s="63" t="s">
        <v>530</v>
      </c>
      <c r="B270" s="63" t="s">
        <v>531</v>
      </c>
      <c r="C270" s="76" t="s">
        <v>22</v>
      </c>
      <c r="D270" s="73" t="s">
        <v>14</v>
      </c>
      <c r="E270" s="87"/>
      <c r="F270" s="88"/>
      <c r="G270" s="91"/>
      <c r="H270" s="13">
        <f>VLOOKUP(M270,'Listado Precios'!$A:$C,3,0)</f>
        <v>13000</v>
      </c>
      <c r="I270" s="13">
        <f>VLOOKUP(M270,'Listado Precios'!$A:$C,2,0)</f>
        <v>7600</v>
      </c>
      <c r="J270" s="99">
        <v>45918</v>
      </c>
      <c r="K270" s="61"/>
      <c r="M270" s="16" t="str">
        <f>CONCATENATE(Registro!$C270,Registro!$D270)</f>
        <v>Netflix1 pantalla</v>
      </c>
    </row>
    <row r="271" spans="1:13" ht="15.75" customHeight="1">
      <c r="A271" s="63" t="s">
        <v>224</v>
      </c>
      <c r="B271" s="63" t="s">
        <v>225</v>
      </c>
      <c r="C271" s="76" t="s">
        <v>17</v>
      </c>
      <c r="D271" s="73"/>
      <c r="E271" s="87" t="s">
        <v>532</v>
      </c>
      <c r="F271" s="88" t="s">
        <v>164</v>
      </c>
      <c r="G271" s="91"/>
      <c r="H271" s="13">
        <f>VLOOKUP(M271,'Listado Precios'!$A:$C,3,0)</f>
        <v>8000</v>
      </c>
      <c r="I271" s="13">
        <f>VLOOKUP(M271,'Listado Precios'!$A:$C,2,0)</f>
        <v>5280</v>
      </c>
      <c r="J271" s="99">
        <v>45718</v>
      </c>
      <c r="K271" s="61"/>
      <c r="M271" s="16" t="str">
        <f>CONCATENATE(Registro!$C271,Registro!$D271)</f>
        <v>Spotify</v>
      </c>
    </row>
    <row r="272" spans="1:13" ht="15.75" customHeight="1">
      <c r="A272" s="92" t="s">
        <v>533</v>
      </c>
      <c r="B272" s="92" t="s">
        <v>534</v>
      </c>
      <c r="C272" s="73" t="s">
        <v>22</v>
      </c>
      <c r="D272" s="76" t="s">
        <v>14</v>
      </c>
      <c r="E272" s="157"/>
      <c r="F272" s="157"/>
      <c r="G272" s="157"/>
      <c r="H272" s="13">
        <f>VLOOKUP(M272,'Listado Precios'!$A:$C,3,0)</f>
        <v>13000</v>
      </c>
      <c r="I272" s="13">
        <f>VLOOKUP(M272,'Listado Precios'!$A:$C,2,0)</f>
        <v>7600</v>
      </c>
      <c r="J272" s="99">
        <v>45504</v>
      </c>
      <c r="K272" s="61"/>
      <c r="M272" s="16" t="str">
        <f>CONCATENATE(Registro!$C272,Registro!$D272)</f>
        <v>Netflix1 pantalla</v>
      </c>
    </row>
    <row r="273" spans="1:13" ht="15.75" customHeight="1">
      <c r="A273" s="92" t="s">
        <v>535</v>
      </c>
      <c r="B273" s="92" t="s">
        <v>536</v>
      </c>
      <c r="C273" s="73" t="s">
        <v>22</v>
      </c>
      <c r="D273" s="76" t="s">
        <v>14</v>
      </c>
      <c r="E273" s="157"/>
      <c r="F273" s="157"/>
      <c r="G273" s="157"/>
      <c r="H273" s="13">
        <f>VLOOKUP(M273,'Listado Precios'!$A:$C,3,0)</f>
        <v>13000</v>
      </c>
      <c r="I273" s="13">
        <f>VLOOKUP(M273,'Listado Precios'!$A:$C,2,0)</f>
        <v>7600</v>
      </c>
      <c r="J273" s="99">
        <v>45666</v>
      </c>
      <c r="K273" s="61"/>
      <c r="M273" s="16" t="str">
        <f>CONCATENATE(Registro!$C273,Registro!$D273)</f>
        <v>Netflix1 pantalla</v>
      </c>
    </row>
    <row r="274" spans="1:13" ht="15.75" customHeight="1">
      <c r="A274" s="63" t="s">
        <v>292</v>
      </c>
      <c r="B274" s="63" t="s">
        <v>293</v>
      </c>
      <c r="C274" s="76" t="s">
        <v>22</v>
      </c>
      <c r="D274" s="73" t="s">
        <v>14</v>
      </c>
      <c r="E274" s="89"/>
      <c r="F274" s="88"/>
      <c r="G274" s="90"/>
      <c r="H274" s="13">
        <f>VLOOKUP(M274,'Listado Precios'!$A:$C,3,0)</f>
        <v>13000</v>
      </c>
      <c r="I274" s="13">
        <f>VLOOKUP(M274,'Listado Precios'!$A:$C,2,0)</f>
        <v>7600</v>
      </c>
      <c r="J274" s="99">
        <v>45936</v>
      </c>
      <c r="K274" s="61"/>
      <c r="M274" s="16" t="str">
        <f>CONCATENATE(Registro!$C274,Registro!$D274)</f>
        <v>Netflix1 pantalla</v>
      </c>
    </row>
    <row r="275" spans="1:13" ht="15.75" customHeight="1">
      <c r="A275" s="63" t="s">
        <v>537</v>
      </c>
      <c r="B275" s="63" t="s">
        <v>538</v>
      </c>
      <c r="C275" s="76" t="s">
        <v>43</v>
      </c>
      <c r="D275" s="73" t="s">
        <v>14</v>
      </c>
      <c r="E275" s="87"/>
      <c r="F275" s="88"/>
      <c r="G275" s="91"/>
      <c r="H275" s="13">
        <f>VLOOKUP(M275,'Listado Precios'!$A:$C,3,0)</f>
        <v>12000</v>
      </c>
      <c r="I275" s="13">
        <f>VLOOKUP(M275,'Listado Precios'!$A:$C,2,0)</f>
        <v>7000</v>
      </c>
      <c r="J275" s="99">
        <v>45902</v>
      </c>
      <c r="K275" s="61"/>
      <c r="M275" s="16" t="str">
        <f>CONCATENATE(Registro!$C275,Registro!$D275)</f>
        <v>DisneyP1 pantalla</v>
      </c>
    </row>
    <row r="276" spans="1:13" ht="15.75" customHeight="1">
      <c r="A276" s="63" t="s">
        <v>539</v>
      </c>
      <c r="B276" s="63"/>
      <c r="C276" s="76" t="s">
        <v>22</v>
      </c>
      <c r="D276" s="73" t="s">
        <v>14</v>
      </c>
      <c r="E276" s="87"/>
      <c r="F276" s="88"/>
      <c r="G276" s="91"/>
      <c r="H276" s="13">
        <f>VLOOKUP(M276,'Listado Precios'!$A:$C,3,0)</f>
        <v>13000</v>
      </c>
      <c r="I276" s="13">
        <f>VLOOKUP(M276,'Listado Precios'!$A:$C,2,0)</f>
        <v>7600</v>
      </c>
      <c r="J276" s="99">
        <v>45991</v>
      </c>
      <c r="K276" s="61"/>
      <c r="M276" s="16" t="str">
        <f>CONCATENATE(Registro!$C276,Registro!$D276)</f>
        <v>Netflix1 pantalla</v>
      </c>
    </row>
    <row r="277" spans="1:13" ht="15.75" customHeight="1">
      <c r="A277" s="63" t="s">
        <v>474</v>
      </c>
      <c r="B277" s="63" t="s">
        <v>475</v>
      </c>
      <c r="C277" s="76" t="s">
        <v>43</v>
      </c>
      <c r="D277" s="93" t="s">
        <v>14</v>
      </c>
      <c r="E277" s="167"/>
      <c r="F277" s="88"/>
      <c r="G277" s="90"/>
      <c r="H277" s="13">
        <f>VLOOKUP(M277,'Listado Precios'!$A:$C,3,0)</f>
        <v>12000</v>
      </c>
      <c r="I277" s="13">
        <f>VLOOKUP(M277,'Listado Precios'!$A:$C,2,0)</f>
        <v>7000</v>
      </c>
      <c r="J277" s="28">
        <v>45962</v>
      </c>
      <c r="K277" s="61"/>
      <c r="M277" s="16" t="str">
        <f>CONCATENATE(Registro!$C277,Registro!$D277)</f>
        <v>DisneyP1 pantalla</v>
      </c>
    </row>
    <row r="278" spans="1:13" ht="15.75" customHeight="1">
      <c r="A278" s="63" t="s">
        <v>540</v>
      </c>
      <c r="B278" s="63" t="s">
        <v>541</v>
      </c>
      <c r="C278" s="76" t="s">
        <v>19</v>
      </c>
      <c r="D278" s="73"/>
      <c r="E278" s="87"/>
      <c r="F278" s="88"/>
      <c r="G278" s="91"/>
      <c r="H278" s="13">
        <f>VLOOKUP(M278,'Listado Precios'!$A:$C,3,0)</f>
        <v>25000</v>
      </c>
      <c r="I278" s="13">
        <f>VLOOKUP(M278,'Listado Precios'!$A:$C,2,0)</f>
        <v>13000</v>
      </c>
      <c r="J278" s="99">
        <v>45985</v>
      </c>
      <c r="K278" s="61"/>
      <c r="M278" s="16" t="str">
        <f>CONCATENATE(Registro!$C278,Registro!$D278)</f>
        <v>ChatGPT</v>
      </c>
    </row>
    <row r="279" spans="1:13" ht="15.75" customHeight="1">
      <c r="A279" s="63" t="s">
        <v>488</v>
      </c>
      <c r="B279" s="63" t="s">
        <v>489</v>
      </c>
      <c r="C279" s="76" t="s">
        <v>25</v>
      </c>
      <c r="D279" s="73" t="s">
        <v>14</v>
      </c>
      <c r="E279" s="87"/>
      <c r="F279" s="88"/>
      <c r="G279" s="91"/>
      <c r="H279" s="13">
        <f>VLOOKUP(M279,'Listado Precios'!$A:$C,3,0)</f>
        <v>8000</v>
      </c>
      <c r="I279" s="13">
        <f>VLOOKUP(M279,'Listado Precios'!$A:$C,2,0)</f>
        <v>5000</v>
      </c>
      <c r="J279" s="99">
        <v>45985</v>
      </c>
      <c r="K279" s="61"/>
      <c r="M279" s="16" t="str">
        <f>CONCATENATE(Registro!$C279,Registro!$D279)</f>
        <v>HBO1 pantalla</v>
      </c>
    </row>
    <row r="280" spans="1:13" ht="15.75" customHeight="1">
      <c r="A280" s="63" t="s">
        <v>542</v>
      </c>
      <c r="B280" s="63" t="s">
        <v>543</v>
      </c>
      <c r="C280" s="76" t="s">
        <v>22</v>
      </c>
      <c r="D280" s="73" t="s">
        <v>14</v>
      </c>
      <c r="E280" s="87"/>
      <c r="F280" s="88"/>
      <c r="G280" s="91"/>
      <c r="H280" s="13">
        <f>VLOOKUP(M280,'Listado Precios'!$A:$C,3,0)</f>
        <v>13000</v>
      </c>
      <c r="I280" s="13">
        <f>VLOOKUP(M280,'Listado Precios'!$A:$C,2,0)</f>
        <v>7600</v>
      </c>
      <c r="J280" s="99">
        <v>45960</v>
      </c>
      <c r="K280" s="61"/>
      <c r="M280" s="16" t="str">
        <f>CONCATENATE(Registro!$C280,Registro!$D280)</f>
        <v>Netflix1 pantalla</v>
      </c>
    </row>
    <row r="281" spans="1:13" ht="15.75" customHeight="1">
      <c r="A281" s="63" t="s">
        <v>544</v>
      </c>
      <c r="B281" s="63" t="s">
        <v>545</v>
      </c>
      <c r="C281" s="76" t="s">
        <v>22</v>
      </c>
      <c r="D281" s="73" t="s">
        <v>14</v>
      </c>
      <c r="E281" s="87"/>
      <c r="F281" s="88"/>
      <c r="G281" s="91"/>
      <c r="H281" s="13">
        <f>VLOOKUP(M281,'Listado Precios'!$A:$C,3,0)</f>
        <v>13000</v>
      </c>
      <c r="I281" s="13">
        <f>VLOOKUP(M281,'Listado Precios'!$A:$C,2,0)</f>
        <v>7600</v>
      </c>
      <c r="J281" s="99">
        <v>45990</v>
      </c>
      <c r="K281" s="61"/>
      <c r="M281" s="16" t="str">
        <f>CONCATENATE(Registro!$C281,Registro!$D281)</f>
        <v>Netflix1 pantalla</v>
      </c>
    </row>
    <row r="282" spans="1:13" ht="15.75" customHeight="1">
      <c r="A282" s="63" t="s">
        <v>159</v>
      </c>
      <c r="B282" s="63" t="s">
        <v>160</v>
      </c>
      <c r="C282" s="76" t="s">
        <v>43</v>
      </c>
      <c r="D282" s="73" t="s">
        <v>14</v>
      </c>
      <c r="E282" s="87"/>
      <c r="F282" s="88"/>
      <c r="G282" s="91"/>
      <c r="H282" s="13">
        <f>VLOOKUP(M282,'Listado Precios'!$A:$C,3,0)</f>
        <v>12000</v>
      </c>
      <c r="I282" s="13">
        <f>VLOOKUP(M282,'Listado Precios'!$A:$C,2,0)</f>
        <v>7000</v>
      </c>
      <c r="J282" s="99">
        <v>45914</v>
      </c>
      <c r="K282" s="61"/>
      <c r="M282" s="16" t="str">
        <f>CONCATENATE(Registro!$C282,Registro!$D282)</f>
        <v>DisneyP1 pantalla</v>
      </c>
    </row>
    <row r="283" spans="1:13" ht="15.75" customHeight="1">
      <c r="A283" s="148" t="s">
        <v>472</v>
      </c>
      <c r="B283" s="92" t="s">
        <v>473</v>
      </c>
      <c r="C283" s="73" t="s">
        <v>43</v>
      </c>
      <c r="D283" s="76" t="s">
        <v>14</v>
      </c>
      <c r="E283" s="164" t="s">
        <v>546</v>
      </c>
      <c r="F283" s="157" t="s">
        <v>547</v>
      </c>
      <c r="G283" s="157"/>
      <c r="H283" s="13">
        <f>VLOOKUP(M283,'Listado Precios'!$A:$C,3,0)</f>
        <v>12000</v>
      </c>
      <c r="I283" s="13">
        <f>VLOOKUP(M283,'Listado Precios'!$A:$C,2,0)</f>
        <v>7000</v>
      </c>
      <c r="J283" s="99">
        <v>45536</v>
      </c>
      <c r="K283" s="61"/>
      <c r="M283" s="16" t="str">
        <f>CONCATENATE(Registro!$C283,Registro!$D283)</f>
        <v>DisneyP1 pantalla</v>
      </c>
    </row>
    <row r="284" spans="1:13" ht="15.75" customHeight="1">
      <c r="A284" s="63" t="s">
        <v>310</v>
      </c>
      <c r="B284" s="63" t="s">
        <v>311</v>
      </c>
      <c r="C284" s="76" t="s">
        <v>13</v>
      </c>
      <c r="D284" s="73" t="s">
        <v>14</v>
      </c>
      <c r="E284" s="87"/>
      <c r="F284" s="88"/>
      <c r="G284" s="91"/>
      <c r="H284" s="13">
        <f>VLOOKUP(M284,'Listado Precios'!$A:$C,3,0)</f>
        <v>8000</v>
      </c>
      <c r="I284" s="13">
        <f>VLOOKUP(M284,'Listado Precios'!$A:$C,2,0)</f>
        <v>5000</v>
      </c>
      <c r="J284" s="99">
        <v>45983</v>
      </c>
      <c r="K284" s="61"/>
      <c r="M284" s="16" t="str">
        <f>CONCATENATE(Registro!$C284,Registro!$D284)</f>
        <v>PrimeVideo1 pantalla</v>
      </c>
    </row>
    <row r="285" spans="1:13" ht="15.75" customHeight="1">
      <c r="A285" s="63" t="s">
        <v>548</v>
      </c>
      <c r="B285" s="63" t="s">
        <v>549</v>
      </c>
      <c r="C285" s="76" t="s">
        <v>22</v>
      </c>
      <c r="D285" s="73" t="s">
        <v>14</v>
      </c>
      <c r="E285" s="87"/>
      <c r="F285" s="88"/>
      <c r="G285" s="91"/>
      <c r="H285" s="13">
        <f>VLOOKUP(M285,'Listado Precios'!$A:$C,3,0)</f>
        <v>13000</v>
      </c>
      <c r="I285" s="13">
        <f>VLOOKUP(M285,'Listado Precios'!$A:$C,2,0)</f>
        <v>7600</v>
      </c>
      <c r="J285" s="99">
        <v>45984</v>
      </c>
      <c r="K285" s="61"/>
      <c r="M285" s="16" t="str">
        <f>CONCATENATE(Registro!$C285,Registro!$D285)</f>
        <v>Netflix1 pantalla</v>
      </c>
    </row>
    <row r="286" spans="1:13" ht="15.75" customHeight="1">
      <c r="A286" s="63" t="s">
        <v>550</v>
      </c>
      <c r="B286" s="63" t="s">
        <v>551</v>
      </c>
      <c r="C286" s="73" t="s">
        <v>22</v>
      </c>
      <c r="D286" s="73" t="s">
        <v>14</v>
      </c>
      <c r="E286" s="87"/>
      <c r="F286" s="88"/>
      <c r="G286" s="91"/>
      <c r="H286" s="13">
        <f>VLOOKUP(M286,'Listado Precios'!$A:$C,3,0)</f>
        <v>13000</v>
      </c>
      <c r="I286" s="13">
        <f>VLOOKUP(M286,'Listado Precios'!$A:$C,2,0)</f>
        <v>7600</v>
      </c>
      <c r="J286" s="99">
        <v>45948</v>
      </c>
      <c r="K286" s="61"/>
      <c r="M286" s="16" t="str">
        <f>CONCATENATE(Registro!$C286,Registro!$D286)</f>
        <v>Netflix1 pantalla</v>
      </c>
    </row>
    <row r="287" spans="1:13" ht="15.75" customHeight="1">
      <c r="A287" s="63" t="s">
        <v>106</v>
      </c>
      <c r="B287" s="63"/>
      <c r="C287" s="76" t="s">
        <v>17</v>
      </c>
      <c r="D287" s="73"/>
      <c r="E287" s="87"/>
      <c r="F287" s="88" t="s">
        <v>176</v>
      </c>
      <c r="G287" s="91"/>
      <c r="H287" s="13">
        <f>VLOOKUP(M287,'Listado Precios'!$A:$C,3,0)</f>
        <v>8000</v>
      </c>
      <c r="I287" s="13">
        <f>VLOOKUP(M287,'Listado Precios'!$A:$C,2,0)</f>
        <v>5280</v>
      </c>
      <c r="J287" s="99">
        <v>45981</v>
      </c>
      <c r="K287" s="61"/>
      <c r="M287" s="16" t="str">
        <f>CONCATENATE(Registro!$C287,Registro!$D287)</f>
        <v>Spotify</v>
      </c>
    </row>
    <row r="288" spans="1:13" ht="15.75" customHeight="1">
      <c r="A288" s="63" t="s">
        <v>106</v>
      </c>
      <c r="B288" s="63" t="s">
        <v>214</v>
      </c>
      <c r="C288" s="76" t="s">
        <v>17</v>
      </c>
      <c r="D288" s="73"/>
      <c r="E288" s="87" t="s">
        <v>552</v>
      </c>
      <c r="F288" s="88" t="s">
        <v>553</v>
      </c>
      <c r="G288" s="91"/>
      <c r="H288" s="13">
        <f>VLOOKUP(M288,'Listado Precios'!$A:$C,3,0)</f>
        <v>8000</v>
      </c>
      <c r="I288" s="13">
        <f>VLOOKUP(M288,'Listado Precios'!$A:$C,2,0)</f>
        <v>5280</v>
      </c>
      <c r="J288" s="99">
        <v>45981</v>
      </c>
      <c r="K288" s="61"/>
      <c r="M288" s="16" t="str">
        <f>CONCATENATE(Registro!$C288,Registro!$D288)</f>
        <v>Spotify</v>
      </c>
    </row>
    <row r="289" spans="1:13" ht="15.75" customHeight="1">
      <c r="A289" s="63" t="s">
        <v>554</v>
      </c>
      <c r="B289" s="63" t="s">
        <v>555</v>
      </c>
      <c r="C289" s="76" t="s">
        <v>22</v>
      </c>
      <c r="D289" s="93" t="s">
        <v>14</v>
      </c>
      <c r="E289" s="94"/>
      <c r="F289" s="88"/>
      <c r="G289" s="90"/>
      <c r="H289" s="13">
        <f>VLOOKUP(M289,'Listado Precios'!$A:$C,3,0)</f>
        <v>13000</v>
      </c>
      <c r="I289" s="13">
        <f>VLOOKUP(M289,'Listado Precios'!$A:$C,2,0)</f>
        <v>7600</v>
      </c>
      <c r="J289" s="28">
        <v>45949</v>
      </c>
      <c r="K289" s="61"/>
      <c r="M289" s="16" t="str">
        <f>CONCATENATE(Registro!$C289,Registro!$D289)</f>
        <v>Netflix1 pantalla</v>
      </c>
    </row>
    <row r="290" spans="1:13" ht="15.75" customHeight="1">
      <c r="A290" s="63" t="s">
        <v>556</v>
      </c>
      <c r="B290" s="63" t="s">
        <v>557</v>
      </c>
      <c r="C290" s="76" t="s">
        <v>22</v>
      </c>
      <c r="D290" s="73" t="s">
        <v>14</v>
      </c>
      <c r="E290" s="87"/>
      <c r="F290" s="88"/>
      <c r="G290" s="91"/>
      <c r="H290" s="13">
        <f>VLOOKUP(M290,'Listado Precios'!$A:$C,3,0)</f>
        <v>13000</v>
      </c>
      <c r="I290" s="13">
        <f>VLOOKUP(M290,'Listado Precios'!$A:$C,2,0)</f>
        <v>7600</v>
      </c>
      <c r="J290" s="99">
        <v>45972</v>
      </c>
      <c r="K290" s="61"/>
      <c r="M290" s="16" t="str">
        <f>CONCATENATE(Registro!$C290,Registro!$D290)</f>
        <v>Netflix1 pantalla</v>
      </c>
    </row>
    <row r="291" spans="1:13" ht="15.75" customHeight="1">
      <c r="A291" s="63" t="s">
        <v>556</v>
      </c>
      <c r="B291" s="63" t="s">
        <v>557</v>
      </c>
      <c r="C291" s="76" t="s">
        <v>65</v>
      </c>
      <c r="D291" s="73" t="s">
        <v>14</v>
      </c>
      <c r="E291" s="87"/>
      <c r="F291" s="88"/>
      <c r="G291" s="91"/>
      <c r="H291" s="13">
        <f>VLOOKUP(M291,'Listado Precios'!$A:$C,3,0)</f>
        <v>8000</v>
      </c>
      <c r="I291" s="13">
        <f>VLOOKUP(M291,'Listado Precios'!$A:$C,2,0)</f>
        <v>5000</v>
      </c>
      <c r="J291" s="99">
        <v>45972</v>
      </c>
      <c r="K291" s="61"/>
      <c r="M291" s="16" t="str">
        <f>CONCATENATE(Registro!$C291,Registro!$D291)</f>
        <v>Crunchyroll1 pantalla</v>
      </c>
    </row>
    <row r="292" spans="1:13" ht="15.75" customHeight="1">
      <c r="A292" s="63" t="s">
        <v>558</v>
      </c>
      <c r="B292" s="63"/>
      <c r="C292" s="76" t="s">
        <v>22</v>
      </c>
      <c r="D292" s="73" t="s">
        <v>14</v>
      </c>
      <c r="E292" s="87"/>
      <c r="F292" s="88"/>
      <c r="G292" s="91"/>
      <c r="H292" s="13">
        <f>VLOOKUP(M292,'Listado Precios'!$A:$C,3,0)</f>
        <v>13000</v>
      </c>
      <c r="I292" s="13">
        <f>VLOOKUP(M292,'Listado Precios'!$A:$C,2,0)</f>
        <v>7600</v>
      </c>
      <c r="J292" s="99">
        <v>45974</v>
      </c>
      <c r="K292" s="61"/>
      <c r="M292" s="16" t="str">
        <f>CONCATENATE(Registro!$C292,Registro!$D292)</f>
        <v>Netflix1 pantalla</v>
      </c>
    </row>
    <row r="293" spans="1:13" ht="15.75" customHeight="1">
      <c r="A293" s="63" t="s">
        <v>559</v>
      </c>
      <c r="B293" s="63" t="s">
        <v>560</v>
      </c>
      <c r="C293" s="76" t="s">
        <v>25</v>
      </c>
      <c r="D293" s="73" t="s">
        <v>14</v>
      </c>
      <c r="E293" s="87"/>
      <c r="F293" s="88"/>
      <c r="G293" s="91"/>
      <c r="H293" s="13">
        <f>VLOOKUP(M293,'Listado Precios'!$A:$C,3,0)</f>
        <v>8000</v>
      </c>
      <c r="I293" s="13">
        <f>VLOOKUP(M293,'Listado Precios'!$A:$C,2,0)</f>
        <v>5000</v>
      </c>
      <c r="J293" s="99">
        <v>45970</v>
      </c>
      <c r="K293" s="61"/>
      <c r="M293" s="16" t="str">
        <f>CONCATENATE(Registro!$C293,Registro!$D293)</f>
        <v>HBO1 pantalla</v>
      </c>
    </row>
    <row r="294" spans="1:13" ht="15.75" customHeight="1">
      <c r="A294" s="63" t="s">
        <v>561</v>
      </c>
      <c r="B294" s="63" t="s">
        <v>562</v>
      </c>
      <c r="C294" s="76" t="s">
        <v>22</v>
      </c>
      <c r="D294" s="93" t="s">
        <v>14</v>
      </c>
      <c r="E294" s="94" t="s">
        <v>563</v>
      </c>
      <c r="F294" s="88" t="s">
        <v>564</v>
      </c>
      <c r="G294" s="90"/>
      <c r="H294" s="13">
        <f>VLOOKUP(M294,'Listado Precios'!$A:$C,3,0)</f>
        <v>13000</v>
      </c>
      <c r="I294" s="13">
        <f>VLOOKUP(M294,'Listado Precios'!$A:$C,2,0)</f>
        <v>7600</v>
      </c>
      <c r="J294" s="99">
        <v>45536</v>
      </c>
      <c r="K294" s="61"/>
      <c r="M294" s="16" t="str">
        <f>CONCATENATE(Registro!$C294,Registro!$D294)</f>
        <v>Netflix1 pantalla</v>
      </c>
    </row>
    <row r="295" spans="1:13" ht="15.75" customHeight="1">
      <c r="A295" s="63" t="s">
        <v>565</v>
      </c>
      <c r="B295" s="63" t="s">
        <v>566</v>
      </c>
      <c r="C295" s="76" t="s">
        <v>43</v>
      </c>
      <c r="D295" s="73" t="s">
        <v>14</v>
      </c>
      <c r="E295" s="87" t="s">
        <v>567</v>
      </c>
      <c r="F295" s="88"/>
      <c r="G295" s="91"/>
      <c r="H295" s="13">
        <f>VLOOKUP(M295,'Listado Precios'!$A:$C,3,0)</f>
        <v>12000</v>
      </c>
      <c r="I295" s="13">
        <f>VLOOKUP(M295,'Listado Precios'!$A:$C,2,0)</f>
        <v>7000</v>
      </c>
      <c r="J295" s="99">
        <v>45906</v>
      </c>
      <c r="K295" s="61"/>
      <c r="M295" s="16" t="str">
        <f>CONCATENATE(Registro!$C295,Registro!$D295)</f>
        <v>DisneyP1 pantalla</v>
      </c>
    </row>
    <row r="296" spans="1:13" ht="15.75" customHeight="1">
      <c r="A296" s="63" t="s">
        <v>347</v>
      </c>
      <c r="B296" s="63" t="s">
        <v>568</v>
      </c>
      <c r="C296" s="76" t="s">
        <v>22</v>
      </c>
      <c r="D296" s="73" t="s">
        <v>14</v>
      </c>
      <c r="E296" s="87"/>
      <c r="F296" s="88"/>
      <c r="G296" s="91"/>
      <c r="H296" s="13">
        <f>VLOOKUP(M296,'Listado Precios'!$A:$C,3,0)</f>
        <v>13000</v>
      </c>
      <c r="I296" s="13">
        <f>VLOOKUP(M296,'Listado Precios'!$A:$C,2,0)</f>
        <v>7600</v>
      </c>
      <c r="J296" s="99">
        <v>45968</v>
      </c>
      <c r="K296" s="61"/>
      <c r="M296" s="16" t="str">
        <f>CONCATENATE(Registro!$C296,Registro!$D296)</f>
        <v>Netflix1 pantalla</v>
      </c>
    </row>
    <row r="297" spans="1:13" ht="15.75" customHeight="1">
      <c r="A297" s="63" t="s">
        <v>347</v>
      </c>
      <c r="B297" s="63" t="s">
        <v>568</v>
      </c>
      <c r="C297" s="76" t="s">
        <v>13</v>
      </c>
      <c r="D297" s="73" t="s">
        <v>14</v>
      </c>
      <c r="E297" s="87"/>
      <c r="F297" s="88"/>
      <c r="G297" s="91"/>
      <c r="H297" s="13">
        <f>VLOOKUP(M297,'Listado Precios'!$A:$C,3,0)</f>
        <v>8000</v>
      </c>
      <c r="I297" s="13">
        <f>VLOOKUP(M297,'Listado Precios'!$A:$C,2,0)</f>
        <v>5000</v>
      </c>
      <c r="J297" s="99">
        <v>45968</v>
      </c>
      <c r="K297" s="61"/>
      <c r="M297" s="16" t="str">
        <f>CONCATENATE(Registro!$C297,Registro!$D297)</f>
        <v>PrimeVideo1 pantalla</v>
      </c>
    </row>
    <row r="298" spans="1:13" ht="15.75" customHeight="1">
      <c r="A298" s="63" t="s">
        <v>52</v>
      </c>
      <c r="B298" s="63" t="s">
        <v>53</v>
      </c>
      <c r="C298" s="76" t="s">
        <v>25</v>
      </c>
      <c r="D298" s="73" t="s">
        <v>14</v>
      </c>
      <c r="E298" s="87"/>
      <c r="F298" s="88"/>
      <c r="G298" s="91"/>
      <c r="H298" s="13">
        <f>VLOOKUP(M298,'Listado Precios'!$A:$C,3,0)</f>
        <v>8000</v>
      </c>
      <c r="I298" s="13">
        <f>VLOOKUP(M298,'Listado Precios'!$A:$C,2,0)</f>
        <v>5000</v>
      </c>
      <c r="J298" s="99">
        <v>45968</v>
      </c>
      <c r="K298" s="61"/>
      <c r="M298" s="16" t="str">
        <f>CONCATENATE(Registro!$C298,Registro!$D298)</f>
        <v>HBO1 pantalla</v>
      </c>
    </row>
    <row r="299" spans="1:13" ht="15.75" customHeight="1">
      <c r="A299" s="7" t="s">
        <v>569</v>
      </c>
      <c r="B299" s="8" t="s">
        <v>570</v>
      </c>
      <c r="C299" s="76" t="s">
        <v>571</v>
      </c>
      <c r="D299" s="73" t="s">
        <v>14</v>
      </c>
      <c r="E299" s="87"/>
      <c r="F299" s="88"/>
      <c r="G299" s="91"/>
      <c r="H299" s="13">
        <f>VLOOKUP(M299,'Listado Precios'!$A:$C,3,0)</f>
        <v>10000</v>
      </c>
      <c r="I299" s="13">
        <f>VLOOKUP(M299,'Listado Precios'!$A:$C,2,0)</f>
        <v>4500</v>
      </c>
      <c r="J299" s="99">
        <v>45903</v>
      </c>
      <c r="K299" s="61"/>
      <c r="M299" s="16" t="str">
        <f>CONCATENATE(Registro!$C299,Registro!$D299)</f>
        <v>IPTV1 pantalla</v>
      </c>
    </row>
    <row r="300" spans="1:13" ht="15.75" customHeight="1">
      <c r="A300" s="64" t="s">
        <v>572</v>
      </c>
      <c r="B300" s="64" t="s">
        <v>573</v>
      </c>
      <c r="C300" s="73" t="s">
        <v>22</v>
      </c>
      <c r="D300" s="73" t="s">
        <v>14</v>
      </c>
      <c r="E300" s="87"/>
      <c r="F300" s="88"/>
      <c r="G300" s="91"/>
      <c r="H300" s="13">
        <f>VLOOKUP(M300,'Listado Precios'!$A:$C,3,0)</f>
        <v>13000</v>
      </c>
      <c r="I300" s="13">
        <f>VLOOKUP(M300,'Listado Precios'!$A:$C,2,0)</f>
        <v>7600</v>
      </c>
      <c r="J300" s="99">
        <v>45959</v>
      </c>
      <c r="K300" s="61"/>
      <c r="M300" s="16" t="str">
        <f>CONCATENATE(Registro!$C300,Registro!$D300)</f>
        <v>Netflix1 pantalla</v>
      </c>
    </row>
    <row r="301" spans="1:13" ht="15.75" customHeight="1">
      <c r="A301" s="63" t="s">
        <v>574</v>
      </c>
      <c r="B301" s="63"/>
      <c r="C301" s="73" t="s">
        <v>17</v>
      </c>
      <c r="D301" s="73"/>
      <c r="E301" s="87" t="s">
        <v>575</v>
      </c>
      <c r="F301" s="88" t="s">
        <v>176</v>
      </c>
      <c r="G301" s="91"/>
      <c r="H301" s="13">
        <f>VLOOKUP(M301,'Listado Precios'!$A:$C,3,0)</f>
        <v>8000</v>
      </c>
      <c r="I301" s="13">
        <f>VLOOKUP(M301,'Listado Precios'!$A:$C,2,0)</f>
        <v>5280</v>
      </c>
      <c r="J301" s="99">
        <v>45778</v>
      </c>
      <c r="K301" s="61"/>
      <c r="M301" s="16" t="str">
        <f>CONCATENATE(Registro!$C301,Registro!$D301)</f>
        <v>Spotify</v>
      </c>
    </row>
    <row r="302" spans="1:13" ht="15.75" customHeight="1">
      <c r="A302" s="63" t="s">
        <v>416</v>
      </c>
      <c r="B302" s="63" t="s">
        <v>417</v>
      </c>
      <c r="C302" s="76" t="s">
        <v>571</v>
      </c>
      <c r="D302" s="73" t="s">
        <v>14</v>
      </c>
      <c r="E302" s="87"/>
      <c r="F302" s="88"/>
      <c r="G302" s="91"/>
      <c r="H302" s="13">
        <f>VLOOKUP(M302,'Listado Precios'!$A:$C,3,0)</f>
        <v>10000</v>
      </c>
      <c r="I302" s="13">
        <f>VLOOKUP(M302,'Listado Precios'!$A:$C,2,0)</f>
        <v>4500</v>
      </c>
      <c r="J302" s="99">
        <v>45894</v>
      </c>
      <c r="K302" s="61"/>
      <c r="M302" s="16" t="str">
        <f>CONCATENATE(Registro!$C302,Registro!$D302)</f>
        <v>IPTV1 pantalla</v>
      </c>
    </row>
    <row r="303" spans="1:13" ht="15.75" customHeight="1">
      <c r="A303" s="63" t="s">
        <v>576</v>
      </c>
      <c r="B303" s="63" t="s">
        <v>577</v>
      </c>
      <c r="C303" s="76" t="s">
        <v>22</v>
      </c>
      <c r="D303" s="73" t="s">
        <v>14</v>
      </c>
      <c r="E303" s="87" t="s">
        <v>397</v>
      </c>
      <c r="F303" s="88" t="s">
        <v>578</v>
      </c>
      <c r="G303" s="91" t="s">
        <v>579</v>
      </c>
      <c r="H303" s="13">
        <f>VLOOKUP(M303,'Listado Precios'!$A:$C,3,0)</f>
        <v>13000</v>
      </c>
      <c r="I303" s="13">
        <f>VLOOKUP(M303,'Listado Precios'!$A:$C,2,0)</f>
        <v>7600</v>
      </c>
      <c r="J303" s="28">
        <v>45435</v>
      </c>
      <c r="K303" s="61"/>
      <c r="M303" s="16" t="str">
        <f>CONCATENATE(Registro!$C303,Registro!$D303)</f>
        <v>Netflix1 pantalla</v>
      </c>
    </row>
    <row r="304" spans="1:13" ht="15.75" customHeight="1">
      <c r="A304" s="7" t="s">
        <v>580</v>
      </c>
      <c r="B304" s="8" t="s">
        <v>581</v>
      </c>
      <c r="C304" s="76" t="s">
        <v>22</v>
      </c>
      <c r="D304" s="73" t="s">
        <v>14</v>
      </c>
      <c r="E304" s="87"/>
      <c r="F304" s="88"/>
      <c r="G304" s="91"/>
      <c r="H304" s="13">
        <f>VLOOKUP(M304,'Listado Precios'!$A:$C,3,0)</f>
        <v>13000</v>
      </c>
      <c r="I304" s="13">
        <f>VLOOKUP(M304,'Listado Precios'!$A:$C,2,0)</f>
        <v>7600</v>
      </c>
      <c r="J304" s="99">
        <v>45892</v>
      </c>
      <c r="K304" s="61"/>
      <c r="M304" s="16" t="str">
        <f>CONCATENATE(Registro!$C304,Registro!$D304)</f>
        <v>Netflix1 pantalla</v>
      </c>
    </row>
    <row r="305" spans="1:13" ht="15.75" customHeight="1">
      <c r="A305" s="63" t="s">
        <v>582</v>
      </c>
      <c r="B305" s="63" t="s">
        <v>583</v>
      </c>
      <c r="C305" s="76" t="s">
        <v>22</v>
      </c>
      <c r="D305" s="73" t="s">
        <v>14</v>
      </c>
      <c r="E305" s="89" t="s">
        <v>584</v>
      </c>
      <c r="F305" s="88" t="s">
        <v>585</v>
      </c>
      <c r="G305" s="90"/>
      <c r="H305" s="13">
        <f>VLOOKUP(M305,'Listado Precios'!$A:$C,3,0)</f>
        <v>13000</v>
      </c>
      <c r="I305" s="13">
        <f>VLOOKUP(M305,'Listado Precios'!$A:$C,2,0)</f>
        <v>7600</v>
      </c>
      <c r="J305" s="28">
        <v>45842</v>
      </c>
      <c r="K305" s="61"/>
      <c r="M305" s="16" t="str">
        <f>CONCATENATE(Registro!$C305,Registro!$D305)</f>
        <v>Netflix1 pantalla</v>
      </c>
    </row>
    <row r="306" spans="1:13" ht="15.75" customHeight="1">
      <c r="A306" s="63" t="s">
        <v>586</v>
      </c>
      <c r="B306" s="63" t="s">
        <v>587</v>
      </c>
      <c r="C306" s="73" t="s">
        <v>43</v>
      </c>
      <c r="D306" s="73" t="s">
        <v>14</v>
      </c>
      <c r="E306" s="87"/>
      <c r="F306" s="88"/>
      <c r="G306" s="91"/>
      <c r="H306" s="13">
        <f>VLOOKUP(M306,'Listado Precios'!$A:$C,3,0)</f>
        <v>12000</v>
      </c>
      <c r="I306" s="13">
        <f>VLOOKUP(M306,'Listado Precios'!$A:$C,2,0)</f>
        <v>7000</v>
      </c>
      <c r="J306" s="99">
        <v>45814</v>
      </c>
      <c r="K306" s="61"/>
      <c r="M306" s="16" t="str">
        <f>CONCATENATE(Registro!$C306,Registro!$D306)</f>
        <v>DisneyP1 pantalla</v>
      </c>
    </row>
    <row r="307" spans="1:13" ht="15.75" customHeight="1">
      <c r="A307" s="123" t="s">
        <v>588</v>
      </c>
      <c r="B307" s="8" t="s">
        <v>589</v>
      </c>
      <c r="C307" s="73" t="s">
        <v>22</v>
      </c>
      <c r="D307" s="73" t="s">
        <v>14</v>
      </c>
      <c r="E307" s="87"/>
      <c r="F307" s="88"/>
      <c r="G307" s="91"/>
      <c r="H307" s="13">
        <f>VLOOKUP(M307,'Listado Precios'!$A:$C,3,0)</f>
        <v>13000</v>
      </c>
      <c r="I307" s="13">
        <f>VLOOKUP(M307,'Listado Precios'!$A:$C,2,0)</f>
        <v>7600</v>
      </c>
      <c r="J307" s="99">
        <v>45763</v>
      </c>
      <c r="K307" s="61"/>
      <c r="M307" s="16" t="str">
        <f>CONCATENATE(Registro!$C307,Registro!$D307)</f>
        <v>Netflix1 pantalla</v>
      </c>
    </row>
    <row r="308" spans="1:13" ht="15.75" customHeight="1">
      <c r="A308" s="7" t="s">
        <v>590</v>
      </c>
      <c r="B308" s="8" t="s">
        <v>591</v>
      </c>
      <c r="C308" s="76" t="s">
        <v>17</v>
      </c>
      <c r="D308" s="73"/>
      <c r="E308" s="87" t="s">
        <v>592</v>
      </c>
      <c r="F308" s="88" t="s">
        <v>176</v>
      </c>
      <c r="G308" s="91"/>
      <c r="H308" s="13">
        <f>VLOOKUP(M308,'Listado Precios'!$A:$C,3,0)</f>
        <v>8000</v>
      </c>
      <c r="I308" s="13">
        <f>VLOOKUP(M308,'Listado Precios'!$A:$C,2,0)</f>
        <v>5280</v>
      </c>
      <c r="J308" s="99">
        <v>45536</v>
      </c>
      <c r="K308" s="61"/>
      <c r="M308" s="16" t="str">
        <f>CONCATENATE(Registro!$C308,Registro!$D308)</f>
        <v>Spotify</v>
      </c>
    </row>
    <row r="309" spans="1:13" ht="15.75" customHeight="1">
      <c r="A309" s="63" t="s">
        <v>593</v>
      </c>
      <c r="B309" s="63" t="s">
        <v>594</v>
      </c>
      <c r="C309" s="76" t="s">
        <v>22</v>
      </c>
      <c r="D309" s="73" t="s">
        <v>14</v>
      </c>
      <c r="E309" s="87"/>
      <c r="F309" s="88"/>
      <c r="G309" s="91"/>
      <c r="H309" s="13">
        <f>VLOOKUP(M309,'Listado Precios'!$A:$C,3,0)</f>
        <v>13000</v>
      </c>
      <c r="I309" s="13">
        <f>VLOOKUP(M309,'Listado Precios'!$A:$C,2,0)</f>
        <v>7600</v>
      </c>
      <c r="J309" s="99">
        <v>45938</v>
      </c>
      <c r="K309" s="61"/>
      <c r="M309" s="16" t="str">
        <f>CONCATENATE(Registro!$C309,Registro!$D309)</f>
        <v>Netflix1 pantalla</v>
      </c>
    </row>
    <row r="310" spans="1:13" ht="15.75" customHeight="1">
      <c r="A310" s="63" t="s">
        <v>595</v>
      </c>
      <c r="B310" s="63" t="s">
        <v>596</v>
      </c>
      <c r="C310" s="76" t="s">
        <v>13</v>
      </c>
      <c r="D310" s="73" t="s">
        <v>14</v>
      </c>
      <c r="E310" s="87"/>
      <c r="F310" s="88"/>
      <c r="G310" s="91"/>
      <c r="H310" s="13">
        <f>VLOOKUP(M310,'Listado Precios'!$A:$C,3,0)</f>
        <v>8000</v>
      </c>
      <c r="I310" s="13">
        <f>VLOOKUP(M310,'Listado Precios'!$A:$C,2,0)</f>
        <v>5000</v>
      </c>
      <c r="J310" s="99">
        <v>45906</v>
      </c>
      <c r="K310" s="61"/>
      <c r="M310" s="16" t="str">
        <f>CONCATENATE(Registro!$C310,Registro!$D310)</f>
        <v>PrimeVideo1 pantalla</v>
      </c>
    </row>
    <row r="311" spans="1:13" ht="15.75" customHeight="1">
      <c r="A311" s="63" t="s">
        <v>415</v>
      </c>
      <c r="B311" s="63" t="s">
        <v>597</v>
      </c>
      <c r="C311" s="76" t="s">
        <v>22</v>
      </c>
      <c r="D311" s="73" t="s">
        <v>14</v>
      </c>
      <c r="E311" s="87"/>
      <c r="F311" s="88"/>
      <c r="G311" s="91"/>
      <c r="H311" s="13">
        <f>VLOOKUP(M311,'Listado Precios'!$A:$C,3,0)</f>
        <v>13000</v>
      </c>
      <c r="I311" s="13">
        <f>VLOOKUP(M311,'Listado Precios'!$A:$C,2,0)</f>
        <v>7600</v>
      </c>
      <c r="J311" s="99">
        <v>45934</v>
      </c>
      <c r="K311" s="61"/>
      <c r="M311" s="16" t="str">
        <f>CONCATENATE(Registro!$C311,Registro!$D311)</f>
        <v>Netflix1 pantalla</v>
      </c>
    </row>
    <row r="312" spans="1:13" ht="15.75" customHeight="1">
      <c r="A312" s="64" t="s">
        <v>598</v>
      </c>
      <c r="B312" s="64" t="s">
        <v>599</v>
      </c>
      <c r="C312" s="73" t="s">
        <v>571</v>
      </c>
      <c r="D312" s="76" t="s">
        <v>14</v>
      </c>
      <c r="E312" s="89" t="s">
        <v>88</v>
      </c>
      <c r="F312" s="88" t="s">
        <v>600</v>
      </c>
      <c r="G312" s="90"/>
      <c r="H312" s="13">
        <f>VLOOKUP(M312,'Listado Precios'!$A:$C,3,0)</f>
        <v>10000</v>
      </c>
      <c r="I312" s="13">
        <f>VLOOKUP(M312,'Listado Precios'!$A:$C,2,0)</f>
        <v>4500</v>
      </c>
      <c r="J312" s="28">
        <v>45479</v>
      </c>
      <c r="K312" s="61"/>
      <c r="M312" s="16" t="str">
        <f>CONCATENATE(Registro!$C312,Registro!$D312)</f>
        <v>IPTV1 pantalla</v>
      </c>
    </row>
    <row r="313" spans="1:13" ht="15.75" customHeight="1">
      <c r="A313" s="63" t="s">
        <v>601</v>
      </c>
      <c r="B313" s="63" t="s">
        <v>602</v>
      </c>
      <c r="C313" s="76" t="s">
        <v>571</v>
      </c>
      <c r="D313" s="73" t="s">
        <v>14</v>
      </c>
      <c r="E313" s="87" t="s">
        <v>603</v>
      </c>
      <c r="F313" s="88" t="s">
        <v>600</v>
      </c>
      <c r="G313" s="91"/>
      <c r="H313" s="13">
        <f>VLOOKUP(M313,'Listado Precios'!$A:$C,3,0)</f>
        <v>10000</v>
      </c>
      <c r="I313" s="13">
        <f>VLOOKUP(M313,'Listado Precios'!$A:$C,2,0)</f>
        <v>4500</v>
      </c>
      <c r="J313" s="28">
        <v>45540</v>
      </c>
      <c r="K313" s="61"/>
      <c r="M313" s="16" t="str">
        <f>CONCATENATE(Registro!$C313,Registro!$D313)</f>
        <v>IPTV1 pantalla</v>
      </c>
    </row>
    <row r="314" spans="1:13" ht="15.75" customHeight="1">
      <c r="A314" s="64" t="s">
        <v>604</v>
      </c>
      <c r="B314" s="64" t="s">
        <v>605</v>
      </c>
      <c r="C314" s="73" t="s">
        <v>571</v>
      </c>
      <c r="D314" s="76" t="s">
        <v>14</v>
      </c>
      <c r="E314" s="89" t="s">
        <v>606</v>
      </c>
      <c r="F314" s="87" t="s">
        <v>607</v>
      </c>
      <c r="G314" s="90"/>
      <c r="H314" s="13">
        <f>VLOOKUP(M314,'Listado Precios'!$A:$C,3,0)</f>
        <v>10000</v>
      </c>
      <c r="I314" s="13">
        <f>VLOOKUP(M314,'Listado Precios'!$A:$C,2,0)</f>
        <v>4500</v>
      </c>
      <c r="J314" s="127">
        <v>45487</v>
      </c>
      <c r="K314" s="61"/>
      <c r="M314" s="16" t="str">
        <f>CONCATENATE(Registro!$C314,Registro!$D314)</f>
        <v>IPTV1 pantalla</v>
      </c>
    </row>
    <row r="315" spans="1:13" ht="15.75" customHeight="1">
      <c r="A315" s="63" t="s">
        <v>608</v>
      </c>
      <c r="B315" s="63" t="s">
        <v>609</v>
      </c>
      <c r="C315" s="73" t="s">
        <v>571</v>
      </c>
      <c r="D315" s="73" t="s">
        <v>14</v>
      </c>
      <c r="E315" s="87"/>
      <c r="F315" s="88"/>
      <c r="G315" s="91"/>
      <c r="H315" s="13">
        <f>VLOOKUP(M315,'Listado Precios'!$A:$C,3,0)</f>
        <v>10000</v>
      </c>
      <c r="I315" s="13">
        <f>VLOOKUP(M315,'Listado Precios'!$A:$C,2,0)</f>
        <v>4500</v>
      </c>
      <c r="J315" s="99">
        <v>45752</v>
      </c>
      <c r="K315" s="61"/>
      <c r="M315" s="16" t="str">
        <f>CONCATENATE(Registro!$C315,Registro!$D315)</f>
        <v>IPTV1 pantalla</v>
      </c>
    </row>
    <row r="316" spans="1:13" ht="15.75" customHeight="1">
      <c r="A316" s="63" t="s">
        <v>11</v>
      </c>
      <c r="B316" s="64" t="s">
        <v>12</v>
      </c>
      <c r="C316" s="73" t="s">
        <v>571</v>
      </c>
      <c r="D316" s="73" t="s">
        <v>14</v>
      </c>
      <c r="E316" s="87"/>
      <c r="F316" s="88"/>
      <c r="G316" s="91"/>
      <c r="H316" s="13">
        <f>VLOOKUP(M316,'Listado Precios'!$A:$C,3,0)</f>
        <v>10000</v>
      </c>
      <c r="I316" s="13">
        <f>VLOOKUP(M316,'Listado Precios'!$A:$C,2,0)</f>
        <v>4500</v>
      </c>
      <c r="J316" s="99">
        <v>45807</v>
      </c>
      <c r="K316" s="61"/>
      <c r="M316" s="16" t="str">
        <f>CONCATENATE(Registro!$C316,Registro!$D316)</f>
        <v>IPTV1 pantalla</v>
      </c>
    </row>
    <row r="317" spans="1:13" ht="15.75" customHeight="1">
      <c r="A317" s="7" t="s">
        <v>610</v>
      </c>
      <c r="B317" s="8" t="s">
        <v>611</v>
      </c>
      <c r="C317" s="76" t="s">
        <v>22</v>
      </c>
      <c r="D317" s="73" t="s">
        <v>14</v>
      </c>
      <c r="E317" s="87"/>
      <c r="F317" s="88"/>
      <c r="G317" s="91"/>
      <c r="H317" s="13">
        <f>VLOOKUP(M317,'Listado Precios'!$A:$C,3,0)</f>
        <v>13000</v>
      </c>
      <c r="I317" s="13">
        <f>VLOOKUP(M317,'Listado Precios'!$A:$C,2,0)</f>
        <v>7600</v>
      </c>
      <c r="J317" s="99">
        <v>45933</v>
      </c>
      <c r="K317" s="61"/>
      <c r="M317" s="16" t="str">
        <f>CONCATENATE(Registro!$C317,Registro!$D317)</f>
        <v>Netflix1 pantalla</v>
      </c>
    </row>
    <row r="318" spans="1:13" ht="15.75" customHeight="1">
      <c r="A318" s="63" t="s">
        <v>415</v>
      </c>
      <c r="B318" s="63" t="s">
        <v>597</v>
      </c>
      <c r="C318" s="76" t="s">
        <v>25</v>
      </c>
      <c r="D318" s="73" t="s">
        <v>14</v>
      </c>
      <c r="E318" s="87"/>
      <c r="F318" s="88"/>
      <c r="G318" s="91"/>
      <c r="H318" s="13">
        <f>VLOOKUP(M318,'Listado Precios'!$A:$C,3,0)</f>
        <v>8000</v>
      </c>
      <c r="I318" s="13">
        <f>VLOOKUP(M318,'Listado Precios'!$A:$C,2,0)</f>
        <v>5000</v>
      </c>
      <c r="J318" s="99">
        <v>45934</v>
      </c>
      <c r="K318" s="61"/>
      <c r="M318" s="16" t="str">
        <f>CONCATENATE(Registro!$C318,Registro!$D318)</f>
        <v>HBO1 pantalla</v>
      </c>
    </row>
    <row r="319" spans="1:13" ht="15.75" customHeight="1">
      <c r="A319" s="63" t="s">
        <v>347</v>
      </c>
      <c r="B319" s="63" t="s">
        <v>612</v>
      </c>
      <c r="C319" s="76" t="s">
        <v>22</v>
      </c>
      <c r="D319" s="73" t="s">
        <v>14</v>
      </c>
      <c r="E319" s="87"/>
      <c r="F319" s="88"/>
      <c r="G319" s="91"/>
      <c r="H319" s="13">
        <f>VLOOKUP(M319,'Listado Precios'!$A:$C,3,0)</f>
        <v>13000</v>
      </c>
      <c r="I319" s="13">
        <f>VLOOKUP(M319,'Listado Precios'!$A:$C,2,0)</f>
        <v>7600</v>
      </c>
      <c r="J319" s="99">
        <v>45896</v>
      </c>
      <c r="K319" s="61"/>
      <c r="M319" s="16" t="str">
        <f>CONCATENATE(Registro!$C319,Registro!$D319)</f>
        <v>Netflix1 pantalla</v>
      </c>
    </row>
    <row r="320" spans="1:13" ht="15.75" customHeight="1">
      <c r="A320" s="63" t="s">
        <v>613</v>
      </c>
      <c r="B320" s="63" t="s">
        <v>614</v>
      </c>
      <c r="C320" s="76" t="s">
        <v>22</v>
      </c>
      <c r="D320" s="73" t="s">
        <v>14</v>
      </c>
      <c r="E320" s="87"/>
      <c r="F320" s="88"/>
      <c r="G320" s="91"/>
      <c r="H320" s="13">
        <f>VLOOKUP(M320,'Listado Precios'!$A:$C,3,0)</f>
        <v>13000</v>
      </c>
      <c r="I320" s="13">
        <f>VLOOKUP(M320,'Listado Precios'!$A:$C,2,0)</f>
        <v>7600</v>
      </c>
      <c r="J320" s="99">
        <v>45928</v>
      </c>
      <c r="K320" s="61"/>
      <c r="M320" s="16" t="str">
        <f>CONCATENATE(Registro!$C320,Registro!$D320)</f>
        <v>Netflix1 pantalla</v>
      </c>
    </row>
    <row r="321" spans="1:13" ht="15.75" customHeight="1">
      <c r="A321" s="63" t="s">
        <v>615</v>
      </c>
      <c r="B321" s="63" t="s">
        <v>616</v>
      </c>
      <c r="C321" s="76" t="s">
        <v>22</v>
      </c>
      <c r="D321" s="73" t="s">
        <v>14</v>
      </c>
      <c r="E321" s="87"/>
      <c r="F321" s="88"/>
      <c r="G321" s="91"/>
      <c r="H321" s="13">
        <f>VLOOKUP(M321,'Listado Precios'!$A:$C,3,0)</f>
        <v>13000</v>
      </c>
      <c r="I321" s="13">
        <f>VLOOKUP(M321,'Listado Precios'!$A:$C,2,0)</f>
        <v>7600</v>
      </c>
      <c r="J321" s="99">
        <v>45928</v>
      </c>
      <c r="K321" s="61"/>
      <c r="M321" s="16" t="str">
        <f>CONCATENATE(Registro!$C321,Registro!$D321)</f>
        <v>Netflix1 pantalla</v>
      </c>
    </row>
    <row r="322" spans="1:13" ht="15.75" customHeight="1">
      <c r="A322" s="63" t="s">
        <v>617</v>
      </c>
      <c r="B322" s="63" t="s">
        <v>618</v>
      </c>
      <c r="C322" s="76" t="s">
        <v>22</v>
      </c>
      <c r="D322" s="73" t="s">
        <v>14</v>
      </c>
      <c r="E322" s="89"/>
      <c r="F322" s="88"/>
      <c r="G322" s="90"/>
      <c r="H322" s="13">
        <f>VLOOKUP(M322,'Listado Precios'!$A:$C,3,0)</f>
        <v>13000</v>
      </c>
      <c r="I322" s="13">
        <f>VLOOKUP(M322,'Listado Precios'!$A:$C,2,0)</f>
        <v>7600</v>
      </c>
      <c r="J322" s="99">
        <v>45793</v>
      </c>
      <c r="K322" s="61"/>
      <c r="M322" s="16" t="str">
        <f>CONCATENATE(Registro!$C322,Registro!$D322)</f>
        <v>Netflix1 pantalla</v>
      </c>
    </row>
    <row r="323" spans="1:13" ht="15.75" customHeight="1">
      <c r="A323" s="63" t="s">
        <v>409</v>
      </c>
      <c r="B323" s="63" t="s">
        <v>410</v>
      </c>
      <c r="C323" s="76" t="s">
        <v>22</v>
      </c>
      <c r="D323" s="73" t="s">
        <v>14</v>
      </c>
      <c r="E323" s="87"/>
      <c r="F323" s="88"/>
      <c r="G323" s="91"/>
      <c r="H323" s="13">
        <f>VLOOKUP(M323,'Listado Precios'!$A:$C,3,0)</f>
        <v>13000</v>
      </c>
      <c r="I323" s="13">
        <f>VLOOKUP(M323,'Listado Precios'!$A:$C,2,0)</f>
        <v>7600</v>
      </c>
      <c r="J323" s="99">
        <v>45701</v>
      </c>
      <c r="K323" s="61"/>
      <c r="M323" s="16" t="str">
        <f>CONCATENATE(Registro!$C323,Registro!$D323)</f>
        <v>Netflix1 pantalla</v>
      </c>
    </row>
    <row r="324" spans="1:13" ht="15.75" customHeight="1">
      <c r="A324" s="63" t="s">
        <v>617</v>
      </c>
      <c r="B324" s="63" t="s">
        <v>619</v>
      </c>
      <c r="C324" s="76" t="s">
        <v>22</v>
      </c>
      <c r="D324" s="73" t="s">
        <v>14</v>
      </c>
      <c r="E324" s="87"/>
      <c r="F324" s="88"/>
      <c r="G324" s="91"/>
      <c r="H324" s="13">
        <f>VLOOKUP(M324,'Listado Precios'!$A:$C,3,0)</f>
        <v>13000</v>
      </c>
      <c r="I324" s="13">
        <f>VLOOKUP(M324,'Listado Precios'!$A:$C,2,0)</f>
        <v>7600</v>
      </c>
      <c r="J324" s="28">
        <v>45686</v>
      </c>
      <c r="K324" s="61"/>
      <c r="M324" s="16" t="str">
        <f>CONCATENATE(Registro!$C324,Registro!$D324)</f>
        <v>Netflix1 pantalla</v>
      </c>
    </row>
    <row r="325" spans="1:13" ht="15.75" customHeight="1">
      <c r="A325" s="63" t="s">
        <v>580</v>
      </c>
      <c r="B325" s="63" t="s">
        <v>581</v>
      </c>
      <c r="C325" s="76" t="s">
        <v>43</v>
      </c>
      <c r="D325" s="73" t="s">
        <v>14</v>
      </c>
      <c r="E325" s="87"/>
      <c r="F325" s="88"/>
      <c r="G325" s="91"/>
      <c r="H325" s="13">
        <f>VLOOKUP(M325,'Listado Precios'!$A:$C,3,0)</f>
        <v>12000</v>
      </c>
      <c r="I325" s="13">
        <f>VLOOKUP(M325,'Listado Precios'!$A:$C,2,0)</f>
        <v>7000</v>
      </c>
      <c r="J325" s="99">
        <v>45892</v>
      </c>
      <c r="K325" s="61"/>
      <c r="M325" s="16" t="str">
        <f>CONCATENATE(Registro!$C325,Registro!$D325)</f>
        <v>DisneyP1 pantalla</v>
      </c>
    </row>
    <row r="326" spans="1:13" ht="15.75" customHeight="1">
      <c r="A326" s="63" t="s">
        <v>39</v>
      </c>
      <c r="B326" s="63" t="s">
        <v>620</v>
      </c>
      <c r="C326" s="76" t="s">
        <v>43</v>
      </c>
      <c r="D326" s="73" t="s">
        <v>14</v>
      </c>
      <c r="E326" s="87"/>
      <c r="F326" s="88"/>
      <c r="G326" s="91"/>
      <c r="H326" s="13">
        <f>VLOOKUP(M326,'Listado Precios'!$A:$C,3,0)</f>
        <v>12000</v>
      </c>
      <c r="I326" s="13">
        <f>VLOOKUP(M326,'Listado Precios'!$A:$C,2,0)</f>
        <v>7000</v>
      </c>
      <c r="J326" s="99">
        <v>45825</v>
      </c>
      <c r="K326" s="61"/>
      <c r="M326" s="16" t="str">
        <f>CONCATENATE(Registro!$C326,Registro!$D326)</f>
        <v>DisneyP1 pantalla</v>
      </c>
    </row>
    <row r="327" spans="1:13" ht="15.75" customHeight="1">
      <c r="A327" s="63" t="s">
        <v>621</v>
      </c>
      <c r="B327" s="63" t="s">
        <v>622</v>
      </c>
      <c r="C327" s="76" t="s">
        <v>13</v>
      </c>
      <c r="D327" s="73" t="s">
        <v>14</v>
      </c>
      <c r="E327" s="87"/>
      <c r="F327" s="88"/>
      <c r="G327" s="91"/>
      <c r="H327" s="13">
        <f>VLOOKUP(M327,'Listado Precios'!$A:$C,3,0)</f>
        <v>8000</v>
      </c>
      <c r="I327" s="13">
        <f>VLOOKUP(M327,'Listado Precios'!$A:$C,2,0)</f>
        <v>5000</v>
      </c>
      <c r="J327" s="99">
        <v>45856</v>
      </c>
      <c r="K327" s="61"/>
      <c r="M327" s="16" t="str">
        <f>CONCATENATE(Registro!$C327,Registro!$D327)</f>
        <v>PrimeVideo1 pantalla</v>
      </c>
    </row>
    <row r="328" spans="1:13" ht="15.75" customHeight="1">
      <c r="A328" s="64" t="s">
        <v>623</v>
      </c>
      <c r="B328" s="64" t="s">
        <v>624</v>
      </c>
      <c r="C328" s="76" t="s">
        <v>22</v>
      </c>
      <c r="D328" s="73" t="s">
        <v>14</v>
      </c>
      <c r="E328" s="87"/>
      <c r="F328" s="88"/>
      <c r="G328" s="91"/>
      <c r="H328" s="13">
        <f>VLOOKUP(M328,'Listado Precios'!$A:$C,3,0)</f>
        <v>13000</v>
      </c>
      <c r="I328" s="13">
        <f>VLOOKUP(M328,'Listado Precios'!$A:$C,2,0)</f>
        <v>7600</v>
      </c>
      <c r="J328" s="99">
        <v>45828</v>
      </c>
      <c r="K328" s="61"/>
      <c r="M328" s="16" t="str">
        <f>CONCATENATE(Registro!$C328,Registro!$D328)</f>
        <v>Netflix1 pantalla</v>
      </c>
    </row>
    <row r="329" spans="1:13" ht="15.75" customHeight="1">
      <c r="A329" s="7" t="s">
        <v>625</v>
      </c>
      <c r="B329" s="8" t="s">
        <v>626</v>
      </c>
      <c r="C329" s="76" t="s">
        <v>22</v>
      </c>
      <c r="D329" s="73" t="s">
        <v>14</v>
      </c>
      <c r="E329" s="87" t="s">
        <v>627</v>
      </c>
      <c r="F329" s="88" t="s">
        <v>628</v>
      </c>
      <c r="G329" s="91"/>
      <c r="H329" s="13">
        <f>VLOOKUP(M329,'Listado Precios'!$A:$C,3,0)</f>
        <v>13000</v>
      </c>
      <c r="I329" s="13">
        <f>VLOOKUP(M329,'Listado Precios'!$A:$C,2,0)</f>
        <v>7600</v>
      </c>
      <c r="J329" s="28">
        <v>45670</v>
      </c>
      <c r="K329" s="61"/>
      <c r="M329" s="16" t="str">
        <f>CONCATENATE(Registro!$C329,Registro!$D329)</f>
        <v>Netflix1 pantalla</v>
      </c>
    </row>
    <row r="330" spans="1:13" ht="15.75" customHeight="1">
      <c r="A330" s="63" t="s">
        <v>629</v>
      </c>
      <c r="B330" s="63" t="s">
        <v>630</v>
      </c>
      <c r="C330" s="76" t="s">
        <v>22</v>
      </c>
      <c r="D330" s="73" t="s">
        <v>14</v>
      </c>
      <c r="E330" s="87"/>
      <c r="F330" s="88"/>
      <c r="G330" s="91"/>
      <c r="H330" s="13">
        <f>VLOOKUP(M330,'Listado Precios'!$A:$C,3,0)</f>
        <v>13000</v>
      </c>
      <c r="I330" s="13">
        <f>VLOOKUP(M330,'Listado Precios'!$A:$C,2,0)</f>
        <v>7600</v>
      </c>
      <c r="J330" s="99">
        <v>45847</v>
      </c>
      <c r="K330" s="61"/>
      <c r="M330" s="16" t="str">
        <f>CONCATENATE(Registro!$C330,Registro!$D330)</f>
        <v>Netflix1 pantalla</v>
      </c>
    </row>
    <row r="331" spans="1:13" ht="15.75" customHeight="1">
      <c r="A331" s="63" t="s">
        <v>415</v>
      </c>
      <c r="B331" s="63" t="s">
        <v>631</v>
      </c>
      <c r="C331" s="76" t="s">
        <v>65</v>
      </c>
      <c r="D331" s="73" t="s">
        <v>14</v>
      </c>
      <c r="E331" s="87"/>
      <c r="F331" s="88"/>
      <c r="G331" s="91"/>
      <c r="H331" s="13">
        <f>VLOOKUP(M331,'Listado Precios'!$A:$C,3,0)</f>
        <v>8000</v>
      </c>
      <c r="I331" s="13">
        <f>VLOOKUP(M331,'Listado Precios'!$A:$C,2,0)</f>
        <v>5000</v>
      </c>
      <c r="J331" s="99">
        <v>45906</v>
      </c>
      <c r="K331" s="61"/>
      <c r="M331" s="16" t="str">
        <f>CONCATENATE(Registro!$C331,Registro!$D331)</f>
        <v>Crunchyroll1 pantalla</v>
      </c>
    </row>
    <row r="332" spans="1:13" ht="15.75" customHeight="1">
      <c r="A332" s="63" t="s">
        <v>632</v>
      </c>
      <c r="B332" s="63" t="s">
        <v>633</v>
      </c>
      <c r="C332" s="76" t="s">
        <v>22</v>
      </c>
      <c r="D332" s="73" t="s">
        <v>14</v>
      </c>
      <c r="E332" s="87"/>
      <c r="F332" s="88"/>
      <c r="G332" s="91"/>
      <c r="H332" s="13">
        <f>VLOOKUP(M332,'Listado Precios'!$A:$C,3,0)</f>
        <v>13000</v>
      </c>
      <c r="I332" s="13">
        <f>VLOOKUP(M332,'Listado Precios'!$A:$C,2,0)</f>
        <v>7600</v>
      </c>
      <c r="J332" s="99">
        <v>45906</v>
      </c>
      <c r="K332" s="61"/>
      <c r="M332" s="16" t="str">
        <f>CONCATENATE(Registro!$C332,Registro!$D332)</f>
        <v>Netflix1 pantalla</v>
      </c>
    </row>
    <row r="333" spans="1:13" ht="15.75" customHeight="1">
      <c r="A333" s="63" t="s">
        <v>634</v>
      </c>
      <c r="B333" s="63" t="s">
        <v>635</v>
      </c>
      <c r="C333" s="76" t="s">
        <v>13</v>
      </c>
      <c r="D333" s="73" t="s">
        <v>14</v>
      </c>
      <c r="E333" s="87"/>
      <c r="F333" s="88"/>
      <c r="G333" s="91"/>
      <c r="H333" s="13">
        <f>VLOOKUP(M333,'Listado Precios'!$A:$C,3,0)</f>
        <v>8000</v>
      </c>
      <c r="I333" s="13">
        <f>VLOOKUP(M333,'Listado Precios'!$A:$C,2,0)</f>
        <v>5000</v>
      </c>
      <c r="J333" s="99">
        <v>45903</v>
      </c>
      <c r="K333" s="61"/>
      <c r="M333" s="16" t="str">
        <f>CONCATENATE(Registro!$C333,Registro!$D333)</f>
        <v>PrimeVideo1 pantalla</v>
      </c>
    </row>
    <row r="334" spans="1:13" ht="15.75" customHeight="1">
      <c r="A334" s="63" t="s">
        <v>636</v>
      </c>
      <c r="B334" s="63" t="s">
        <v>637</v>
      </c>
      <c r="C334" s="76" t="s">
        <v>22</v>
      </c>
      <c r="D334" s="73" t="s">
        <v>14</v>
      </c>
      <c r="E334" s="87"/>
      <c r="F334" s="88"/>
      <c r="G334" s="91"/>
      <c r="H334" s="13">
        <f>VLOOKUP(M334,'Listado Precios'!$A:$C,3,0)</f>
        <v>13000</v>
      </c>
      <c r="I334" s="13">
        <f>VLOOKUP(M334,'Listado Precios'!$A:$C,2,0)</f>
        <v>7600</v>
      </c>
      <c r="J334" s="99">
        <v>45892</v>
      </c>
      <c r="K334" s="61"/>
      <c r="M334" s="16" t="str">
        <f>CONCATENATE(Registro!$C334,Registro!$D334)</f>
        <v>Netflix1 pantalla</v>
      </c>
    </row>
    <row r="335" spans="1:13" ht="15.75" customHeight="1">
      <c r="A335" s="63" t="s">
        <v>224</v>
      </c>
      <c r="B335" s="63" t="s">
        <v>225</v>
      </c>
      <c r="C335" s="76" t="s">
        <v>13</v>
      </c>
      <c r="D335" s="73" t="s">
        <v>14</v>
      </c>
      <c r="E335" s="87"/>
      <c r="F335" s="88"/>
      <c r="G335" s="91"/>
      <c r="H335" s="13">
        <f>VLOOKUP(M335,'Listado Precios'!$A:$C,3,0)</f>
        <v>8000</v>
      </c>
      <c r="I335" s="13">
        <f>VLOOKUP(M335,'Listado Precios'!$A:$C,2,0)</f>
        <v>5000</v>
      </c>
      <c r="J335" s="99">
        <v>45892</v>
      </c>
      <c r="K335" s="61"/>
      <c r="M335" s="16" t="str">
        <f>CONCATENATE(Registro!$C335,Registro!$D335)</f>
        <v>PrimeVideo1 pantalla</v>
      </c>
    </row>
    <row r="336" spans="1:13" ht="15.75" customHeight="1">
      <c r="A336" s="63" t="s">
        <v>638</v>
      </c>
      <c r="B336" s="63" t="s">
        <v>639</v>
      </c>
      <c r="C336" s="76" t="s">
        <v>22</v>
      </c>
      <c r="D336" s="73" t="s">
        <v>14</v>
      </c>
      <c r="E336" s="87"/>
      <c r="F336" s="88"/>
      <c r="G336" s="91"/>
      <c r="H336" s="13">
        <f>VLOOKUP(M336,'Listado Precios'!$A:$C,3,0)</f>
        <v>13000</v>
      </c>
      <c r="I336" s="13">
        <f>VLOOKUP(M336,'Listado Precios'!$A:$C,2,0)</f>
        <v>7600</v>
      </c>
      <c r="J336" s="28">
        <v>45661</v>
      </c>
      <c r="K336" s="61"/>
      <c r="M336" s="16" t="str">
        <f>CONCATENATE(Registro!$C336,Registro!$D336)</f>
        <v>Netflix1 pantalla</v>
      </c>
    </row>
    <row r="337" spans="1:13" ht="15.75" customHeight="1">
      <c r="A337" s="63" t="s">
        <v>640</v>
      </c>
      <c r="B337" s="63" t="s">
        <v>641</v>
      </c>
      <c r="C337" s="76" t="s">
        <v>43</v>
      </c>
      <c r="D337" s="73" t="s">
        <v>14</v>
      </c>
      <c r="E337" s="87"/>
      <c r="F337" s="88"/>
      <c r="G337" s="91"/>
      <c r="H337" s="13">
        <f>VLOOKUP(M337,'Listado Precios'!$A:$C,3,0)</f>
        <v>12000</v>
      </c>
      <c r="I337" s="13">
        <f>VLOOKUP(M337,'Listado Precios'!$A:$C,2,0)</f>
        <v>7000</v>
      </c>
      <c r="J337" s="99">
        <v>45874</v>
      </c>
      <c r="K337" s="61"/>
      <c r="M337" s="16" t="str">
        <f>CONCATENATE(Registro!$C337,Registro!$D337)</f>
        <v>DisneyP1 pantalla</v>
      </c>
    </row>
    <row r="338" spans="1:13" ht="15.75" customHeight="1">
      <c r="A338" s="63" t="s">
        <v>642</v>
      </c>
      <c r="B338" s="63" t="s">
        <v>643</v>
      </c>
      <c r="C338" s="76" t="s">
        <v>22</v>
      </c>
      <c r="D338" s="73" t="s">
        <v>14</v>
      </c>
      <c r="E338" s="87" t="s">
        <v>644</v>
      </c>
      <c r="F338" s="88" t="s">
        <v>645</v>
      </c>
      <c r="G338" s="91" t="s">
        <v>646</v>
      </c>
      <c r="H338" s="13">
        <f>VLOOKUP(M338,'Listado Precios'!$A:$C,3,0)</f>
        <v>13000</v>
      </c>
      <c r="I338" s="13">
        <f>VLOOKUP(M338,'Listado Precios'!$A:$C,2,0)</f>
        <v>7600</v>
      </c>
      <c r="J338" s="99">
        <v>45875</v>
      </c>
      <c r="K338" s="61"/>
      <c r="M338" s="16" t="str">
        <f>CONCATENATE(Registro!$C338,Registro!$D338)</f>
        <v>Netflix1 pantalla</v>
      </c>
    </row>
    <row r="339" spans="1:13" ht="15.75" customHeight="1">
      <c r="A339" s="63" t="s">
        <v>647</v>
      </c>
      <c r="B339" s="63" t="s">
        <v>648</v>
      </c>
      <c r="C339" s="76" t="s">
        <v>13</v>
      </c>
      <c r="D339" s="73" t="s">
        <v>14</v>
      </c>
      <c r="E339" s="87"/>
      <c r="F339" s="88"/>
      <c r="G339" s="91"/>
      <c r="H339" s="13">
        <f>VLOOKUP(M339,'Listado Precios'!$A:$C,3,0)</f>
        <v>8000</v>
      </c>
      <c r="I339" s="13">
        <f>VLOOKUP(M339,'Listado Precios'!$A:$C,2,0)</f>
        <v>5000</v>
      </c>
      <c r="J339" s="99">
        <v>45858</v>
      </c>
      <c r="K339" s="61"/>
      <c r="M339" s="16" t="str">
        <f>CONCATENATE(Registro!$C339,Registro!$D339)</f>
        <v>PrimeVideo1 pantalla</v>
      </c>
    </row>
    <row r="340" spans="1:13" ht="15.75" customHeight="1">
      <c r="A340" s="63" t="s">
        <v>171</v>
      </c>
      <c r="B340" s="63" t="s">
        <v>163</v>
      </c>
      <c r="C340" s="76" t="s">
        <v>22</v>
      </c>
      <c r="D340" s="73" t="s">
        <v>14</v>
      </c>
      <c r="E340" s="87"/>
      <c r="F340" s="88"/>
      <c r="G340" s="91"/>
      <c r="H340" s="13">
        <f>VLOOKUP(M340,'Listado Precios'!$A:$C,3,0)</f>
        <v>13000</v>
      </c>
      <c r="I340" s="13">
        <f>VLOOKUP(M340,'Listado Precios'!$A:$C,2,0)</f>
        <v>7600</v>
      </c>
      <c r="J340" s="99">
        <v>45869</v>
      </c>
      <c r="K340" s="61"/>
      <c r="M340" s="16" t="str">
        <f>CONCATENATE(Registro!$C340,Registro!$D340)</f>
        <v>Netflix1 pantalla</v>
      </c>
    </row>
    <row r="341" spans="1:13" ht="15.75" customHeight="1">
      <c r="A341" s="92" t="s">
        <v>649</v>
      </c>
      <c r="B341" s="92" t="s">
        <v>650</v>
      </c>
      <c r="C341" s="73" t="s">
        <v>43</v>
      </c>
      <c r="D341" s="76" t="s">
        <v>14</v>
      </c>
      <c r="E341" s="89" t="s">
        <v>78</v>
      </c>
      <c r="F341" s="88" t="s">
        <v>651</v>
      </c>
      <c r="G341" s="90"/>
      <c r="H341" s="13">
        <f>VLOOKUP(M341,'Listado Precios'!$A:$C,3,0)</f>
        <v>12000</v>
      </c>
      <c r="I341" s="13">
        <f>VLOOKUP(M341,'Listado Precios'!$A:$C,2,0)</f>
        <v>7000</v>
      </c>
      <c r="J341" s="99">
        <v>45536</v>
      </c>
      <c r="K341" s="62"/>
      <c r="M341" s="16" t="str">
        <f>CONCATENATE(Registro!$C341,Registro!$D341)</f>
        <v>DisneyP1 pantalla</v>
      </c>
    </row>
    <row r="342" spans="1:13" ht="15.75" customHeight="1">
      <c r="A342" s="63" t="s">
        <v>294</v>
      </c>
      <c r="B342" s="63" t="s">
        <v>652</v>
      </c>
      <c r="C342" s="76" t="s">
        <v>22</v>
      </c>
      <c r="D342" s="73" t="s">
        <v>14</v>
      </c>
      <c r="E342" s="89"/>
      <c r="F342" s="88"/>
      <c r="G342" s="90"/>
      <c r="H342" s="13">
        <f>VLOOKUP(M342,'Listado Precios'!$A:$C,3,0)</f>
        <v>13000</v>
      </c>
      <c r="I342" s="13">
        <f>VLOOKUP(M342,'Listado Precios'!$A:$C,2,0)</f>
        <v>7600</v>
      </c>
      <c r="J342" s="28">
        <v>45626</v>
      </c>
      <c r="K342" s="61"/>
      <c r="M342" s="16" t="str">
        <f>CONCATENATE(Registro!$C342,Registro!$D342)</f>
        <v>Netflix1 pantalla</v>
      </c>
    </row>
    <row r="343" spans="1:13" ht="15.75" customHeight="1">
      <c r="A343" s="64" t="s">
        <v>90</v>
      </c>
      <c r="B343" s="64" t="s">
        <v>653</v>
      </c>
      <c r="C343" s="73" t="s">
        <v>13</v>
      </c>
      <c r="D343" s="73" t="s">
        <v>14</v>
      </c>
      <c r="E343" s="87"/>
      <c r="F343" s="88"/>
      <c r="G343" s="91"/>
      <c r="H343" s="13">
        <f>VLOOKUP(M343,'Listado Precios'!$A:$C,3,0)</f>
        <v>8000</v>
      </c>
      <c r="I343" s="13">
        <f>VLOOKUP(M343,'Listado Precios'!$A:$C,2,0)</f>
        <v>5000</v>
      </c>
      <c r="J343" s="99">
        <v>45842</v>
      </c>
      <c r="K343" s="61"/>
      <c r="M343" s="16" t="str">
        <f>CONCATENATE(Registro!$C343,Registro!$D343)</f>
        <v>PrimeVideo1 pantalla</v>
      </c>
    </row>
    <row r="344" spans="1:13" ht="15.75" customHeight="1">
      <c r="A344" s="63" t="s">
        <v>654</v>
      </c>
      <c r="B344" s="63" t="s">
        <v>655</v>
      </c>
      <c r="C344" s="73" t="s">
        <v>17</v>
      </c>
      <c r="D344" s="73"/>
      <c r="E344" s="87" t="s">
        <v>656</v>
      </c>
      <c r="F344" s="88" t="s">
        <v>47</v>
      </c>
      <c r="G344" s="91"/>
      <c r="H344" s="13">
        <f>VLOOKUP(M344,'Listado Precios'!$A:$C,3,0)</f>
        <v>8000</v>
      </c>
      <c r="I344" s="13">
        <f>VLOOKUP(M344,'Listado Precios'!$A:$C,2,0)</f>
        <v>5280</v>
      </c>
      <c r="J344" s="99">
        <v>45799</v>
      </c>
      <c r="K344" s="61"/>
      <c r="M344" s="16" t="str">
        <f>CONCATENATE(Registro!$C344,Registro!$D344)</f>
        <v>Spotify</v>
      </c>
    </row>
    <row r="345" spans="1:13" ht="15.75" customHeight="1">
      <c r="A345" s="64" t="s">
        <v>657</v>
      </c>
      <c r="B345" s="64" t="s">
        <v>658</v>
      </c>
      <c r="C345" s="73" t="s">
        <v>17</v>
      </c>
      <c r="D345" s="76"/>
      <c r="E345" s="89" t="s">
        <v>659</v>
      </c>
      <c r="F345" s="88" t="s">
        <v>84</v>
      </c>
      <c r="G345" s="90"/>
      <c r="H345" s="13">
        <f>VLOOKUP(M345,'Listado Precios'!$A:$C,3,0)</f>
        <v>8000</v>
      </c>
      <c r="I345" s="13">
        <f>VLOOKUP(M345,'Listado Precios'!$A:$C,2,0)</f>
        <v>5280</v>
      </c>
      <c r="J345" s="99">
        <v>45536</v>
      </c>
      <c r="K345" s="61"/>
      <c r="M345" s="16" t="str">
        <f>CONCATENATE(Registro!$C345,Registro!$D345)</f>
        <v>Spotify</v>
      </c>
    </row>
    <row r="346" spans="1:13" ht="15.75" customHeight="1">
      <c r="A346" s="19" t="s">
        <v>660</v>
      </c>
      <c r="B346" s="17" t="s">
        <v>661</v>
      </c>
      <c r="C346" s="73" t="s">
        <v>22</v>
      </c>
      <c r="D346" s="76" t="s">
        <v>14</v>
      </c>
      <c r="E346" s="89" t="s">
        <v>662</v>
      </c>
      <c r="F346" s="88" t="s">
        <v>663</v>
      </c>
      <c r="G346" s="90"/>
      <c r="H346" s="13">
        <f>VLOOKUP(M346,'Listado Precios'!$A:$C,3,0)</f>
        <v>13000</v>
      </c>
      <c r="I346" s="13">
        <f>VLOOKUP(M346,'Listado Precios'!$A:$C,2,0)</f>
        <v>7600</v>
      </c>
      <c r="J346" s="99">
        <v>45536</v>
      </c>
      <c r="K346" s="61"/>
      <c r="M346" s="16" t="str">
        <f>CONCATENATE(Registro!$C346,Registro!$D346)</f>
        <v>Netflix1 pantalla</v>
      </c>
    </row>
    <row r="347" spans="1:13" ht="15.75" customHeight="1">
      <c r="A347" s="63" t="s">
        <v>128</v>
      </c>
      <c r="B347" s="63" t="s">
        <v>664</v>
      </c>
      <c r="C347" s="76" t="s">
        <v>25</v>
      </c>
      <c r="D347" s="73" t="s">
        <v>14</v>
      </c>
      <c r="E347" s="87"/>
      <c r="F347" s="88"/>
      <c r="G347" s="91"/>
      <c r="H347" s="13">
        <f>VLOOKUP(M347,'Listado Precios'!$A:$C,3,0)</f>
        <v>8000</v>
      </c>
      <c r="I347" s="13">
        <f>VLOOKUP(M347,'Listado Precios'!$A:$C,2,0)</f>
        <v>5000</v>
      </c>
      <c r="J347" s="99">
        <v>45856</v>
      </c>
      <c r="K347" s="61"/>
      <c r="M347" s="16" t="str">
        <f>CONCATENATE(Registro!$C347,Registro!$D347)</f>
        <v>HBO1 pantalla</v>
      </c>
    </row>
    <row r="348" spans="1:13" ht="15.75" customHeight="1">
      <c r="A348" s="63" t="s">
        <v>665</v>
      </c>
      <c r="B348" s="63" t="s">
        <v>666</v>
      </c>
      <c r="C348" s="76" t="s">
        <v>22</v>
      </c>
      <c r="D348" s="73" t="s">
        <v>14</v>
      </c>
      <c r="E348" s="87"/>
      <c r="F348" s="88"/>
      <c r="G348" s="91"/>
      <c r="H348" s="13">
        <f>VLOOKUP(M348,'Listado Precios'!$A:$C,3,0)</f>
        <v>13000</v>
      </c>
      <c r="I348" s="13">
        <f>VLOOKUP(M348,'Listado Precios'!$A:$C,2,0)</f>
        <v>7600</v>
      </c>
      <c r="J348" s="28">
        <v>45824</v>
      </c>
      <c r="K348" s="61"/>
      <c r="M348" s="16" t="str">
        <f>CONCATENATE(Registro!$C348,Registro!$D348)</f>
        <v>Netflix1 pantalla</v>
      </c>
    </row>
    <row r="349" spans="1:13" ht="15.75" customHeight="1">
      <c r="A349" s="172" t="s">
        <v>647</v>
      </c>
      <c r="B349" s="21" t="s">
        <v>648</v>
      </c>
      <c r="C349" s="76" t="s">
        <v>43</v>
      </c>
      <c r="D349" s="73" t="s">
        <v>14</v>
      </c>
      <c r="E349" s="174"/>
      <c r="F349" s="168"/>
      <c r="G349" s="175"/>
      <c r="H349" s="106">
        <f>VLOOKUP(M349,'Listado Precios'!$A:$C,3,0)</f>
        <v>12000</v>
      </c>
      <c r="I349" s="106">
        <f>VLOOKUP(M349,'Listado Precios'!$A:$C,2,0)</f>
        <v>7000</v>
      </c>
      <c r="J349" s="99">
        <v>45854</v>
      </c>
      <c r="K349" s="112"/>
      <c r="M349" s="16" t="str">
        <f>CONCATENATE(Registro!$C349,Registro!$D349)</f>
        <v>DisneyP1 pantalla</v>
      </c>
    </row>
    <row r="350" spans="1:13" ht="15.75" customHeight="1">
      <c r="A350" s="63" t="s">
        <v>667</v>
      </c>
      <c r="B350" s="92" t="s">
        <v>668</v>
      </c>
      <c r="C350" s="71" t="s">
        <v>22</v>
      </c>
      <c r="D350" s="63" t="s">
        <v>14</v>
      </c>
      <c r="E350" s="100" t="s">
        <v>397</v>
      </c>
      <c r="F350" s="63" t="s">
        <v>669</v>
      </c>
      <c r="G350" s="68"/>
      <c r="H350" s="107">
        <f>VLOOKUP(M350,'Listado Precios'!$A:$C,3,0)</f>
        <v>13000</v>
      </c>
      <c r="I350" s="107">
        <f>VLOOKUP(M350,'Listado Precios'!$A:$C,2,0)</f>
        <v>7600</v>
      </c>
      <c r="J350" s="28">
        <v>45521</v>
      </c>
      <c r="K350" s="61"/>
      <c r="M350" s="16" t="str">
        <f>CONCATENATE(Registro!$C350,Registro!$D350)</f>
        <v>Netflix1 pantalla</v>
      </c>
    </row>
    <row r="351" spans="1:13" ht="15.75" customHeight="1">
      <c r="A351" s="63" t="s">
        <v>106</v>
      </c>
      <c r="B351" s="63"/>
      <c r="C351" s="71" t="s">
        <v>22</v>
      </c>
      <c r="D351" s="63" t="s">
        <v>14</v>
      </c>
      <c r="E351" s="64"/>
      <c r="F351" s="63"/>
      <c r="G351" s="68"/>
      <c r="H351" s="107">
        <f>VLOOKUP(M351,'Listado Precios'!$A:$C,3,0)</f>
        <v>13000</v>
      </c>
      <c r="I351" s="107">
        <f>VLOOKUP(M351,'Listado Precios'!$A:$C,2,0)</f>
        <v>7600</v>
      </c>
      <c r="J351" s="99">
        <v>45818</v>
      </c>
      <c r="K351" s="61"/>
      <c r="M351" s="16" t="str">
        <f>CONCATENATE(Registro!$C351,Registro!$D351)</f>
        <v>Netflix1 pantalla</v>
      </c>
    </row>
    <row r="352" spans="1:13" ht="15.75" customHeight="1">
      <c r="A352" s="63" t="s">
        <v>171</v>
      </c>
      <c r="B352" s="63"/>
      <c r="C352" s="71" t="s">
        <v>22</v>
      </c>
      <c r="D352" s="63" t="s">
        <v>14</v>
      </c>
      <c r="E352" s="64"/>
      <c r="F352" s="63"/>
      <c r="G352" s="68"/>
      <c r="H352" s="107">
        <f>VLOOKUP(M352,'Listado Precios'!$A:$C,3,0)</f>
        <v>13000</v>
      </c>
      <c r="I352" s="107">
        <f>VLOOKUP(M352,'Listado Precios'!$A:$C,2,0)</f>
        <v>7600</v>
      </c>
      <c r="J352" s="99">
        <v>45718</v>
      </c>
      <c r="K352" s="61"/>
      <c r="M352" s="16" t="str">
        <f>CONCATENATE(Registro!$C352,Registro!$D352)</f>
        <v>Netflix1 pantalla</v>
      </c>
    </row>
    <row r="353" spans="1:13" ht="15.75" customHeight="1">
      <c r="A353" s="63" t="s">
        <v>670</v>
      </c>
      <c r="B353" s="63" t="s">
        <v>671</v>
      </c>
      <c r="C353" s="71" t="s">
        <v>25</v>
      </c>
      <c r="D353" s="63" t="s">
        <v>14</v>
      </c>
      <c r="E353" s="64" t="s">
        <v>672</v>
      </c>
      <c r="F353" s="63" t="s">
        <v>673</v>
      </c>
      <c r="G353" s="68"/>
      <c r="H353" s="107">
        <f>VLOOKUP(M353,'Listado Precios'!$A:$C,3,0)</f>
        <v>8000</v>
      </c>
      <c r="I353" s="107">
        <f>VLOOKUP(M353,'Listado Precios'!$A:$C,2,0)</f>
        <v>5000</v>
      </c>
      <c r="J353" s="28">
        <v>45660</v>
      </c>
      <c r="K353" s="61"/>
      <c r="M353" s="16" t="str">
        <f>CONCATENATE(Registro!$C353,Registro!$D353)</f>
        <v>HBO1 pantalla</v>
      </c>
    </row>
    <row r="354" spans="1:13" ht="15.75" customHeight="1">
      <c r="A354" s="63" t="s">
        <v>674</v>
      </c>
      <c r="B354" s="63" t="s">
        <v>675</v>
      </c>
      <c r="C354" s="71" t="s">
        <v>22</v>
      </c>
      <c r="D354" s="80" t="s">
        <v>14</v>
      </c>
      <c r="E354" s="119" t="s">
        <v>676</v>
      </c>
      <c r="F354" s="63" t="s">
        <v>677</v>
      </c>
      <c r="G354" s="72" t="s">
        <v>678</v>
      </c>
      <c r="H354" s="107">
        <f>VLOOKUP(M354,'Listado Precios'!$A:$C,3,0)</f>
        <v>13000</v>
      </c>
      <c r="I354" s="107">
        <f>VLOOKUP(M354,'Listado Precios'!$A:$C,2,0)</f>
        <v>7600</v>
      </c>
      <c r="J354" s="28">
        <v>45444</v>
      </c>
      <c r="K354" s="61"/>
      <c r="M354" s="16" t="str">
        <f>CONCATENATE(Registro!$C354,Registro!$D354)</f>
        <v>Netflix1 pantalla</v>
      </c>
    </row>
    <row r="355" spans="1:13" ht="15.75" customHeight="1">
      <c r="A355" s="7" t="s">
        <v>608</v>
      </c>
      <c r="B355" s="63" t="s">
        <v>609</v>
      </c>
      <c r="C355" s="71" t="s">
        <v>25</v>
      </c>
      <c r="D355" s="63" t="s">
        <v>14</v>
      </c>
      <c r="E355" s="64"/>
      <c r="F355" s="63"/>
      <c r="G355" s="68"/>
      <c r="H355" s="107">
        <f>VLOOKUP(M355,'Listado Precios'!$A:$C,3,0)</f>
        <v>8000</v>
      </c>
      <c r="I355" s="107">
        <f>VLOOKUP(M355,'Listado Precios'!$A:$C,2,0)</f>
        <v>5000</v>
      </c>
      <c r="J355" s="99">
        <v>45833</v>
      </c>
      <c r="K355" s="61"/>
      <c r="M355" s="16" t="str">
        <f>CONCATENATE(Registro!$C355,Registro!$D355)</f>
        <v>HBO1 pantalla</v>
      </c>
    </row>
    <row r="356" spans="1:13" ht="15.75" customHeight="1">
      <c r="A356" s="64" t="s">
        <v>679</v>
      </c>
      <c r="B356" s="64" t="s">
        <v>680</v>
      </c>
      <c r="C356" s="71" t="s">
        <v>77</v>
      </c>
      <c r="D356" s="80" t="s">
        <v>14</v>
      </c>
      <c r="E356" s="78" t="s">
        <v>681</v>
      </c>
      <c r="F356" s="63">
        <v>990222</v>
      </c>
      <c r="G356" s="72"/>
      <c r="H356" s="107" t="e">
        <f>VLOOKUP(M356,'Listado Precios'!$A:$C,3,0)</f>
        <v>#N/A</v>
      </c>
      <c r="I356" s="107" t="e">
        <f>VLOOKUP(M356,'Listado Precios'!$A:$C,2,0)</f>
        <v>#N/A</v>
      </c>
      <c r="J356" s="99">
        <v>45833</v>
      </c>
      <c r="K356" s="61"/>
      <c r="M356" s="16" t="str">
        <f>CONCATENATE(Registro!$C356,Registro!$D356)</f>
        <v>Paramount1 pantalla</v>
      </c>
    </row>
    <row r="357" spans="1:13" ht="15.75" customHeight="1">
      <c r="A357" s="123" t="s">
        <v>682</v>
      </c>
      <c r="B357" s="8" t="s">
        <v>683</v>
      </c>
      <c r="C357" s="71" t="s">
        <v>22</v>
      </c>
      <c r="D357" s="63" t="s">
        <v>14</v>
      </c>
      <c r="E357" s="64"/>
      <c r="F357" s="63"/>
      <c r="G357" s="68"/>
      <c r="H357" s="107">
        <f>VLOOKUP(M357,'Listado Precios'!$A:$C,3,0)</f>
        <v>13000</v>
      </c>
      <c r="I357" s="107">
        <f>VLOOKUP(M357,'Listado Precios'!$A:$C,2,0)</f>
        <v>7600</v>
      </c>
      <c r="J357" s="99">
        <v>45831</v>
      </c>
      <c r="K357" s="61"/>
      <c r="M357" s="16" t="str">
        <f>CONCATENATE(Registro!$C357,Registro!$D357)</f>
        <v>Netflix1 pantalla</v>
      </c>
    </row>
    <row r="358" spans="1:13" ht="15.75" customHeight="1">
      <c r="A358" s="63" t="s">
        <v>684</v>
      </c>
      <c r="B358" s="63" t="s">
        <v>685</v>
      </c>
      <c r="C358" s="71" t="s">
        <v>43</v>
      </c>
      <c r="D358" s="63" t="s">
        <v>14</v>
      </c>
      <c r="E358" s="64"/>
      <c r="F358" s="63"/>
      <c r="G358" s="68"/>
      <c r="H358" s="107">
        <f>VLOOKUP(M358,'Listado Precios'!$A:$C,3,0)</f>
        <v>12000</v>
      </c>
      <c r="I358" s="107">
        <f>VLOOKUP(M358,'Listado Precios'!$A:$C,2,0)</f>
        <v>7000</v>
      </c>
      <c r="J358" s="28">
        <v>45740</v>
      </c>
      <c r="K358" s="61"/>
      <c r="M358" s="16" t="str">
        <f>CONCATENATE(Registro!$C358,Registro!$D358)</f>
        <v>DisneyP1 pantalla</v>
      </c>
    </row>
    <row r="359" spans="1:13" ht="15.75" customHeight="1">
      <c r="A359" s="64" t="s">
        <v>686</v>
      </c>
      <c r="B359" s="64" t="s">
        <v>687</v>
      </c>
      <c r="C359" s="63" t="s">
        <v>43</v>
      </c>
      <c r="D359" s="71" t="s">
        <v>14</v>
      </c>
      <c r="E359" s="100"/>
      <c r="F359" s="64"/>
      <c r="G359" s="64"/>
      <c r="H359" s="107">
        <f>VLOOKUP(M359,'Listado Precios'!$A:$C,3,0)</f>
        <v>12000</v>
      </c>
      <c r="I359" s="107">
        <f>VLOOKUP(M359,'Listado Precios'!$A:$C,2,0)</f>
        <v>7000</v>
      </c>
      <c r="J359" s="127">
        <v>45824</v>
      </c>
      <c r="K359" s="61"/>
      <c r="M359" s="16" t="str">
        <f>CONCATENATE(Registro!$C359,Registro!$D359)</f>
        <v>DisneyP1 pantalla</v>
      </c>
    </row>
    <row r="360" spans="1:13" ht="15.75" customHeight="1">
      <c r="A360" s="19" t="s">
        <v>688</v>
      </c>
      <c r="B360" s="17" t="s">
        <v>689</v>
      </c>
      <c r="C360" s="63" t="s">
        <v>22</v>
      </c>
      <c r="D360" s="71" t="s">
        <v>14</v>
      </c>
      <c r="E360" s="78" t="s">
        <v>690</v>
      </c>
      <c r="F360" s="63" t="s">
        <v>691</v>
      </c>
      <c r="G360" s="72"/>
      <c r="H360" s="107">
        <f>VLOOKUP(M360,'Listado Precios'!$A:$C,3,0)</f>
        <v>13000</v>
      </c>
      <c r="I360" s="107">
        <f>VLOOKUP(M360,'Listado Precios'!$A:$C,2,0)</f>
        <v>7600</v>
      </c>
      <c r="J360" s="99">
        <v>45823</v>
      </c>
      <c r="K360" s="61"/>
      <c r="M360" s="16" t="str">
        <f>CONCATENATE(Registro!$C360,Registro!$D360)</f>
        <v>Netflix1 pantalla</v>
      </c>
    </row>
    <row r="361" spans="1:13" ht="15.75" customHeight="1">
      <c r="A361" s="7" t="s">
        <v>692</v>
      </c>
      <c r="B361" s="8" t="s">
        <v>693</v>
      </c>
      <c r="C361" s="71" t="s">
        <v>571</v>
      </c>
      <c r="D361" s="63" t="s">
        <v>14</v>
      </c>
      <c r="E361" s="64"/>
      <c r="F361" s="63"/>
      <c r="G361" s="68"/>
      <c r="H361" s="107">
        <f>VLOOKUP(M361,'Listado Precios'!$A:$C,3,0)</f>
        <v>10000</v>
      </c>
      <c r="I361" s="107">
        <f>VLOOKUP(M361,'Listado Precios'!$A:$C,2,0)</f>
        <v>4500</v>
      </c>
      <c r="J361" s="28">
        <v>45686</v>
      </c>
      <c r="K361" s="61"/>
      <c r="M361" s="16" t="str">
        <f>CONCATENATE(Registro!$C361,Registro!$D361)</f>
        <v>IPTV1 pantalla</v>
      </c>
    </row>
    <row r="362" spans="1:13" ht="15.75" customHeight="1">
      <c r="A362" s="7" t="s">
        <v>694</v>
      </c>
      <c r="B362" s="8" t="s">
        <v>695</v>
      </c>
      <c r="C362" s="71" t="s">
        <v>22</v>
      </c>
      <c r="D362" s="80" t="s">
        <v>14</v>
      </c>
      <c r="E362" s="119" t="s">
        <v>696</v>
      </c>
      <c r="F362" s="63" t="s">
        <v>697</v>
      </c>
      <c r="G362" s="72" t="s">
        <v>698</v>
      </c>
      <c r="H362" s="107">
        <f>VLOOKUP(M362,'Listado Precios'!$A:$C,3,0)</f>
        <v>13000</v>
      </c>
      <c r="I362" s="107">
        <f>VLOOKUP(M362,'Listado Precios'!$A:$C,2,0)</f>
        <v>7600</v>
      </c>
      <c r="J362" s="99">
        <v>45536</v>
      </c>
      <c r="K362" s="86"/>
      <c r="M362" s="16" t="str">
        <f>CONCATENATE(Registro!$C362,Registro!$D362)</f>
        <v>Netflix1 pantalla</v>
      </c>
    </row>
    <row r="363" spans="1:13" ht="15.75" customHeight="1">
      <c r="A363" s="7" t="s">
        <v>699</v>
      </c>
      <c r="B363" s="8" t="s">
        <v>700</v>
      </c>
      <c r="C363" s="63" t="s">
        <v>571</v>
      </c>
      <c r="D363" s="63" t="s">
        <v>14</v>
      </c>
      <c r="E363" s="64" t="s">
        <v>701</v>
      </c>
      <c r="F363" s="64" t="s">
        <v>702</v>
      </c>
      <c r="G363" s="68" t="s">
        <v>108</v>
      </c>
      <c r="H363" s="107">
        <f>VLOOKUP(M363,'Listado Precios'!$A:$C,3,0)</f>
        <v>10000</v>
      </c>
      <c r="I363" s="107">
        <f>VLOOKUP(M363,'Listado Precios'!$A:$C,2,0)</f>
        <v>4500</v>
      </c>
      <c r="J363" s="99">
        <v>45536</v>
      </c>
      <c r="K363" s="62"/>
      <c r="M363" s="16" t="str">
        <f>CONCATENATE(Registro!$C363,Registro!$D363)</f>
        <v>IPTV1 pantalla</v>
      </c>
    </row>
    <row r="364" spans="1:13" ht="15.75" customHeight="1">
      <c r="A364" s="7" t="s">
        <v>703</v>
      </c>
      <c r="B364" s="8" t="s">
        <v>704</v>
      </c>
      <c r="C364" s="63" t="s">
        <v>77</v>
      </c>
      <c r="D364" s="63" t="s">
        <v>14</v>
      </c>
      <c r="E364" s="64"/>
      <c r="F364" s="63"/>
      <c r="G364" s="68"/>
      <c r="H364" s="107" t="e">
        <f>VLOOKUP(M364,'Listado Precios'!$A:$C,3,0)</f>
        <v>#N/A</v>
      </c>
      <c r="I364" s="107" t="e">
        <f>VLOOKUP(M364,'Listado Precios'!$A:$C,2,0)</f>
        <v>#N/A</v>
      </c>
      <c r="J364" s="99">
        <v>45802</v>
      </c>
      <c r="K364" s="61"/>
      <c r="M364" s="16" t="str">
        <f>CONCATENATE(Registro!$C364,Registro!$D364)</f>
        <v>Paramount1 pantalla</v>
      </c>
    </row>
    <row r="365" spans="1:13" ht="15.75" customHeight="1">
      <c r="A365" s="7" t="s">
        <v>705</v>
      </c>
      <c r="B365" s="8" t="s">
        <v>706</v>
      </c>
      <c r="C365" s="63" t="s">
        <v>22</v>
      </c>
      <c r="D365" s="63" t="s">
        <v>14</v>
      </c>
      <c r="E365" s="64"/>
      <c r="F365" s="63"/>
      <c r="G365" s="68"/>
      <c r="H365" s="107">
        <f>VLOOKUP(M365,'Listado Precios'!$A:$C,3,0)</f>
        <v>13000</v>
      </c>
      <c r="I365" s="107">
        <f>VLOOKUP(M365,'Listado Precios'!$A:$C,2,0)</f>
        <v>7600</v>
      </c>
      <c r="J365" s="99">
        <v>45769</v>
      </c>
      <c r="K365" s="61"/>
      <c r="M365" s="16" t="str">
        <f>CONCATENATE(Registro!$C365,Registro!$D365)</f>
        <v>Netflix1 pantalla</v>
      </c>
    </row>
    <row r="366" spans="1:13" ht="15.75" customHeight="1">
      <c r="A366" s="64" t="s">
        <v>707</v>
      </c>
      <c r="B366" s="64" t="s">
        <v>708</v>
      </c>
      <c r="C366" s="63" t="s">
        <v>13</v>
      </c>
      <c r="D366" s="71" t="s">
        <v>14</v>
      </c>
      <c r="E366" s="78"/>
      <c r="F366" s="63"/>
      <c r="G366" s="72"/>
      <c r="H366" s="107">
        <f>VLOOKUP(M366,'Listado Precios'!$A:$C,3,0)</f>
        <v>8000</v>
      </c>
      <c r="I366" s="107">
        <f>VLOOKUP(M366,'Listado Precios'!$A:$C,2,0)</f>
        <v>5000</v>
      </c>
      <c r="J366" s="99">
        <v>45763</v>
      </c>
      <c r="K366" s="61"/>
      <c r="M366" s="16" t="str">
        <f>CONCATENATE(Registro!$C366,Registro!$D366)</f>
        <v>PrimeVideo1 pantalla</v>
      </c>
    </row>
    <row r="367" spans="1:13" ht="15.75" customHeight="1">
      <c r="A367" s="7" t="s">
        <v>709</v>
      </c>
      <c r="B367" s="8" t="s">
        <v>710</v>
      </c>
      <c r="C367" s="63" t="s">
        <v>13</v>
      </c>
      <c r="D367" s="63" t="s">
        <v>14</v>
      </c>
      <c r="E367" s="119" t="s">
        <v>711</v>
      </c>
      <c r="F367" s="63" t="s">
        <v>712</v>
      </c>
      <c r="G367" s="72" t="s">
        <v>713</v>
      </c>
      <c r="H367" s="107">
        <f>VLOOKUP(M367,'Listado Precios'!$A:$C,3,0)</f>
        <v>8000</v>
      </c>
      <c r="I367" s="107">
        <f>VLOOKUP(M367,'Listado Precios'!$A:$C,2,0)</f>
        <v>5000</v>
      </c>
      <c r="J367" s="127">
        <v>45460</v>
      </c>
      <c r="K367" s="61"/>
      <c r="M367" s="16" t="str">
        <f>CONCATENATE(Registro!$C367,Registro!$D367)</f>
        <v>PrimeVideo1 pantalla</v>
      </c>
    </row>
    <row r="368" spans="1:13" ht="15.75" customHeight="1">
      <c r="A368" s="7" t="s">
        <v>162</v>
      </c>
      <c r="B368" s="8" t="s">
        <v>163</v>
      </c>
      <c r="C368" s="71" t="s">
        <v>17</v>
      </c>
      <c r="D368" s="63"/>
      <c r="E368" s="163"/>
      <c r="F368" s="63"/>
      <c r="G368" s="68"/>
      <c r="H368" s="107">
        <f>VLOOKUP(M368,'Listado Precios'!$A:$C,3,0)</f>
        <v>8000</v>
      </c>
      <c r="I368" s="107">
        <f>VLOOKUP(M368,'Listado Precios'!$A:$C,2,0)</f>
        <v>5280</v>
      </c>
      <c r="J368" s="28">
        <v>45558</v>
      </c>
      <c r="K368" s="61"/>
      <c r="M368" s="16" t="str">
        <f>CONCATENATE(Registro!$C368,Registro!$D368)</f>
        <v>Spotify</v>
      </c>
    </row>
    <row r="369" spans="1:13" ht="15.75" customHeight="1">
      <c r="A369" s="63" t="s">
        <v>714</v>
      </c>
      <c r="B369" s="63" t="s">
        <v>715</v>
      </c>
      <c r="C369" s="63" t="s">
        <v>77</v>
      </c>
      <c r="D369" s="63" t="s">
        <v>14</v>
      </c>
      <c r="E369" s="64"/>
      <c r="F369" s="63"/>
      <c r="G369" s="68"/>
      <c r="H369" s="107" t="e">
        <f>VLOOKUP(M369,'Listado Precios'!$A:$C,3,0)</f>
        <v>#N/A</v>
      </c>
      <c r="I369" s="107" t="e">
        <f>VLOOKUP(M369,'Listado Precios'!$A:$C,2,0)</f>
        <v>#N/A</v>
      </c>
      <c r="J369" s="99">
        <v>45788</v>
      </c>
      <c r="K369" s="61"/>
      <c r="M369" s="16" t="str">
        <f>CONCATENATE(Registro!$C369,Registro!$D369)</f>
        <v>Paramount1 pantalla</v>
      </c>
    </row>
    <row r="370" spans="1:13" ht="15.75" customHeight="1">
      <c r="A370" s="63" t="s">
        <v>716</v>
      </c>
      <c r="B370" s="63" t="s">
        <v>717</v>
      </c>
      <c r="C370" s="71" t="s">
        <v>25</v>
      </c>
      <c r="D370" s="63" t="s">
        <v>14</v>
      </c>
      <c r="E370" s="78" t="s">
        <v>718</v>
      </c>
      <c r="F370" s="63" t="s">
        <v>719</v>
      </c>
      <c r="G370" s="72"/>
      <c r="H370" s="107">
        <f>VLOOKUP(M370,'Listado Precios'!$A:$C,3,0)</f>
        <v>8000</v>
      </c>
      <c r="I370" s="107">
        <f>VLOOKUP(M370,'Listado Precios'!$A:$C,2,0)</f>
        <v>5000</v>
      </c>
      <c r="J370" s="28">
        <v>45628</v>
      </c>
      <c r="K370" s="61"/>
      <c r="M370" s="16" t="str">
        <f>CONCATENATE(Registro!$C370,Registro!$D370)</f>
        <v>HBO1 pantalla</v>
      </c>
    </row>
    <row r="371" spans="1:13" ht="15.75" customHeight="1">
      <c r="A371" s="63" t="s">
        <v>638</v>
      </c>
      <c r="B371" s="63" t="s">
        <v>380</v>
      </c>
      <c r="C371" s="63" t="s">
        <v>13</v>
      </c>
      <c r="D371" s="63" t="s">
        <v>14</v>
      </c>
      <c r="E371" s="119" t="s">
        <v>720</v>
      </c>
      <c r="F371" s="63" t="s">
        <v>721</v>
      </c>
      <c r="G371" s="72" t="s">
        <v>722</v>
      </c>
      <c r="H371" s="107">
        <f>VLOOKUP(M371,'Listado Precios'!$A:$C,3,0)</f>
        <v>8000</v>
      </c>
      <c r="I371" s="107">
        <f>VLOOKUP(M371,'Listado Precios'!$A:$C,2,0)</f>
        <v>5000</v>
      </c>
      <c r="J371" s="127">
        <v>45421</v>
      </c>
      <c r="K371" s="61"/>
      <c r="M371" s="16" t="str">
        <f>CONCATENATE(Registro!$C371,Registro!$D371)</f>
        <v>PrimeVideo1 pantalla</v>
      </c>
    </row>
    <row r="372" spans="1:13" ht="15.75" customHeight="1">
      <c r="A372" s="63" t="s">
        <v>723</v>
      </c>
      <c r="B372" s="63">
        <v>3178274846</v>
      </c>
      <c r="C372" s="63" t="s">
        <v>43</v>
      </c>
      <c r="D372" s="63" t="s">
        <v>14</v>
      </c>
      <c r="E372" s="125"/>
      <c r="F372" s="63"/>
      <c r="G372" s="158" t="s">
        <v>108</v>
      </c>
      <c r="H372" s="107">
        <f>VLOOKUP(M372,'Listado Precios'!$A:$C,3,0)</f>
        <v>12000</v>
      </c>
      <c r="I372" s="107">
        <f>VLOOKUP(M372,'Listado Precios'!$A:$C,2,0)</f>
        <v>7000</v>
      </c>
      <c r="J372" s="127">
        <v>45426</v>
      </c>
      <c r="K372" s="61"/>
      <c r="M372" s="16" t="str">
        <f>CONCATENATE(Registro!$C372,Registro!$D372)</f>
        <v>DisneyP1 pantalla</v>
      </c>
    </row>
    <row r="373" spans="1:13" ht="15.75" customHeight="1">
      <c r="A373" s="63" t="s">
        <v>724</v>
      </c>
      <c r="B373" s="63" t="s">
        <v>725</v>
      </c>
      <c r="C373" s="71" t="s">
        <v>571</v>
      </c>
      <c r="D373" s="80" t="s">
        <v>38</v>
      </c>
      <c r="E373" s="74" t="s">
        <v>726</v>
      </c>
      <c r="F373" s="63" t="s">
        <v>727</v>
      </c>
      <c r="G373" s="72"/>
      <c r="H373" s="107">
        <f>VLOOKUP(M373,'Listado Precios'!$A:$C,3,0)</f>
        <v>20000</v>
      </c>
      <c r="I373" s="107">
        <f>VLOOKUP(M373,'Listado Precios'!$A:$C,2,0)</f>
        <v>13500</v>
      </c>
      <c r="J373" s="28">
        <v>45457</v>
      </c>
      <c r="K373" s="61"/>
      <c r="M373" s="16" t="str">
        <f>CONCATENATE(Registro!$C373,Registro!$D373)</f>
        <v>IPTVCompleta</v>
      </c>
    </row>
    <row r="374" spans="1:13" ht="15.75" customHeight="1">
      <c r="A374" s="63" t="s">
        <v>728</v>
      </c>
      <c r="B374" s="63" t="s">
        <v>729</v>
      </c>
      <c r="C374" s="71" t="s">
        <v>238</v>
      </c>
      <c r="D374" s="80" t="s">
        <v>14</v>
      </c>
      <c r="E374" s="74"/>
      <c r="F374" s="63"/>
      <c r="G374" s="72"/>
      <c r="H374" s="107">
        <f>VLOOKUP(M374,'Listado Precios'!$A:$C,3,0)</f>
        <v>40000</v>
      </c>
      <c r="I374" s="107">
        <f>VLOOKUP(M374,'Listado Precios'!$A:$C,2,0)</f>
        <v>34250</v>
      </c>
      <c r="J374" s="28">
        <v>45472</v>
      </c>
      <c r="K374" s="61"/>
      <c r="M374" s="16" t="str">
        <f>CONCATENATE(Registro!$C374,Registro!$D374)</f>
        <v>Directv GO1 pantalla</v>
      </c>
    </row>
    <row r="375" spans="1:13" ht="15.75" customHeight="1">
      <c r="A375" s="19" t="s">
        <v>730</v>
      </c>
      <c r="B375" s="17" t="s">
        <v>731</v>
      </c>
      <c r="C375" s="63" t="s">
        <v>13</v>
      </c>
      <c r="D375" s="71" t="s">
        <v>14</v>
      </c>
      <c r="E375" s="78" t="s">
        <v>484</v>
      </c>
      <c r="F375" s="63" t="s">
        <v>269</v>
      </c>
      <c r="G375" s="72" t="s">
        <v>732</v>
      </c>
      <c r="H375" s="107">
        <f>VLOOKUP(M375,'Listado Precios'!$A:$C,3,0)</f>
        <v>8000</v>
      </c>
      <c r="I375" s="107">
        <f>VLOOKUP(M375,'Listado Precios'!$A:$C,2,0)</f>
        <v>5000</v>
      </c>
      <c r="J375" s="28">
        <v>45483</v>
      </c>
      <c r="K375" s="61"/>
      <c r="M375" s="16" t="str">
        <f>CONCATENATE(Registro!$C375,Registro!$D375)</f>
        <v>PrimeVideo1 pantalla</v>
      </c>
    </row>
    <row r="376" spans="1:13" ht="15.75" customHeight="1">
      <c r="A376" s="63" t="s">
        <v>667</v>
      </c>
      <c r="B376" s="63" t="s">
        <v>668</v>
      </c>
      <c r="C376" s="71" t="s">
        <v>13</v>
      </c>
      <c r="D376" s="63" t="s">
        <v>14</v>
      </c>
      <c r="E376" s="64" t="s">
        <v>733</v>
      </c>
      <c r="F376" s="63" t="s">
        <v>734</v>
      </c>
      <c r="G376" s="68"/>
      <c r="H376" s="107">
        <f>VLOOKUP(M376,'Listado Precios'!$A:$C,3,0)</f>
        <v>8000</v>
      </c>
      <c r="I376" s="107">
        <f>VLOOKUP(M376,'Listado Precios'!$A:$C,2,0)</f>
        <v>5000</v>
      </c>
      <c r="J376" s="28">
        <v>45521</v>
      </c>
      <c r="K376" s="61"/>
      <c r="M376" s="16" t="str">
        <f>CONCATENATE(Registro!$C376,Registro!$D376)</f>
        <v>PrimeVideo1 pantalla</v>
      </c>
    </row>
    <row r="377" spans="1:13" ht="15.75" customHeight="1">
      <c r="A377" s="19" t="s">
        <v>735</v>
      </c>
      <c r="B377" s="17" t="s">
        <v>736</v>
      </c>
      <c r="C377" s="63" t="s">
        <v>13</v>
      </c>
      <c r="D377" s="71" t="s">
        <v>14</v>
      </c>
      <c r="E377" s="78" t="s">
        <v>737</v>
      </c>
      <c r="F377" s="63" t="s">
        <v>451</v>
      </c>
      <c r="G377" s="72" t="s">
        <v>324</v>
      </c>
      <c r="H377" s="107">
        <f>VLOOKUP(M377,'Listado Precios'!$A:$C,3,0)</f>
        <v>8000</v>
      </c>
      <c r="I377" s="107">
        <f>VLOOKUP(M377,'Listado Precios'!$A:$C,2,0)</f>
        <v>5000</v>
      </c>
      <c r="J377" s="99">
        <v>45536</v>
      </c>
      <c r="K377" s="86"/>
      <c r="M377" s="16" t="str">
        <f>CONCATENATE(Registro!$C377,Registro!$D377)</f>
        <v>PrimeVideo1 pantalla</v>
      </c>
    </row>
    <row r="378" spans="1:13" ht="15.75" customHeight="1">
      <c r="A378" s="63" t="s">
        <v>738</v>
      </c>
      <c r="B378" s="63" t="s">
        <v>739</v>
      </c>
      <c r="C378" s="71" t="s">
        <v>22</v>
      </c>
      <c r="D378" s="63" t="s">
        <v>14</v>
      </c>
      <c r="E378" s="64" t="s">
        <v>78</v>
      </c>
      <c r="F378" s="63" t="s">
        <v>651</v>
      </c>
      <c r="G378" s="68"/>
      <c r="H378" s="107">
        <f>VLOOKUP(M378,'Listado Precios'!$A:$C,3,0)</f>
        <v>13000</v>
      </c>
      <c r="I378" s="107">
        <f>VLOOKUP(M378,'Listado Precios'!$A:$C,2,0)</f>
        <v>7600</v>
      </c>
      <c r="J378" s="99">
        <v>45536</v>
      </c>
      <c r="K378" s="61"/>
      <c r="M378" s="16" t="str">
        <f>CONCATENATE(Registro!$C378,Registro!$D378)</f>
        <v>Netflix1 pantalla</v>
      </c>
    </row>
    <row r="379" spans="1:13" ht="15.75" customHeight="1">
      <c r="A379" s="63" t="s">
        <v>740</v>
      </c>
      <c r="B379" s="63" t="s">
        <v>741</v>
      </c>
      <c r="C379" s="71" t="s">
        <v>460</v>
      </c>
      <c r="D379" s="63" t="s">
        <v>14</v>
      </c>
      <c r="E379" s="64" t="s">
        <v>742</v>
      </c>
      <c r="F379" s="63" t="s">
        <v>743</v>
      </c>
      <c r="G379" s="68"/>
      <c r="H379" s="107">
        <f>VLOOKUP(M379,'Listado Precios'!$A:$C,3,0)</f>
        <v>10000</v>
      </c>
      <c r="I379" s="107">
        <f>VLOOKUP(M379,'Listado Precios'!$A:$C,2,0)</f>
        <v>5000</v>
      </c>
      <c r="J379" s="99">
        <v>45536</v>
      </c>
      <c r="K379" s="61"/>
      <c r="M379" s="16" t="str">
        <f>CONCATENATE(Registro!$C379,Registro!$D379)</f>
        <v>DisneyE1 pantalla</v>
      </c>
    </row>
    <row r="380" spans="1:13" ht="15.75" customHeight="1">
      <c r="A380" s="63" t="s">
        <v>284</v>
      </c>
      <c r="B380" s="63" t="s">
        <v>744</v>
      </c>
      <c r="C380" s="71" t="s">
        <v>571</v>
      </c>
      <c r="D380" s="80" t="s">
        <v>14</v>
      </c>
      <c r="E380" s="74"/>
      <c r="F380" s="63"/>
      <c r="G380" s="72" t="s">
        <v>745</v>
      </c>
      <c r="H380" s="107">
        <f>VLOOKUP(M380,'Listado Precios'!$A:$C,3,0)</f>
        <v>10000</v>
      </c>
      <c r="I380" s="107">
        <f>VLOOKUP(M380,'Listado Precios'!$A:$C,2,0)</f>
        <v>4500</v>
      </c>
      <c r="J380" s="99">
        <v>45536</v>
      </c>
      <c r="K380" s="61"/>
      <c r="M380" s="16" t="str">
        <f>CONCATENATE(Registro!$C380,Registro!$D380)</f>
        <v>IPTV1 pantalla</v>
      </c>
    </row>
    <row r="381" spans="1:13" ht="15.75" customHeight="1">
      <c r="A381" s="63" t="s">
        <v>746</v>
      </c>
      <c r="B381" s="63" t="s">
        <v>747</v>
      </c>
      <c r="C381" s="71" t="s">
        <v>22</v>
      </c>
      <c r="D381" s="63" t="s">
        <v>14</v>
      </c>
      <c r="E381" s="78" t="s">
        <v>748</v>
      </c>
      <c r="F381" s="63" t="s">
        <v>749</v>
      </c>
      <c r="G381" s="72" t="s">
        <v>750</v>
      </c>
      <c r="H381" s="107">
        <f>VLOOKUP(M381,'Listado Precios'!$A:$C,3,0)</f>
        <v>13000</v>
      </c>
      <c r="I381" s="107">
        <f>VLOOKUP(M381,'Listado Precios'!$A:$C,2,0)</f>
        <v>7600</v>
      </c>
      <c r="J381" s="99">
        <v>45536</v>
      </c>
      <c r="K381" s="61"/>
      <c r="M381" s="16" t="str">
        <f>CONCATENATE(Registro!$C381,Registro!$D381)</f>
        <v>Netflix1 pantalla</v>
      </c>
    </row>
    <row r="382" spans="1:13" ht="15.75" customHeight="1">
      <c r="A382" s="64" t="s">
        <v>418</v>
      </c>
      <c r="B382" s="64" t="s">
        <v>751</v>
      </c>
      <c r="C382" s="63" t="s">
        <v>571</v>
      </c>
      <c r="D382" s="71" t="s">
        <v>14</v>
      </c>
      <c r="E382" s="78"/>
      <c r="F382" s="63"/>
      <c r="G382" s="72"/>
      <c r="H382" s="107">
        <f>VLOOKUP(M382,'Listado Precios'!$A:$C,3,0)</f>
        <v>10000</v>
      </c>
      <c r="I382" s="107">
        <f>VLOOKUP(M382,'Listado Precios'!$A:$C,2,0)</f>
        <v>4500</v>
      </c>
      <c r="J382" s="99">
        <v>45536</v>
      </c>
      <c r="K382" s="61"/>
      <c r="M382" s="16" t="str">
        <f>CONCATENATE(Registro!$C382,Registro!$D382)</f>
        <v>IPTV1 pantalla</v>
      </c>
    </row>
    <row r="383" spans="1:13" ht="15.75" customHeight="1">
      <c r="A383" s="64" t="s">
        <v>752</v>
      </c>
      <c r="B383" s="64" t="s">
        <v>753</v>
      </c>
      <c r="C383" s="71" t="s">
        <v>460</v>
      </c>
      <c r="D383" s="71" t="s">
        <v>14</v>
      </c>
      <c r="E383" s="78" t="s">
        <v>754</v>
      </c>
      <c r="F383" s="63" t="s">
        <v>444</v>
      </c>
      <c r="G383" s="72" t="s">
        <v>492</v>
      </c>
      <c r="H383" s="107">
        <f>VLOOKUP(M383,'Listado Precios'!$A:$C,3,0)</f>
        <v>10000</v>
      </c>
      <c r="I383" s="107">
        <f>VLOOKUP(M383,'Listado Precios'!$A:$C,2,0)</f>
        <v>5000</v>
      </c>
      <c r="J383" s="99">
        <v>45536</v>
      </c>
      <c r="K383" s="61"/>
      <c r="M383" s="16" t="str">
        <f>CONCATENATE(Registro!$C383,Registro!$D383)</f>
        <v>DisneyE1 pantalla</v>
      </c>
    </row>
    <row r="384" spans="1:13" ht="15.75" customHeight="1">
      <c r="A384" s="64" t="s">
        <v>755</v>
      </c>
      <c r="B384" s="64" t="s">
        <v>756</v>
      </c>
      <c r="C384" s="63" t="s">
        <v>22</v>
      </c>
      <c r="D384" s="71" t="s">
        <v>14</v>
      </c>
      <c r="E384" s="78" t="s">
        <v>757</v>
      </c>
      <c r="F384" s="63" t="s">
        <v>758</v>
      </c>
      <c r="G384" s="72"/>
      <c r="H384" s="107">
        <f>VLOOKUP(M384,'Listado Precios'!$A:$C,3,0)</f>
        <v>13000</v>
      </c>
      <c r="I384" s="107">
        <f>VLOOKUP(M384,'Listado Precios'!$A:$C,2,0)</f>
        <v>7600</v>
      </c>
      <c r="J384" s="99">
        <v>45536</v>
      </c>
      <c r="K384" s="61"/>
      <c r="M384" s="16" t="str">
        <f>CONCATENATE(Registro!$C384,Registro!$D384)</f>
        <v>Netflix1 pantalla</v>
      </c>
    </row>
    <row r="385" spans="1:13" ht="15.75" customHeight="1">
      <c r="A385" s="7" t="s">
        <v>759</v>
      </c>
      <c r="B385" s="8" t="s">
        <v>760</v>
      </c>
      <c r="C385" s="71" t="s">
        <v>43</v>
      </c>
      <c r="D385" s="63" t="s">
        <v>14</v>
      </c>
      <c r="E385" s="64" t="s">
        <v>761</v>
      </c>
      <c r="F385" s="63" t="s">
        <v>762</v>
      </c>
      <c r="G385" s="68"/>
      <c r="H385" s="107">
        <f>VLOOKUP(M385,'Listado Precios'!$A:$C,3,0)</f>
        <v>12000</v>
      </c>
      <c r="I385" s="107">
        <f>VLOOKUP(M385,'Listado Precios'!$A:$C,2,0)</f>
        <v>7000</v>
      </c>
      <c r="J385" s="99">
        <v>45536</v>
      </c>
      <c r="K385" s="61"/>
      <c r="M385" s="16" t="str">
        <f>CONCATENATE(Registro!$C385,Registro!$D385)</f>
        <v>DisneyP1 pantalla</v>
      </c>
    </row>
    <row r="386" spans="1:13" ht="15.75" customHeight="1">
      <c r="A386" s="7" t="s">
        <v>763</v>
      </c>
      <c r="B386" s="8"/>
      <c r="C386" s="71" t="s">
        <v>22</v>
      </c>
      <c r="D386" s="63" t="s">
        <v>14</v>
      </c>
      <c r="E386" s="64"/>
      <c r="F386" s="63"/>
      <c r="G386" s="68" t="s">
        <v>764</v>
      </c>
      <c r="H386" s="107">
        <f>VLOOKUP(M386,'Listado Precios'!$A:$C,3,0)</f>
        <v>13000</v>
      </c>
      <c r="I386" s="107">
        <f>VLOOKUP(M386,'Listado Precios'!$A:$C,2,0)</f>
        <v>7600</v>
      </c>
      <c r="J386" s="99">
        <v>45536</v>
      </c>
      <c r="K386" s="61"/>
      <c r="M386" s="16" t="str">
        <f>CONCATENATE(Registro!$C386,Registro!$D386)</f>
        <v>Netflix1 pantalla</v>
      </c>
    </row>
    <row r="387" spans="1:13" ht="15.75" customHeight="1">
      <c r="A387" s="19" t="s">
        <v>765</v>
      </c>
      <c r="B387" s="17" t="s">
        <v>766</v>
      </c>
      <c r="C387" s="63" t="s">
        <v>13</v>
      </c>
      <c r="D387" s="71" t="s">
        <v>14</v>
      </c>
      <c r="E387" s="78" t="s">
        <v>450</v>
      </c>
      <c r="F387" s="63" t="s">
        <v>451</v>
      </c>
      <c r="G387" s="72" t="s">
        <v>767</v>
      </c>
      <c r="H387" s="107">
        <f>VLOOKUP(M387,'Listado Precios'!$A:$C,3,0)</f>
        <v>8000</v>
      </c>
      <c r="I387" s="107">
        <f>VLOOKUP(M387,'Listado Precios'!$A:$C,2,0)</f>
        <v>5000</v>
      </c>
      <c r="J387" s="99">
        <v>45536</v>
      </c>
      <c r="K387" s="61"/>
      <c r="M387" s="16" t="str">
        <f>CONCATENATE(Registro!$C387,Registro!$D387)</f>
        <v>PrimeVideo1 pantalla</v>
      </c>
    </row>
    <row r="388" spans="1:13" ht="15.75" customHeight="1">
      <c r="A388" s="7" t="s">
        <v>73</v>
      </c>
      <c r="B388" s="8" t="s">
        <v>768</v>
      </c>
      <c r="C388" s="71" t="s">
        <v>571</v>
      </c>
      <c r="D388" s="80" t="s">
        <v>14</v>
      </c>
      <c r="E388" s="74"/>
      <c r="F388" s="63"/>
      <c r="G388" s="72" t="s">
        <v>769</v>
      </c>
      <c r="H388" s="107">
        <f>VLOOKUP(M388,'Listado Precios'!$A:$C,3,0)</f>
        <v>10000</v>
      </c>
      <c r="I388" s="107">
        <f>VLOOKUP(M388,'Listado Precios'!$A:$C,2,0)</f>
        <v>4500</v>
      </c>
      <c r="J388" s="99">
        <v>45536</v>
      </c>
      <c r="K388" s="61"/>
      <c r="M388" s="16" t="str">
        <f>CONCATENATE(Registro!$C388,Registro!$D388)</f>
        <v>IPTV1 pantalla</v>
      </c>
    </row>
    <row r="389" spans="1:13" ht="15.75" customHeight="1">
      <c r="A389" s="19" t="s">
        <v>770</v>
      </c>
      <c r="B389" s="17" t="s">
        <v>771</v>
      </c>
      <c r="C389" s="63" t="s">
        <v>571</v>
      </c>
      <c r="D389" s="71" t="s">
        <v>38</v>
      </c>
      <c r="E389" s="78"/>
      <c r="F389" s="63"/>
      <c r="G389" s="72"/>
      <c r="H389" s="107">
        <f>VLOOKUP(M389,'Listado Precios'!$A:$C,3,0)</f>
        <v>20000</v>
      </c>
      <c r="I389" s="107">
        <f>VLOOKUP(M389,'Listado Precios'!$A:$C,2,0)</f>
        <v>13500</v>
      </c>
      <c r="J389" s="99">
        <v>45536</v>
      </c>
      <c r="K389" s="61"/>
      <c r="M389" s="16" t="str">
        <f>CONCATENATE(Registro!$C389,Registro!$D389)</f>
        <v>IPTVCompleta</v>
      </c>
    </row>
    <row r="390" spans="1:13" ht="15.75" customHeight="1">
      <c r="A390" s="7" t="s">
        <v>772</v>
      </c>
      <c r="B390" s="8" t="s">
        <v>773</v>
      </c>
      <c r="C390" s="71" t="s">
        <v>13</v>
      </c>
      <c r="D390" s="63" t="s">
        <v>14</v>
      </c>
      <c r="E390" s="64" t="s">
        <v>774</v>
      </c>
      <c r="F390" s="63" t="s">
        <v>775</v>
      </c>
      <c r="G390" s="68" t="s">
        <v>452</v>
      </c>
      <c r="H390" s="107">
        <f>VLOOKUP(M390,'Listado Precios'!$A:$C,3,0)</f>
        <v>8000</v>
      </c>
      <c r="I390" s="107">
        <f>VLOOKUP(M390,'Listado Precios'!$A:$C,2,0)</f>
        <v>5000</v>
      </c>
      <c r="J390" s="99">
        <v>45536</v>
      </c>
      <c r="K390" s="61"/>
      <c r="M390" s="16" t="str">
        <f>CONCATENATE(Registro!$C390,Registro!$D390)</f>
        <v>PrimeVideo1 pantalla</v>
      </c>
    </row>
    <row r="391" spans="1:13" ht="15.75" customHeight="1">
      <c r="A391" s="7" t="s">
        <v>776</v>
      </c>
      <c r="B391" s="8" t="s">
        <v>777</v>
      </c>
      <c r="C391" s="71" t="s">
        <v>571</v>
      </c>
      <c r="D391" s="80" t="s">
        <v>14</v>
      </c>
      <c r="E391" s="74"/>
      <c r="F391" s="63"/>
      <c r="G391" s="72" t="s">
        <v>778</v>
      </c>
      <c r="H391" s="107">
        <f>VLOOKUP(M391,'Listado Precios'!$A:$C,3,0)</f>
        <v>10000</v>
      </c>
      <c r="I391" s="107">
        <f>VLOOKUP(M391,'Listado Precios'!$A:$C,2,0)</f>
        <v>4500</v>
      </c>
      <c r="J391" s="99">
        <v>45536</v>
      </c>
      <c r="K391" s="61"/>
      <c r="M391" s="16" t="str">
        <f>CONCATENATE(Registro!$C391,Registro!$D391)</f>
        <v>IPTV1 pantalla</v>
      </c>
    </row>
    <row r="392" spans="1:13" ht="15.75" customHeight="1">
      <c r="A392" s="7" t="s">
        <v>779</v>
      </c>
      <c r="B392" s="8" t="s">
        <v>780</v>
      </c>
      <c r="C392" s="71" t="s">
        <v>25</v>
      </c>
      <c r="D392" s="63" t="s">
        <v>14</v>
      </c>
      <c r="E392" s="64" t="s">
        <v>781</v>
      </c>
      <c r="F392" s="63" t="s">
        <v>782</v>
      </c>
      <c r="G392" s="68"/>
      <c r="H392" s="107">
        <f>VLOOKUP(M392,'Listado Precios'!$A:$C,3,0)</f>
        <v>8000</v>
      </c>
      <c r="I392" s="107">
        <f>VLOOKUP(M392,'Listado Precios'!$A:$C,2,0)</f>
        <v>5000</v>
      </c>
      <c r="J392" s="99">
        <v>45536</v>
      </c>
      <c r="K392" s="61"/>
      <c r="M392" s="16" t="str">
        <f>CONCATENATE(Registro!$C392,Registro!$D392)</f>
        <v>HBO1 pantalla</v>
      </c>
    </row>
    <row r="393" spans="1:13" ht="15.75" customHeight="1">
      <c r="A393" s="19" t="s">
        <v>783</v>
      </c>
      <c r="B393" s="17" t="s">
        <v>784</v>
      </c>
      <c r="C393" s="63" t="s">
        <v>22</v>
      </c>
      <c r="D393" s="71" t="s">
        <v>14</v>
      </c>
      <c r="E393" s="78" t="s">
        <v>785</v>
      </c>
      <c r="F393" s="63" t="s">
        <v>786</v>
      </c>
      <c r="G393" s="72" t="s">
        <v>787</v>
      </c>
      <c r="H393" s="107">
        <f>VLOOKUP(M393,'Listado Precios'!$A:$C,3,0)</f>
        <v>13000</v>
      </c>
      <c r="I393" s="107">
        <f>VLOOKUP(M393,'Listado Precios'!$A:$C,2,0)</f>
        <v>7600</v>
      </c>
      <c r="J393" s="99">
        <v>45536</v>
      </c>
      <c r="K393" s="86"/>
      <c r="M393" s="16" t="str">
        <f>CONCATENATE(Registro!$C393,Registro!$D393)</f>
        <v>Netflix1 pantalla</v>
      </c>
    </row>
    <row r="394" spans="1:13" ht="15.75" customHeight="1">
      <c r="A394" s="19" t="s">
        <v>788</v>
      </c>
      <c r="B394" s="17" t="s">
        <v>789</v>
      </c>
      <c r="C394" s="63" t="s">
        <v>17</v>
      </c>
      <c r="D394" s="71"/>
      <c r="E394" s="64" t="s">
        <v>788</v>
      </c>
      <c r="F394" s="63"/>
      <c r="G394" s="72"/>
      <c r="H394" s="107">
        <f>VLOOKUP(M394,'Listado Precios'!$A:$C,3,0)</f>
        <v>8000</v>
      </c>
      <c r="I394" s="107">
        <f>VLOOKUP(M394,'Listado Precios'!$A:$C,2,0)</f>
        <v>5280</v>
      </c>
      <c r="J394" s="99">
        <v>45536</v>
      </c>
      <c r="K394" s="86"/>
      <c r="M394" s="16" t="str">
        <f>CONCATENATE(Registro!$C394,Registro!$D394)</f>
        <v>Spotify</v>
      </c>
    </row>
    <row r="395" spans="1:13" ht="15.75" customHeight="1">
      <c r="A395" s="66" t="s">
        <v>790</v>
      </c>
      <c r="B395" s="67" t="s">
        <v>791</v>
      </c>
      <c r="C395" s="63" t="s">
        <v>263</v>
      </c>
      <c r="D395" s="71" t="s">
        <v>14</v>
      </c>
      <c r="E395" s="92" t="s">
        <v>792</v>
      </c>
      <c r="F395" s="92" t="s">
        <v>793</v>
      </c>
      <c r="G395" s="92">
        <v>3</v>
      </c>
      <c r="H395" s="107">
        <f>VLOOKUP(M395,'Listado Precios'!$A:$C,3,0)</f>
        <v>8000</v>
      </c>
      <c r="I395" s="107">
        <f>VLOOKUP(M395,'Listado Precios'!$A:$C,2,0)</f>
        <v>5000</v>
      </c>
      <c r="J395" s="99">
        <v>45536</v>
      </c>
      <c r="K395" s="62"/>
      <c r="M395" s="16" t="str">
        <f>CONCATENATE(Registro!$C395,Registro!$D395)</f>
        <v>Vix1 pantalla</v>
      </c>
    </row>
    <row r="396" spans="1:13" ht="15.75" customHeight="1">
      <c r="A396" s="7" t="s">
        <v>794</v>
      </c>
      <c r="B396" s="8" t="s">
        <v>795</v>
      </c>
      <c r="C396" s="71" t="s">
        <v>25</v>
      </c>
      <c r="D396" s="63" t="s">
        <v>14</v>
      </c>
      <c r="E396" s="64" t="s">
        <v>796</v>
      </c>
      <c r="F396" s="63" t="s">
        <v>797</v>
      </c>
      <c r="G396" s="68" t="s">
        <v>492</v>
      </c>
      <c r="H396" s="107">
        <f>VLOOKUP(M396,'Listado Precios'!$A:$C,3,0)</f>
        <v>8000</v>
      </c>
      <c r="I396" s="107">
        <f>VLOOKUP(M396,'Listado Precios'!$A:$C,2,0)</f>
        <v>5000</v>
      </c>
      <c r="J396" s="99">
        <v>45536</v>
      </c>
      <c r="K396" s="61"/>
      <c r="M396" s="16" t="str">
        <f>CONCATENATE(Registro!$C396,Registro!$D396)</f>
        <v>HBO1 pantalla</v>
      </c>
    </row>
    <row r="397" spans="1:13" ht="15.75" customHeight="1">
      <c r="A397" s="66" t="s">
        <v>798</v>
      </c>
      <c r="B397" s="67" t="s">
        <v>799</v>
      </c>
      <c r="C397" s="63" t="s">
        <v>406</v>
      </c>
      <c r="D397" s="71"/>
      <c r="E397" s="64" t="s">
        <v>800</v>
      </c>
      <c r="F397" s="92"/>
      <c r="G397" s="92"/>
      <c r="H397" s="107">
        <f>VLOOKUP(M397,'Listado Precios'!$A:$C,3,0)</f>
        <v>7000</v>
      </c>
      <c r="I397" s="107">
        <f>VLOOKUP(M397,'Listado Precios'!$A:$C,2,0)</f>
        <v>3200</v>
      </c>
      <c r="J397" s="99">
        <v>45536</v>
      </c>
      <c r="K397" s="61"/>
      <c r="M397" s="16" t="str">
        <f>CONCATENATE(Registro!$C397,Registro!$D397)</f>
        <v>Youtube</v>
      </c>
    </row>
    <row r="398" spans="1:13" ht="15.75" customHeight="1">
      <c r="A398" s="19" t="s">
        <v>801</v>
      </c>
      <c r="B398" s="17" t="s">
        <v>802</v>
      </c>
      <c r="C398" s="63" t="s">
        <v>571</v>
      </c>
      <c r="D398" s="71" t="s">
        <v>14</v>
      </c>
      <c r="E398" s="78"/>
      <c r="F398" s="63"/>
      <c r="G398" s="72"/>
      <c r="H398" s="107">
        <f>VLOOKUP(M398,'Listado Precios'!$A:$C,3,0)</f>
        <v>10000</v>
      </c>
      <c r="I398" s="107">
        <f>VLOOKUP(M398,'Listado Precios'!$A:$C,2,0)</f>
        <v>4500</v>
      </c>
      <c r="J398" s="99">
        <v>45536</v>
      </c>
      <c r="K398" s="61"/>
      <c r="M398" s="16" t="str">
        <f>CONCATENATE(Registro!$C398,Registro!$D398)</f>
        <v>IPTV1 pantalla</v>
      </c>
    </row>
    <row r="399" spans="1:13" ht="15.75" customHeight="1">
      <c r="A399" s="19" t="s">
        <v>803</v>
      </c>
      <c r="B399" s="17" t="s">
        <v>804</v>
      </c>
      <c r="C399" s="63" t="s">
        <v>805</v>
      </c>
      <c r="D399" s="71" t="s">
        <v>14</v>
      </c>
      <c r="E399" s="78" t="s">
        <v>806</v>
      </c>
      <c r="F399" s="63" t="s">
        <v>807</v>
      </c>
      <c r="G399" s="72" t="s">
        <v>808</v>
      </c>
      <c r="H399" s="107">
        <f>VLOOKUP(M399,'Listado Precios'!$A:$C,3,0)</f>
        <v>20000</v>
      </c>
      <c r="I399" s="107">
        <f>VLOOKUP(M399,'Listado Precios'!$A:$C,2,0)</f>
        <v>14000</v>
      </c>
      <c r="J399" s="99">
        <v>45536</v>
      </c>
      <c r="K399" s="86"/>
      <c r="M399" s="16" t="str">
        <f>CONCATENATE(Registro!$C399,Registro!$D399)</f>
        <v>Claro Video1 pantalla</v>
      </c>
    </row>
    <row r="400" spans="1:13" ht="15.75" customHeight="1">
      <c r="A400" s="7" t="s">
        <v>809</v>
      </c>
      <c r="B400" s="8" t="s">
        <v>810</v>
      </c>
      <c r="C400" s="71" t="s">
        <v>571</v>
      </c>
      <c r="D400" s="80" t="s">
        <v>14</v>
      </c>
      <c r="E400" s="74"/>
      <c r="F400" s="63"/>
      <c r="G400" s="72"/>
      <c r="H400" s="107">
        <f>VLOOKUP(M400,'Listado Precios'!$A:$C,3,0)</f>
        <v>10000</v>
      </c>
      <c r="I400" s="107">
        <f>VLOOKUP(M400,'Listado Precios'!$A:$C,2,0)</f>
        <v>4500</v>
      </c>
      <c r="J400" s="99">
        <v>45536</v>
      </c>
      <c r="K400" s="61"/>
      <c r="M400" s="16" t="str">
        <f>CONCATENATE(Registro!$C400,Registro!$D400)</f>
        <v>IPTV1 pantalla</v>
      </c>
    </row>
    <row r="401" spans="1:13" ht="15.75" customHeight="1">
      <c r="A401" s="7" t="s">
        <v>811</v>
      </c>
      <c r="B401" s="8" t="s">
        <v>812</v>
      </c>
      <c r="C401" s="71" t="s">
        <v>43</v>
      </c>
      <c r="D401" s="63" t="s">
        <v>14</v>
      </c>
      <c r="E401" s="78" t="s">
        <v>813</v>
      </c>
      <c r="F401" s="63" t="s">
        <v>814</v>
      </c>
      <c r="G401" s="72"/>
      <c r="H401" s="107">
        <f>VLOOKUP(M401,'Listado Precios'!$A:$C,3,0)</f>
        <v>12000</v>
      </c>
      <c r="I401" s="107">
        <f>VLOOKUP(M401,'Listado Precios'!$A:$C,2,0)</f>
        <v>7000</v>
      </c>
      <c r="J401" s="99">
        <v>45536</v>
      </c>
      <c r="K401" s="61"/>
      <c r="M401" s="16" t="str">
        <f>CONCATENATE(Registro!$C401,Registro!$D401)</f>
        <v>DisneyP1 pantalla</v>
      </c>
    </row>
    <row r="402" spans="1:13" ht="15.75" customHeight="1">
      <c r="A402" s="19" t="s">
        <v>815</v>
      </c>
      <c r="B402" s="17" t="s">
        <v>816</v>
      </c>
      <c r="C402" s="63" t="s">
        <v>43</v>
      </c>
      <c r="D402" s="71" t="s">
        <v>14</v>
      </c>
      <c r="E402" s="78" t="s">
        <v>817</v>
      </c>
      <c r="F402" s="63" t="s">
        <v>818</v>
      </c>
      <c r="G402" s="72" t="s">
        <v>274</v>
      </c>
      <c r="H402" s="107">
        <f>VLOOKUP(M402,'Listado Precios'!$A:$C,3,0)</f>
        <v>12000</v>
      </c>
      <c r="I402" s="107">
        <f>VLOOKUP(M402,'Listado Precios'!$A:$C,2,0)</f>
        <v>7000</v>
      </c>
      <c r="J402" s="99">
        <v>45536</v>
      </c>
      <c r="K402" s="86"/>
      <c r="M402" s="16" t="str">
        <f>CONCATENATE(Registro!$C402,Registro!$D402)</f>
        <v>DisneyP1 pantalla</v>
      </c>
    </row>
    <row r="403" spans="1:13" ht="15.75" customHeight="1">
      <c r="A403" s="7" t="s">
        <v>819</v>
      </c>
      <c r="B403" s="8">
        <v>3166787453</v>
      </c>
      <c r="C403" s="71" t="s">
        <v>22</v>
      </c>
      <c r="D403" s="63" t="s">
        <v>14</v>
      </c>
      <c r="E403" s="64" t="s">
        <v>820</v>
      </c>
      <c r="F403" s="64" t="s">
        <v>821</v>
      </c>
      <c r="G403" s="68" t="s">
        <v>822</v>
      </c>
      <c r="H403" s="107">
        <f>VLOOKUP(M403,'Listado Precios'!$A:$C,3,0)</f>
        <v>13000</v>
      </c>
      <c r="I403" s="107">
        <f>VLOOKUP(M403,'Listado Precios'!$A:$C,2,0)</f>
        <v>7600</v>
      </c>
      <c r="J403" s="99">
        <v>45536</v>
      </c>
      <c r="K403" s="61"/>
      <c r="M403" s="16" t="str">
        <f>CONCATENATE(Registro!$C403,Registro!$D403)</f>
        <v>Netflix1 pantalla</v>
      </c>
    </row>
    <row r="404" spans="1:13" ht="15.75" customHeight="1">
      <c r="A404" s="63" t="s">
        <v>823</v>
      </c>
      <c r="B404" s="63" t="s">
        <v>824</v>
      </c>
      <c r="C404" s="71" t="s">
        <v>825</v>
      </c>
      <c r="D404" s="80" t="s">
        <v>14</v>
      </c>
      <c r="E404" s="74" t="s">
        <v>826</v>
      </c>
      <c r="F404" s="63" t="s">
        <v>827</v>
      </c>
      <c r="G404" s="72"/>
      <c r="H404" s="107">
        <f>VLOOKUP(M404,'Listado Precios'!$A:$C,3,0)</f>
        <v>12000</v>
      </c>
      <c r="I404" s="107">
        <f>VLOOKUP(M404,'Listado Precios'!$A:$C,2,0)</f>
        <v>6000</v>
      </c>
      <c r="J404" s="99">
        <v>45536</v>
      </c>
      <c r="K404" s="61"/>
      <c r="M404" s="16" t="str">
        <f>CONCATENATE(Registro!$C404,Registro!$D404)</f>
        <v>Profenet1 pantalla</v>
      </c>
    </row>
    <row r="405" spans="1:13" ht="15.75" customHeight="1">
      <c r="A405" s="7" t="s">
        <v>828</v>
      </c>
      <c r="B405" s="8" t="s">
        <v>829</v>
      </c>
      <c r="C405" s="71" t="s">
        <v>22</v>
      </c>
      <c r="D405" s="80" t="s">
        <v>14</v>
      </c>
      <c r="E405" s="74" t="s">
        <v>830</v>
      </c>
      <c r="F405" s="63" t="s">
        <v>831</v>
      </c>
      <c r="G405" s="72" t="s">
        <v>832</v>
      </c>
      <c r="H405" s="107">
        <f>VLOOKUP(M405,'Listado Precios'!$A:$C,3,0)</f>
        <v>13000</v>
      </c>
      <c r="I405" s="107">
        <f>VLOOKUP(M405,'Listado Precios'!$A:$C,2,0)</f>
        <v>7600</v>
      </c>
      <c r="J405" s="99">
        <v>45536</v>
      </c>
      <c r="K405" s="61"/>
      <c r="M405" s="16" t="str">
        <f>CONCATENATE(Registro!$C405,Registro!$D405)</f>
        <v>Netflix1 pantalla</v>
      </c>
    </row>
    <row r="406" spans="1:13" ht="15.75" customHeight="1">
      <c r="A406" s="66" t="s">
        <v>833</v>
      </c>
      <c r="B406" s="67" t="s">
        <v>834</v>
      </c>
      <c r="C406" s="63" t="s">
        <v>22</v>
      </c>
      <c r="D406" s="71" t="s">
        <v>14</v>
      </c>
      <c r="E406" s="92" t="s">
        <v>835</v>
      </c>
      <c r="F406" s="92" t="s">
        <v>836</v>
      </c>
      <c r="G406" s="92">
        <v>1313</v>
      </c>
      <c r="H406" s="107">
        <f>VLOOKUP(M406,'Listado Precios'!$A:$C,3,0)</f>
        <v>13000</v>
      </c>
      <c r="I406" s="107">
        <f>VLOOKUP(M406,'Listado Precios'!$A:$C,2,0)</f>
        <v>7600</v>
      </c>
      <c r="J406" s="99">
        <v>45536</v>
      </c>
      <c r="K406" s="61"/>
      <c r="M406" s="16" t="str">
        <f>CONCATENATE(Registro!$C406,Registro!$D406)</f>
        <v>Netflix1 pantalla</v>
      </c>
    </row>
    <row r="407" spans="1:13" ht="15.75" customHeight="1">
      <c r="A407" s="7" t="s">
        <v>837</v>
      </c>
      <c r="B407" s="8" t="s">
        <v>838</v>
      </c>
      <c r="C407" s="71" t="s">
        <v>65</v>
      </c>
      <c r="D407" s="63" t="s">
        <v>14</v>
      </c>
      <c r="E407" s="78" t="s">
        <v>839</v>
      </c>
      <c r="F407" s="63" t="s">
        <v>840</v>
      </c>
      <c r="G407" s="72"/>
      <c r="H407" s="107">
        <f>VLOOKUP(M407,'Listado Precios'!$A:$C,3,0)</f>
        <v>8000</v>
      </c>
      <c r="I407" s="107">
        <f>VLOOKUP(M407,'Listado Precios'!$A:$C,2,0)</f>
        <v>5000</v>
      </c>
      <c r="J407" s="99">
        <v>45536</v>
      </c>
      <c r="K407" s="61"/>
      <c r="M407" s="16" t="str">
        <f>CONCATENATE(Registro!$C407,Registro!$D407)</f>
        <v>Crunchyroll1 pantalla</v>
      </c>
    </row>
    <row r="408" spans="1:13" ht="15.75" customHeight="1">
      <c r="A408" s="19" t="s">
        <v>841</v>
      </c>
      <c r="B408" s="17" t="s">
        <v>842</v>
      </c>
      <c r="C408" s="71" t="s">
        <v>263</v>
      </c>
      <c r="D408" s="80" t="s">
        <v>14</v>
      </c>
      <c r="E408" s="100" t="s">
        <v>843</v>
      </c>
      <c r="F408" s="64" t="s">
        <v>844</v>
      </c>
      <c r="G408" s="64"/>
      <c r="H408" s="107">
        <f>VLOOKUP(M408,'Listado Precios'!$A:$C,3,0)</f>
        <v>8000</v>
      </c>
      <c r="I408" s="107">
        <f>VLOOKUP(M408,'Listado Precios'!$A:$C,2,0)</f>
        <v>5000</v>
      </c>
      <c r="J408" s="99">
        <v>45536</v>
      </c>
      <c r="K408" s="61"/>
      <c r="M408" s="16" t="str">
        <f>CONCATENATE(Registro!$C408,Registro!$D408)</f>
        <v>Vix1 pantalla</v>
      </c>
    </row>
    <row r="409" spans="1:13" ht="15.75" customHeight="1">
      <c r="A409" s="19" t="s">
        <v>845</v>
      </c>
      <c r="B409" s="17" t="s">
        <v>846</v>
      </c>
      <c r="C409" s="71" t="s">
        <v>460</v>
      </c>
      <c r="D409" s="71" t="s">
        <v>14</v>
      </c>
      <c r="E409" s="78" t="s">
        <v>847</v>
      </c>
      <c r="F409" s="63" t="s">
        <v>848</v>
      </c>
      <c r="G409" s="72" t="s">
        <v>492</v>
      </c>
      <c r="H409" s="107">
        <f>VLOOKUP(M409,'Listado Precios'!$A:$C,3,0)</f>
        <v>10000</v>
      </c>
      <c r="I409" s="107">
        <f>VLOOKUP(M409,'Listado Precios'!$A:$C,2,0)</f>
        <v>5000</v>
      </c>
      <c r="J409" s="99">
        <v>45536</v>
      </c>
      <c r="K409" s="61"/>
      <c r="M409" s="16" t="str">
        <f>CONCATENATE(Registro!$C409,Registro!$D409)</f>
        <v>DisneyE1 pantalla</v>
      </c>
    </row>
    <row r="410" spans="1:13" ht="15.75" customHeight="1">
      <c r="A410" s="7" t="s">
        <v>849</v>
      </c>
      <c r="B410" s="8" t="s">
        <v>850</v>
      </c>
      <c r="C410" s="71" t="s">
        <v>22</v>
      </c>
      <c r="D410" s="63" t="s">
        <v>14</v>
      </c>
      <c r="E410" s="64" t="s">
        <v>329</v>
      </c>
      <c r="F410" s="63" t="s">
        <v>268</v>
      </c>
      <c r="G410" s="68"/>
      <c r="H410" s="107">
        <f>VLOOKUP(M410,'Listado Precios'!$A:$C,3,0)</f>
        <v>13000</v>
      </c>
      <c r="I410" s="107">
        <f>VLOOKUP(M410,'Listado Precios'!$A:$C,2,0)</f>
        <v>7600</v>
      </c>
      <c r="J410" s="99">
        <v>45536</v>
      </c>
      <c r="K410" s="61"/>
      <c r="M410" s="16" t="str">
        <f>CONCATENATE(Registro!$C410,Registro!$D410)</f>
        <v>Netflix1 pantalla</v>
      </c>
    </row>
    <row r="411" spans="1:13" ht="15.75" customHeight="1">
      <c r="A411" s="7" t="s">
        <v>851</v>
      </c>
      <c r="B411" s="8" t="s">
        <v>852</v>
      </c>
      <c r="C411" s="71" t="s">
        <v>25</v>
      </c>
      <c r="D411" s="63" t="s">
        <v>14</v>
      </c>
      <c r="E411" s="100" t="s">
        <v>853</v>
      </c>
      <c r="F411" s="63" t="s">
        <v>854</v>
      </c>
      <c r="G411" s="68"/>
      <c r="H411" s="107">
        <f>VLOOKUP(M411,'Listado Precios'!$A:$C,3,0)</f>
        <v>8000</v>
      </c>
      <c r="I411" s="107">
        <f>VLOOKUP(M411,'Listado Precios'!$A:$C,2,0)</f>
        <v>5000</v>
      </c>
      <c r="J411" s="99">
        <v>45536</v>
      </c>
      <c r="K411" s="61"/>
      <c r="M411" s="16" t="str">
        <f>CONCATENATE(Registro!$C411,Registro!$D411)</f>
        <v>HBO1 pantalla</v>
      </c>
    </row>
    <row r="412" spans="1:13" ht="15.75" customHeight="1">
      <c r="A412" s="7" t="s">
        <v>855</v>
      </c>
      <c r="B412" s="8" t="s">
        <v>856</v>
      </c>
      <c r="C412" s="71" t="s">
        <v>571</v>
      </c>
      <c r="D412" s="63" t="s">
        <v>14</v>
      </c>
      <c r="E412" s="64"/>
      <c r="F412" s="63"/>
      <c r="G412" s="68"/>
      <c r="H412" s="107">
        <f>VLOOKUP(M412,'Listado Precios'!$A:$C,3,0)</f>
        <v>10000</v>
      </c>
      <c r="I412" s="107">
        <f>VLOOKUP(M412,'Listado Precios'!$A:$C,2,0)</f>
        <v>4500</v>
      </c>
      <c r="J412" s="99">
        <v>45536</v>
      </c>
      <c r="K412" s="61"/>
      <c r="M412" s="16" t="str">
        <f>CONCATENATE(Registro!$C412,Registro!$D412)</f>
        <v>IPTV1 pantalla</v>
      </c>
    </row>
    <row r="413" spans="1:13" ht="15.75" customHeight="1">
      <c r="A413" s="7" t="s">
        <v>595</v>
      </c>
      <c r="B413" s="8" t="s">
        <v>857</v>
      </c>
      <c r="C413" s="71" t="s">
        <v>13</v>
      </c>
      <c r="D413" s="80" t="s">
        <v>14</v>
      </c>
      <c r="E413" s="74" t="s">
        <v>858</v>
      </c>
      <c r="F413" s="63" t="s">
        <v>859</v>
      </c>
      <c r="G413" s="72" t="s">
        <v>860</v>
      </c>
      <c r="H413" s="107">
        <f>VLOOKUP(M413,'Listado Precios'!$A:$C,3,0)</f>
        <v>8000</v>
      </c>
      <c r="I413" s="107">
        <f>VLOOKUP(M413,'Listado Precios'!$A:$C,2,0)</f>
        <v>5000</v>
      </c>
      <c r="J413" s="99">
        <v>45536</v>
      </c>
      <c r="K413" s="61"/>
      <c r="M413" s="16" t="str">
        <f>CONCATENATE(Registro!$C413,Registro!$D413)</f>
        <v>PrimeVideo1 pantalla</v>
      </c>
    </row>
    <row r="414" spans="1:13" ht="15.75" customHeight="1">
      <c r="A414" s="7" t="s">
        <v>861</v>
      </c>
      <c r="B414" s="8" t="s">
        <v>862</v>
      </c>
      <c r="C414" s="71" t="s">
        <v>43</v>
      </c>
      <c r="D414" s="80" t="s">
        <v>14</v>
      </c>
      <c r="E414" s="113" t="s">
        <v>863</v>
      </c>
      <c r="F414" s="63" t="s">
        <v>864</v>
      </c>
      <c r="G414" s="72" t="s">
        <v>260</v>
      </c>
      <c r="H414" s="107">
        <f>VLOOKUP(M414,'Listado Precios'!$A:$C,3,0)</f>
        <v>12000</v>
      </c>
      <c r="I414" s="107">
        <f>VLOOKUP(M414,'Listado Precios'!$A:$C,2,0)</f>
        <v>7000</v>
      </c>
      <c r="J414" s="99">
        <v>45536</v>
      </c>
      <c r="K414" s="61"/>
      <c r="M414" s="16" t="str">
        <f>CONCATENATE(Registro!$C414,Registro!$D414)</f>
        <v>DisneyP1 pantalla</v>
      </c>
    </row>
    <row r="415" spans="1:13" ht="15.75" customHeight="1">
      <c r="A415" s="19" t="s">
        <v>865</v>
      </c>
      <c r="B415" s="17" t="s">
        <v>866</v>
      </c>
      <c r="C415" s="63" t="s">
        <v>17</v>
      </c>
      <c r="D415" s="71"/>
      <c r="E415" s="78" t="s">
        <v>867</v>
      </c>
      <c r="F415" s="63"/>
      <c r="G415" s="72"/>
      <c r="H415" s="107">
        <f>VLOOKUP(M415,'Listado Precios'!$A:$C,3,0)</f>
        <v>8000</v>
      </c>
      <c r="I415" s="107">
        <f>VLOOKUP(M415,'Listado Precios'!$A:$C,2,0)</f>
        <v>5280</v>
      </c>
      <c r="J415" s="99">
        <v>45536</v>
      </c>
      <c r="K415" s="61"/>
      <c r="M415" s="16" t="str">
        <f>CONCATENATE(Registro!$C415,Registro!$D415)</f>
        <v>Spotify</v>
      </c>
    </row>
    <row r="416" spans="1:13" ht="15.75" customHeight="1">
      <c r="A416" s="126" t="s">
        <v>868</v>
      </c>
      <c r="B416" s="169" t="s">
        <v>869</v>
      </c>
      <c r="C416" s="71" t="s">
        <v>25</v>
      </c>
      <c r="D416" s="63" t="s">
        <v>14</v>
      </c>
      <c r="E416" s="54" t="s">
        <v>870</v>
      </c>
      <c r="F416" s="54" t="s">
        <v>871</v>
      </c>
      <c r="G416" s="54">
        <v>0</v>
      </c>
      <c r="H416" s="107">
        <f>VLOOKUP(M416,'Listado Precios'!$A:$C,3,0)</f>
        <v>8000</v>
      </c>
      <c r="I416" s="107">
        <f>VLOOKUP(M416,'Listado Precios'!$A:$C,2,0)</f>
        <v>5000</v>
      </c>
      <c r="J416" s="99">
        <v>45536</v>
      </c>
      <c r="K416" s="61"/>
      <c r="M416" s="16" t="str">
        <f>CONCATENATE(Registro!$C416,Registro!$D416)</f>
        <v>HBO1 pantalla</v>
      </c>
    </row>
    <row r="417" spans="1:13" ht="15.75" customHeight="1">
      <c r="A417" s="7" t="s">
        <v>122</v>
      </c>
      <c r="B417" s="8" t="s">
        <v>872</v>
      </c>
      <c r="C417" s="71" t="s">
        <v>22</v>
      </c>
      <c r="D417" s="63" t="s">
        <v>14</v>
      </c>
      <c r="E417" s="64" t="s">
        <v>873</v>
      </c>
      <c r="F417" s="63" t="s">
        <v>874</v>
      </c>
      <c r="G417" s="68"/>
      <c r="H417" s="107">
        <f>VLOOKUP(M417,'Listado Precios'!$A:$C,3,0)</f>
        <v>13000</v>
      </c>
      <c r="I417" s="107">
        <f>VLOOKUP(M417,'Listado Precios'!$A:$C,2,0)</f>
        <v>7600</v>
      </c>
      <c r="J417" s="99">
        <v>45536</v>
      </c>
      <c r="K417" s="61"/>
      <c r="M417" s="16" t="str">
        <f>CONCATENATE(Registro!$C417,Registro!$D417)</f>
        <v>Netflix1 pantalla</v>
      </c>
    </row>
    <row r="418" spans="1:13" ht="15.75" customHeight="1">
      <c r="A418" s="7" t="s">
        <v>875</v>
      </c>
      <c r="B418" s="8" t="s">
        <v>876</v>
      </c>
      <c r="C418" s="71" t="s">
        <v>22</v>
      </c>
      <c r="D418" s="80" t="s">
        <v>14</v>
      </c>
      <c r="E418" s="119" t="s">
        <v>185</v>
      </c>
      <c r="F418" s="63" t="s">
        <v>186</v>
      </c>
      <c r="G418" s="72"/>
      <c r="H418" s="107">
        <f>VLOOKUP(M418,'Listado Precios'!$A:$C,3,0)</f>
        <v>13000</v>
      </c>
      <c r="I418" s="107">
        <f>VLOOKUP(M418,'Listado Precios'!$A:$C,2,0)</f>
        <v>7600</v>
      </c>
      <c r="J418" s="99">
        <v>45536</v>
      </c>
      <c r="K418" s="61"/>
      <c r="M418" s="16" t="str">
        <f>CONCATENATE(Registro!$C418,Registro!$D418)</f>
        <v>Netflix1 pantalla</v>
      </c>
    </row>
    <row r="419" spans="1:13" ht="15.75" customHeight="1">
      <c r="A419" s="19" t="s">
        <v>877</v>
      </c>
      <c r="B419" s="17">
        <v>3003210220</v>
      </c>
      <c r="C419" s="63" t="s">
        <v>22</v>
      </c>
      <c r="D419" s="71" t="s">
        <v>14</v>
      </c>
      <c r="E419" s="113" t="s">
        <v>878</v>
      </c>
      <c r="F419" s="63" t="s">
        <v>879</v>
      </c>
      <c r="G419" s="72" t="s">
        <v>880</v>
      </c>
      <c r="H419" s="107">
        <f>VLOOKUP(M419,'Listado Precios'!$A:$C,3,0)</f>
        <v>13000</v>
      </c>
      <c r="I419" s="107">
        <f>VLOOKUP(M419,'Listado Precios'!$A:$C,2,0)</f>
        <v>7600</v>
      </c>
      <c r="J419" s="99">
        <v>45536</v>
      </c>
      <c r="K419" s="86"/>
      <c r="M419" s="16" t="str">
        <f>CONCATENATE(Registro!$C419,Registro!$D419)</f>
        <v>Netflix1 pantalla</v>
      </c>
    </row>
    <row r="420" spans="1:13" ht="15.75" customHeight="1">
      <c r="A420" s="19" t="s">
        <v>881</v>
      </c>
      <c r="B420" s="17" t="s">
        <v>882</v>
      </c>
      <c r="C420" s="63" t="s">
        <v>263</v>
      </c>
      <c r="D420" s="71" t="s">
        <v>14</v>
      </c>
      <c r="E420" s="78" t="s">
        <v>883</v>
      </c>
      <c r="F420" s="63" t="s">
        <v>884</v>
      </c>
      <c r="G420" s="72"/>
      <c r="H420" s="107">
        <f>VLOOKUP(M420,'Listado Precios'!$A:$C,3,0)</f>
        <v>8000</v>
      </c>
      <c r="I420" s="107">
        <f>VLOOKUP(M420,'Listado Precios'!$A:$C,2,0)</f>
        <v>5000</v>
      </c>
      <c r="J420" s="99">
        <v>45536</v>
      </c>
      <c r="K420" s="61"/>
      <c r="M420" s="16" t="str">
        <f>CONCATENATE(Registro!$C420,Registro!$D420)</f>
        <v>Vix1 pantalla</v>
      </c>
    </row>
    <row r="421" spans="1:13" ht="15.75" customHeight="1">
      <c r="A421" s="19" t="s">
        <v>885</v>
      </c>
      <c r="B421" s="17" t="s">
        <v>886</v>
      </c>
      <c r="C421" s="63" t="s">
        <v>460</v>
      </c>
      <c r="D421" s="71" t="s">
        <v>14</v>
      </c>
      <c r="E421" s="78" t="s">
        <v>887</v>
      </c>
      <c r="F421" s="63" t="s">
        <v>888</v>
      </c>
      <c r="G421" s="72" t="s">
        <v>889</v>
      </c>
      <c r="H421" s="107">
        <f>VLOOKUP(M421,'Listado Precios'!$A:$C,3,0)</f>
        <v>10000</v>
      </c>
      <c r="I421" s="107">
        <f>VLOOKUP(M421,'Listado Precios'!$A:$C,2,0)</f>
        <v>5000</v>
      </c>
      <c r="J421" s="115">
        <v>45536</v>
      </c>
      <c r="K421" s="86"/>
      <c r="M421" s="16" t="str">
        <f>CONCATENATE(Registro!$C421,Registro!$D421)</f>
        <v>DisneyE1 pantalla</v>
      </c>
    </row>
    <row r="422" spans="1:13" ht="15.75" customHeight="1">
      <c r="A422" s="7" t="s">
        <v>890</v>
      </c>
      <c r="B422" s="8" t="s">
        <v>891</v>
      </c>
      <c r="C422" s="71" t="s">
        <v>17</v>
      </c>
      <c r="D422" s="63"/>
      <c r="E422" s="64" t="s">
        <v>890</v>
      </c>
      <c r="F422" s="63" t="s">
        <v>84</v>
      </c>
      <c r="G422" s="68"/>
      <c r="H422" s="107">
        <f>VLOOKUP(M422,'Listado Precios'!$A:$C,3,0)</f>
        <v>8000</v>
      </c>
      <c r="I422" s="107">
        <f>VLOOKUP(M422,'Listado Precios'!$A:$C,2,0)</f>
        <v>5280</v>
      </c>
      <c r="J422" s="115">
        <v>45536</v>
      </c>
      <c r="K422" s="61"/>
      <c r="M422" s="16" t="str">
        <f>CONCATENATE(Registro!$C422,Registro!$D422)</f>
        <v>Spotify</v>
      </c>
    </row>
    <row r="423" spans="1:13" ht="15.75" customHeight="1">
      <c r="A423" s="19" t="s">
        <v>892</v>
      </c>
      <c r="B423" s="17" t="s">
        <v>893</v>
      </c>
      <c r="C423" s="63" t="s">
        <v>17</v>
      </c>
      <c r="D423" s="71"/>
      <c r="E423" s="78" t="s">
        <v>894</v>
      </c>
      <c r="F423" s="63"/>
      <c r="G423" s="72"/>
      <c r="H423" s="107">
        <f>VLOOKUP(M423,'Listado Precios'!$A:$C,3,0)</f>
        <v>8000</v>
      </c>
      <c r="I423" s="107">
        <f>VLOOKUP(M423,'Listado Precios'!$A:$C,2,0)</f>
        <v>5280</v>
      </c>
      <c r="J423" s="115">
        <v>45536</v>
      </c>
      <c r="K423" s="86"/>
      <c r="M423" s="16" t="str">
        <f>CONCATENATE(Registro!$C423,Registro!$D423)</f>
        <v>Spotify</v>
      </c>
    </row>
    <row r="424" spans="1:13" ht="15.75" customHeight="1">
      <c r="A424" s="7" t="s">
        <v>895</v>
      </c>
      <c r="B424" s="7" t="s">
        <v>896</v>
      </c>
      <c r="C424" s="117" t="s">
        <v>22</v>
      </c>
      <c r="D424" s="63" t="s">
        <v>14</v>
      </c>
      <c r="E424" s="78" t="s">
        <v>897</v>
      </c>
      <c r="F424" s="63" t="s">
        <v>898</v>
      </c>
      <c r="G424" s="72"/>
      <c r="H424" s="107">
        <f>VLOOKUP(M424,'Listado Precios'!$A:$C,3,0)</f>
        <v>13000</v>
      </c>
      <c r="I424" s="107">
        <f>VLOOKUP(M424,'Listado Precios'!$A:$C,2,0)</f>
        <v>7600</v>
      </c>
      <c r="J424" s="115">
        <v>45536</v>
      </c>
      <c r="K424" s="61"/>
      <c r="M424" s="16" t="str">
        <f>CONCATENATE(Registro!$C424,Registro!$D424)</f>
        <v>Netflix1 pantalla</v>
      </c>
    </row>
    <row r="425" spans="1:13" ht="15.75" customHeight="1">
      <c r="A425" s="66" t="s">
        <v>899</v>
      </c>
      <c r="B425" s="66" t="s">
        <v>900</v>
      </c>
      <c r="C425" s="7" t="s">
        <v>43</v>
      </c>
      <c r="D425" s="71" t="s">
        <v>14</v>
      </c>
      <c r="E425" s="92" t="s">
        <v>901</v>
      </c>
      <c r="F425" s="92" t="s">
        <v>864</v>
      </c>
      <c r="G425" s="92">
        <v>1212</v>
      </c>
      <c r="H425" s="107">
        <f>VLOOKUP(M425,'Listado Precios'!$A:$C,3,0)</f>
        <v>12000</v>
      </c>
      <c r="I425" s="107">
        <f>VLOOKUP(M425,'Listado Precios'!$A:$C,2,0)</f>
        <v>7000</v>
      </c>
      <c r="J425" s="115">
        <v>45536</v>
      </c>
      <c r="K425" s="61"/>
      <c r="M425" s="16" t="str">
        <f>CONCATENATE(Registro!$C425,Registro!$D425)</f>
        <v>DisneyP1 pantalla</v>
      </c>
    </row>
    <row r="426" spans="1:13" ht="15.75" customHeight="1">
      <c r="A426" s="19" t="s">
        <v>902</v>
      </c>
      <c r="B426" s="17" t="s">
        <v>903</v>
      </c>
      <c r="C426" s="7" t="s">
        <v>805</v>
      </c>
      <c r="D426" s="71" t="s">
        <v>14</v>
      </c>
      <c r="E426" s="78" t="s">
        <v>904</v>
      </c>
      <c r="F426" s="63" t="s">
        <v>905</v>
      </c>
      <c r="G426" s="72" t="s">
        <v>906</v>
      </c>
      <c r="H426" s="107">
        <f>VLOOKUP(M426,'Listado Precios'!$A:$C,3,0)</f>
        <v>20000</v>
      </c>
      <c r="I426" s="107">
        <f>VLOOKUP(M426,'Listado Precios'!$A:$C,2,0)</f>
        <v>14000</v>
      </c>
      <c r="J426" s="115">
        <v>45536</v>
      </c>
      <c r="K426" s="61"/>
      <c r="M426" s="16" t="str">
        <f>CONCATENATE(Registro!$C426,Registro!$D426)</f>
        <v>Claro Video1 pantalla</v>
      </c>
    </row>
    <row r="427" spans="1:13" ht="15.75" customHeight="1">
      <c r="A427" s="7" t="s">
        <v>907</v>
      </c>
      <c r="B427" s="7" t="s">
        <v>908</v>
      </c>
      <c r="C427" s="117" t="s">
        <v>571</v>
      </c>
      <c r="D427" s="63" t="s">
        <v>14</v>
      </c>
      <c r="E427" s="78" t="s">
        <v>909</v>
      </c>
      <c r="F427" s="63" t="s">
        <v>910</v>
      </c>
      <c r="G427" s="72"/>
      <c r="H427" s="107">
        <f>VLOOKUP(M427,'Listado Precios'!$A:$C,3,0)</f>
        <v>10000</v>
      </c>
      <c r="I427" s="107">
        <f>VLOOKUP(M427,'Listado Precios'!$A:$C,2,0)</f>
        <v>4500</v>
      </c>
      <c r="J427" s="115">
        <v>45536</v>
      </c>
      <c r="K427" s="61"/>
      <c r="M427" s="16" t="str">
        <f>CONCATENATE(Registro!$C427,Registro!$D427)</f>
        <v>IPTV1 pantalla</v>
      </c>
    </row>
    <row r="428" spans="1:13" ht="15.75" customHeight="1">
      <c r="A428" s="19" t="s">
        <v>911</v>
      </c>
      <c r="B428" s="17" t="s">
        <v>912</v>
      </c>
      <c r="C428" s="7" t="s">
        <v>571</v>
      </c>
      <c r="D428" s="71" t="s">
        <v>14</v>
      </c>
      <c r="E428" s="78"/>
      <c r="F428" s="63"/>
      <c r="G428" s="72"/>
      <c r="H428" s="107">
        <f>VLOOKUP(M428,'Listado Precios'!$A:$C,3,0)</f>
        <v>10000</v>
      </c>
      <c r="I428" s="107">
        <f>VLOOKUP(M428,'Listado Precios'!$A:$C,2,0)</f>
        <v>4500</v>
      </c>
      <c r="J428" s="115">
        <v>45536</v>
      </c>
      <c r="K428" s="61"/>
      <c r="M428" s="16" t="str">
        <f>CONCATENATE(Registro!$C428,Registro!$D428)</f>
        <v>IPTV1 pantalla</v>
      </c>
    </row>
    <row r="429" spans="1:13" ht="15.75" customHeight="1">
      <c r="A429" s="19" t="s">
        <v>913</v>
      </c>
      <c r="B429" s="19" t="s">
        <v>914</v>
      </c>
      <c r="C429" s="7" t="s">
        <v>571</v>
      </c>
      <c r="D429" s="71" t="s">
        <v>14</v>
      </c>
      <c r="E429" s="78"/>
      <c r="F429" s="63"/>
      <c r="G429" s="72"/>
      <c r="H429" s="107">
        <f>VLOOKUP(M429,'Listado Precios'!$A:$C,3,0)</f>
        <v>10000</v>
      </c>
      <c r="I429" s="107">
        <f>VLOOKUP(M429,'Listado Precios'!$A:$C,2,0)</f>
        <v>4500</v>
      </c>
      <c r="J429" s="115">
        <v>45536</v>
      </c>
      <c r="K429" s="61"/>
      <c r="M429" s="16" t="str">
        <f>CONCATENATE(Registro!$C429,Registro!$D429)</f>
        <v>IPTV1 pantalla</v>
      </c>
    </row>
    <row r="430" spans="1:13" ht="15.75" customHeight="1">
      <c r="A430" s="19" t="s">
        <v>915</v>
      </c>
      <c r="B430" s="19" t="s">
        <v>916</v>
      </c>
      <c r="C430" s="7" t="s">
        <v>13</v>
      </c>
      <c r="D430" s="71" t="s">
        <v>14</v>
      </c>
      <c r="E430" s="78" t="s">
        <v>917</v>
      </c>
      <c r="F430" s="63" t="s">
        <v>918</v>
      </c>
      <c r="G430" s="72"/>
      <c r="H430" s="107">
        <f>VLOOKUP(M430,'Listado Precios'!$A:$C,3,0)</f>
        <v>8000</v>
      </c>
      <c r="I430" s="107">
        <f>VLOOKUP(M430,'Listado Precios'!$A:$C,2,0)</f>
        <v>5000</v>
      </c>
      <c r="J430" s="115">
        <v>45536</v>
      </c>
      <c r="K430" s="86"/>
      <c r="M430" s="16" t="str">
        <f>CONCATENATE(Registro!$C430,Registro!$D430)</f>
        <v>PrimeVideo1 pantalla</v>
      </c>
    </row>
    <row r="431" spans="1:13" ht="15.75" customHeight="1">
      <c r="A431" s="7" t="s">
        <v>919</v>
      </c>
      <c r="B431" s="7" t="s">
        <v>920</v>
      </c>
      <c r="C431" s="117" t="s">
        <v>22</v>
      </c>
      <c r="D431" s="63" t="s">
        <v>14</v>
      </c>
      <c r="E431" s="78" t="s">
        <v>921</v>
      </c>
      <c r="F431" s="63" t="s">
        <v>127</v>
      </c>
      <c r="G431" s="72"/>
      <c r="H431" s="107">
        <f>VLOOKUP(M431,'Listado Precios'!$A:$C,3,0)</f>
        <v>13000</v>
      </c>
      <c r="I431" s="107">
        <f>VLOOKUP(M431,'Listado Precios'!$A:$C,2,0)</f>
        <v>7600</v>
      </c>
      <c r="J431" s="115">
        <v>45536</v>
      </c>
      <c r="K431" s="61"/>
      <c r="M431" s="16" t="str">
        <f>CONCATENATE(Registro!$C431,Registro!$D431)</f>
        <v>Netflix1 pantalla</v>
      </c>
    </row>
    <row r="432" spans="1:13" ht="15.75" customHeight="1">
      <c r="A432" s="7" t="s">
        <v>922</v>
      </c>
      <c r="B432" s="7" t="s">
        <v>923</v>
      </c>
      <c r="C432" s="7" t="s">
        <v>13</v>
      </c>
      <c r="D432" s="63" t="s">
        <v>14</v>
      </c>
      <c r="E432" s="131" t="s">
        <v>924</v>
      </c>
      <c r="F432" s="63" t="s">
        <v>925</v>
      </c>
      <c r="G432" s="72" t="s">
        <v>678</v>
      </c>
      <c r="H432" s="107">
        <f>VLOOKUP(M432,'Listado Precios'!$A:$C,3,0)</f>
        <v>8000</v>
      </c>
      <c r="I432" s="107">
        <f>VLOOKUP(M432,'Listado Precios'!$A:$C,2,0)</f>
        <v>5000</v>
      </c>
      <c r="J432" s="115">
        <v>45536</v>
      </c>
      <c r="K432" s="61"/>
      <c r="M432" s="16" t="str">
        <f>CONCATENATE(Registro!$C432,Registro!$D432)</f>
        <v>PrimeVideo1 pantalla</v>
      </c>
    </row>
    <row r="433" spans="1:13" ht="15.75" customHeight="1">
      <c r="A433" s="7" t="s">
        <v>926</v>
      </c>
      <c r="B433" s="7" t="s">
        <v>927</v>
      </c>
      <c r="C433" s="117" t="s">
        <v>13</v>
      </c>
      <c r="D433" s="63" t="s">
        <v>14</v>
      </c>
      <c r="E433" s="64"/>
      <c r="F433" s="63"/>
      <c r="G433" s="68" t="s">
        <v>492</v>
      </c>
      <c r="H433" s="107">
        <f>VLOOKUP(M433,'Listado Precios'!$A:$C,3,0)</f>
        <v>8000</v>
      </c>
      <c r="I433" s="107">
        <f>VLOOKUP(M433,'Listado Precios'!$A:$C,2,0)</f>
        <v>5000</v>
      </c>
      <c r="J433" s="115">
        <v>45536</v>
      </c>
      <c r="K433" s="61"/>
      <c r="M433" s="16" t="str">
        <f>CONCATENATE(Registro!$C433,Registro!$D433)</f>
        <v>PrimeVideo1 pantalla</v>
      </c>
    </row>
    <row r="434" spans="1:13" ht="15.75" customHeight="1">
      <c r="A434" s="7" t="s">
        <v>928</v>
      </c>
      <c r="B434" s="7" t="s">
        <v>929</v>
      </c>
      <c r="C434" s="117" t="s">
        <v>571</v>
      </c>
      <c r="D434" s="63" t="s">
        <v>14</v>
      </c>
      <c r="E434" s="78" t="s">
        <v>584</v>
      </c>
      <c r="F434" s="63" t="s">
        <v>585</v>
      </c>
      <c r="G434" s="72"/>
      <c r="H434" s="107">
        <f>VLOOKUP(M434,'Listado Precios'!$A:$C,3,0)</f>
        <v>10000</v>
      </c>
      <c r="I434" s="107">
        <f>VLOOKUP(M434,'Listado Precios'!$A:$C,2,0)</f>
        <v>4500</v>
      </c>
      <c r="J434" s="115">
        <v>45536</v>
      </c>
      <c r="K434" s="61"/>
      <c r="M434" s="16" t="str">
        <f>CONCATENATE(Registro!$C434,Registro!$D434)</f>
        <v>IPTV1 pantalla</v>
      </c>
    </row>
    <row r="435" spans="1:13" ht="15.75" customHeight="1">
      <c r="A435" s="7" t="s">
        <v>930</v>
      </c>
      <c r="B435" s="7" t="s">
        <v>931</v>
      </c>
      <c r="C435" s="117" t="s">
        <v>571</v>
      </c>
      <c r="D435" s="80" t="s">
        <v>38</v>
      </c>
      <c r="E435" s="74"/>
      <c r="F435" s="63"/>
      <c r="G435" s="72" t="s">
        <v>932</v>
      </c>
      <c r="H435" s="107">
        <f>VLOOKUP(M435,'Listado Precios'!$A:$C,3,0)</f>
        <v>20000</v>
      </c>
      <c r="I435" s="107">
        <f>VLOOKUP(M435,'Listado Precios'!$A:$C,2,0)</f>
        <v>13500</v>
      </c>
      <c r="J435" s="115">
        <v>45536</v>
      </c>
      <c r="K435" s="61"/>
      <c r="M435" s="16" t="str">
        <f>CONCATENATE(Registro!$C435,Registro!$D435)</f>
        <v>IPTVCompleta</v>
      </c>
    </row>
    <row r="436" spans="1:13" ht="15.75" customHeight="1">
      <c r="A436" s="19" t="s">
        <v>933</v>
      </c>
      <c r="B436" s="17" t="s">
        <v>934</v>
      </c>
      <c r="C436" s="7" t="s">
        <v>22</v>
      </c>
      <c r="D436" s="71" t="s">
        <v>14</v>
      </c>
      <c r="E436" s="78" t="s">
        <v>935</v>
      </c>
      <c r="F436" s="63" t="s">
        <v>936</v>
      </c>
      <c r="G436" s="72" t="s">
        <v>492</v>
      </c>
      <c r="H436" s="107">
        <f>VLOOKUP(M436,'Listado Precios'!$A:$C,3,0)</f>
        <v>13000</v>
      </c>
      <c r="I436" s="107">
        <f>VLOOKUP(M436,'Listado Precios'!$A:$C,2,0)</f>
        <v>7600</v>
      </c>
      <c r="J436" s="115">
        <v>45536</v>
      </c>
      <c r="K436" s="61"/>
      <c r="M436" s="16" t="str">
        <f>CONCATENATE(Registro!$C436,Registro!$D436)</f>
        <v>Netflix1 pantalla</v>
      </c>
    </row>
    <row r="437" spans="1:13" ht="15.75" customHeight="1">
      <c r="A437" s="19" t="s">
        <v>937</v>
      </c>
      <c r="B437" s="19" t="s">
        <v>938</v>
      </c>
      <c r="C437" s="117" t="s">
        <v>460</v>
      </c>
      <c r="D437" s="71" t="s">
        <v>14</v>
      </c>
      <c r="E437" s="64" t="s">
        <v>939</v>
      </c>
      <c r="F437" s="64" t="s">
        <v>940</v>
      </c>
      <c r="G437" s="64">
        <v>1616</v>
      </c>
      <c r="H437" s="107">
        <f>VLOOKUP(M437,'Listado Precios'!$A:$C,3,0)</f>
        <v>10000</v>
      </c>
      <c r="I437" s="107">
        <f>VLOOKUP(M437,'Listado Precios'!$A:$C,2,0)</f>
        <v>5000</v>
      </c>
      <c r="J437" s="115">
        <v>45536</v>
      </c>
      <c r="K437" s="61"/>
      <c r="M437" s="16" t="str">
        <f>CONCATENATE(Registro!$C437,Registro!$D437)</f>
        <v>DisneyE1 pantalla</v>
      </c>
    </row>
    <row r="438" spans="1:13" ht="15.75" customHeight="1">
      <c r="A438" s="19" t="s">
        <v>941</v>
      </c>
      <c r="B438" s="19" t="s">
        <v>942</v>
      </c>
      <c r="C438" s="7" t="s">
        <v>825</v>
      </c>
      <c r="D438" s="71" t="s">
        <v>14</v>
      </c>
      <c r="E438" s="78" t="s">
        <v>943</v>
      </c>
      <c r="F438" s="63" t="s">
        <v>944</v>
      </c>
      <c r="G438" s="72"/>
      <c r="H438" s="107">
        <f>VLOOKUP(M438,'Listado Precios'!$A:$C,3,0)</f>
        <v>12000</v>
      </c>
      <c r="I438" s="107">
        <f>VLOOKUP(M438,'Listado Precios'!$A:$C,2,0)</f>
        <v>6000</v>
      </c>
      <c r="J438" s="115">
        <v>45536</v>
      </c>
      <c r="K438" s="52"/>
      <c r="M438" s="16" t="str">
        <f>CONCATENATE(Registro!$C438,Registro!$D438)</f>
        <v>Profenet1 pantalla</v>
      </c>
    </row>
    <row r="439" spans="1:13" ht="15.75" customHeight="1">
      <c r="A439" s="19" t="s">
        <v>945</v>
      </c>
      <c r="B439" s="19" t="s">
        <v>946</v>
      </c>
      <c r="C439" s="117" t="s">
        <v>43</v>
      </c>
      <c r="D439" s="80" t="s">
        <v>14</v>
      </c>
      <c r="E439" s="64" t="s">
        <v>947</v>
      </c>
      <c r="F439" s="63" t="s">
        <v>948</v>
      </c>
      <c r="G439" s="72" t="s">
        <v>492</v>
      </c>
      <c r="H439" s="107">
        <f>VLOOKUP(M439,'Listado Precios'!$A:$C,3,0)</f>
        <v>12000</v>
      </c>
      <c r="I439" s="107">
        <f>VLOOKUP(M439,'Listado Precios'!$A:$C,2,0)</f>
        <v>7000</v>
      </c>
      <c r="J439" s="115">
        <v>45536</v>
      </c>
      <c r="K439" s="61"/>
      <c r="M439" s="16" t="str">
        <f>CONCATENATE(Registro!$C439,Registro!$D439)</f>
        <v>DisneyP1 pantalla</v>
      </c>
    </row>
    <row r="440" spans="1:13" ht="15.75" customHeight="1">
      <c r="A440" s="19" t="s">
        <v>949</v>
      </c>
      <c r="B440" s="19" t="s">
        <v>950</v>
      </c>
      <c r="C440" s="7" t="s">
        <v>571</v>
      </c>
      <c r="D440" s="71" t="s">
        <v>14</v>
      </c>
      <c r="E440" s="78"/>
      <c r="F440" s="63"/>
      <c r="G440" s="72"/>
      <c r="H440" s="107">
        <f>VLOOKUP(M440,'Listado Precios'!$A:$C,3,0)</f>
        <v>10000</v>
      </c>
      <c r="I440" s="107">
        <f>VLOOKUP(M440,'Listado Precios'!$A:$C,2,0)</f>
        <v>4500</v>
      </c>
      <c r="J440" s="115">
        <v>45536</v>
      </c>
      <c r="K440" s="61"/>
      <c r="M440" s="16" t="str">
        <f>CONCATENATE(Registro!$C440,Registro!$D440)</f>
        <v>IPTV1 pantalla</v>
      </c>
    </row>
    <row r="441" spans="1:13" ht="15.75" customHeight="1">
      <c r="A441" s="63" t="s">
        <v>951</v>
      </c>
      <c r="B441" s="63" t="s">
        <v>950</v>
      </c>
      <c r="C441" s="117" t="s">
        <v>17</v>
      </c>
      <c r="D441" s="80"/>
      <c r="E441" s="74" t="s">
        <v>952</v>
      </c>
      <c r="F441" s="63"/>
      <c r="G441" s="72"/>
      <c r="H441" s="107">
        <f>VLOOKUP(M441,'Listado Precios'!$A:$C,3,0)</f>
        <v>8000</v>
      </c>
      <c r="I441" s="107">
        <f>VLOOKUP(M441,'Listado Precios'!$A:$C,2,0)</f>
        <v>5280</v>
      </c>
      <c r="J441" s="115">
        <v>45536</v>
      </c>
      <c r="K441" s="61"/>
      <c r="M441" s="16" t="str">
        <f>CONCATENATE(Registro!$C441,Registro!$D441)</f>
        <v>Spotify</v>
      </c>
    </row>
    <row r="442" spans="1:13" ht="15.75" customHeight="1">
      <c r="A442" s="19" t="s">
        <v>953</v>
      </c>
      <c r="B442" s="17" t="s">
        <v>954</v>
      </c>
      <c r="C442" s="7" t="s">
        <v>571</v>
      </c>
      <c r="D442" s="71" t="s">
        <v>14</v>
      </c>
      <c r="E442" s="78"/>
      <c r="F442" s="63"/>
      <c r="G442" s="72"/>
      <c r="H442" s="107">
        <f>VLOOKUP(M442,'Listado Precios'!$A:$C,3,0)</f>
        <v>10000</v>
      </c>
      <c r="I442" s="107">
        <f>VLOOKUP(M442,'Listado Precios'!$A:$C,2,0)</f>
        <v>4500</v>
      </c>
      <c r="J442" s="115">
        <v>45536</v>
      </c>
      <c r="K442" s="61"/>
      <c r="M442" s="16" t="str">
        <f>CONCATENATE(Registro!$C442,Registro!$D442)</f>
        <v>IPTV1 pantalla</v>
      </c>
    </row>
    <row r="443" spans="1:13" ht="15.75" customHeight="1">
      <c r="A443" s="19" t="s">
        <v>569</v>
      </c>
      <c r="B443" s="19" t="s">
        <v>955</v>
      </c>
      <c r="C443" s="7" t="s">
        <v>571</v>
      </c>
      <c r="D443" s="71" t="s">
        <v>14</v>
      </c>
      <c r="E443" s="78"/>
      <c r="F443" s="63"/>
      <c r="G443" s="72"/>
      <c r="H443" s="107">
        <f>VLOOKUP(M443,'Listado Precios'!$A:$C,3,0)</f>
        <v>10000</v>
      </c>
      <c r="I443" s="107">
        <f>VLOOKUP(M443,'Listado Precios'!$A:$C,2,0)</f>
        <v>4500</v>
      </c>
      <c r="J443" s="115">
        <v>45536</v>
      </c>
      <c r="K443" s="61"/>
      <c r="M443" s="16" t="str">
        <f>CONCATENATE(Registro!$C443,Registro!$D443)</f>
        <v>IPTV1 pantalla</v>
      </c>
    </row>
    <row r="444" spans="1:13" ht="15.75" customHeight="1">
      <c r="A444" s="19" t="s">
        <v>956</v>
      </c>
      <c r="B444" s="17" t="s">
        <v>957</v>
      </c>
      <c r="C444" s="7" t="s">
        <v>17</v>
      </c>
      <c r="D444" s="71"/>
      <c r="E444" s="78" t="s">
        <v>958</v>
      </c>
      <c r="F444" s="63" t="s">
        <v>164</v>
      </c>
      <c r="G444" s="72"/>
      <c r="H444" s="107">
        <f>VLOOKUP(M444,'Listado Precios'!$A:$C,3,0)</f>
        <v>8000</v>
      </c>
      <c r="I444" s="107">
        <f>VLOOKUP(M444,'Listado Precios'!$A:$C,2,0)</f>
        <v>5280</v>
      </c>
      <c r="J444" s="115">
        <v>45536</v>
      </c>
      <c r="K444" s="61"/>
      <c r="M444" s="16" t="str">
        <f>CONCATENATE(Registro!$C444,Registro!$D444)</f>
        <v>Spotify</v>
      </c>
    </row>
    <row r="445" spans="1:13" ht="15.75" customHeight="1">
      <c r="A445" s="19" t="s">
        <v>959</v>
      </c>
      <c r="B445" s="19" t="s">
        <v>960</v>
      </c>
      <c r="C445" s="7" t="s">
        <v>17</v>
      </c>
      <c r="D445" s="71"/>
      <c r="E445" s="78" t="s">
        <v>961</v>
      </c>
      <c r="F445" s="63" t="s">
        <v>164</v>
      </c>
      <c r="G445" s="72"/>
      <c r="H445" s="107">
        <f>VLOOKUP(M445,'Listado Precios'!$A:$C,3,0)</f>
        <v>8000</v>
      </c>
      <c r="I445" s="107">
        <f>VLOOKUP(M445,'Listado Precios'!$A:$C,2,0)</f>
        <v>5280</v>
      </c>
      <c r="J445" s="115">
        <v>45536</v>
      </c>
      <c r="K445" s="86"/>
      <c r="M445" s="16" t="str">
        <f>CONCATENATE(Registro!$C445,Registro!$D445)</f>
        <v>Spotify</v>
      </c>
    </row>
    <row r="446" spans="1:13" ht="15.75" customHeight="1">
      <c r="A446" s="7" t="s">
        <v>962</v>
      </c>
      <c r="B446" s="7" t="s">
        <v>963</v>
      </c>
      <c r="C446" s="117" t="s">
        <v>17</v>
      </c>
      <c r="D446" s="63"/>
      <c r="E446" s="64"/>
      <c r="F446" s="63" t="s">
        <v>164</v>
      </c>
      <c r="G446" s="68"/>
      <c r="H446" s="107">
        <f>VLOOKUP(M446,'Listado Precios'!$A:$C,3,0)</f>
        <v>8000</v>
      </c>
      <c r="I446" s="107">
        <f>VLOOKUP(M446,'Listado Precios'!$A:$C,2,0)</f>
        <v>5280</v>
      </c>
      <c r="J446" s="115">
        <v>45536</v>
      </c>
      <c r="K446" s="61"/>
      <c r="M446" s="16" t="str">
        <f>CONCATENATE(Registro!$C446,Registro!$D446)</f>
        <v>Spotify</v>
      </c>
    </row>
    <row r="447" spans="1:13" ht="15.75" customHeight="1">
      <c r="A447" s="19" t="s">
        <v>964</v>
      </c>
      <c r="B447" s="19" t="s">
        <v>965</v>
      </c>
      <c r="C447" s="7" t="s">
        <v>571</v>
      </c>
      <c r="D447" s="71" t="s">
        <v>14</v>
      </c>
      <c r="E447" s="78"/>
      <c r="F447" s="63"/>
      <c r="G447" s="72"/>
      <c r="H447" s="107">
        <f>VLOOKUP(M447,'Listado Precios'!$A:$C,3,0)</f>
        <v>10000</v>
      </c>
      <c r="I447" s="107">
        <f>VLOOKUP(M447,'Listado Precios'!$A:$C,2,0)</f>
        <v>4500</v>
      </c>
      <c r="J447" s="115">
        <v>45536</v>
      </c>
      <c r="K447" s="61"/>
      <c r="M447" s="16" t="str">
        <f>CONCATENATE(Registro!$C447,Registro!$D447)</f>
        <v>IPTV1 pantalla</v>
      </c>
    </row>
    <row r="448" spans="1:13" ht="15.75" customHeight="1">
      <c r="A448" s="19" t="s">
        <v>966</v>
      </c>
      <c r="B448" s="19" t="s">
        <v>967</v>
      </c>
      <c r="C448" s="7" t="s">
        <v>17</v>
      </c>
      <c r="D448" s="71"/>
      <c r="E448" s="78" t="s">
        <v>968</v>
      </c>
      <c r="F448" s="63" t="s">
        <v>47</v>
      </c>
      <c r="G448" s="72"/>
      <c r="H448" s="107">
        <f>VLOOKUP(M448,'Listado Precios'!$A:$C,3,0)</f>
        <v>8000</v>
      </c>
      <c r="I448" s="107">
        <f>VLOOKUP(M448,'Listado Precios'!$A:$C,2,0)</f>
        <v>5280</v>
      </c>
      <c r="J448" s="115">
        <v>45536</v>
      </c>
      <c r="K448" s="86"/>
      <c r="M448" s="16" t="str">
        <f>CONCATENATE(Registro!$C448,Registro!$D448)</f>
        <v>Spotify</v>
      </c>
    </row>
    <row r="449" spans="1:13" ht="15.75" customHeight="1">
      <c r="A449" s="19" t="s">
        <v>969</v>
      </c>
      <c r="B449" s="7" t="s">
        <v>970</v>
      </c>
      <c r="C449" s="117" t="s">
        <v>571</v>
      </c>
      <c r="D449" s="80" t="s">
        <v>14</v>
      </c>
      <c r="E449" s="74"/>
      <c r="F449" s="63"/>
      <c r="G449" s="72" t="s">
        <v>778</v>
      </c>
      <c r="H449" s="107">
        <f>VLOOKUP(M449,'Listado Precios'!$A:$C,3,0)</f>
        <v>10000</v>
      </c>
      <c r="I449" s="107">
        <f>VLOOKUP(M449,'Listado Precios'!$A:$C,2,0)</f>
        <v>4500</v>
      </c>
      <c r="J449" s="115">
        <v>45536</v>
      </c>
      <c r="K449" s="61"/>
      <c r="M449" s="16" t="str">
        <f>CONCATENATE(Registro!$C449,Registro!$D449)</f>
        <v>IPTV1 pantalla</v>
      </c>
    </row>
    <row r="450" spans="1:13" ht="15.75" customHeight="1">
      <c r="A450" s="19" t="s">
        <v>971</v>
      </c>
      <c r="B450" s="17" t="s">
        <v>972</v>
      </c>
      <c r="C450" s="7" t="s">
        <v>263</v>
      </c>
      <c r="D450" s="71" t="s">
        <v>14</v>
      </c>
      <c r="E450" s="78" t="s">
        <v>883</v>
      </c>
      <c r="F450" s="63" t="s">
        <v>884</v>
      </c>
      <c r="G450" s="72"/>
      <c r="H450" s="107">
        <f>VLOOKUP(M450,'Listado Precios'!$A:$C,3,0)</f>
        <v>8000</v>
      </c>
      <c r="I450" s="107">
        <f>VLOOKUP(M450,'Listado Precios'!$A:$C,2,0)</f>
        <v>5000</v>
      </c>
      <c r="J450" s="115">
        <v>45536</v>
      </c>
      <c r="K450" s="61"/>
      <c r="M450" s="16" t="str">
        <f>CONCATENATE(Registro!$C450,Registro!$D450)</f>
        <v>Vix1 pantalla</v>
      </c>
    </row>
    <row r="451" spans="1:13" ht="15.75" customHeight="1">
      <c r="A451" s="19" t="s">
        <v>973</v>
      </c>
      <c r="B451" s="19" t="s">
        <v>974</v>
      </c>
      <c r="C451" s="7" t="s">
        <v>22</v>
      </c>
      <c r="D451" s="71" t="s">
        <v>14</v>
      </c>
      <c r="E451" s="78" t="s">
        <v>975</v>
      </c>
      <c r="F451" s="63" t="s">
        <v>976</v>
      </c>
      <c r="G451" s="72" t="s">
        <v>977</v>
      </c>
      <c r="H451" s="107">
        <f>VLOOKUP(M451,'Listado Precios'!$A:$C,3,0)</f>
        <v>13000</v>
      </c>
      <c r="I451" s="107">
        <f>VLOOKUP(M451,'Listado Precios'!$A:$C,2,0)</f>
        <v>7600</v>
      </c>
      <c r="J451" s="115">
        <v>45536</v>
      </c>
      <c r="K451" s="61"/>
      <c r="M451" s="16" t="str">
        <f>CONCATENATE(Registro!$C451,Registro!$D451)</f>
        <v>Netflix1 pantalla</v>
      </c>
    </row>
    <row r="452" spans="1:13" ht="15.75" customHeight="1">
      <c r="A452" s="19" t="s">
        <v>978</v>
      </c>
      <c r="B452" s="19" t="s">
        <v>979</v>
      </c>
      <c r="C452" s="7" t="s">
        <v>406</v>
      </c>
      <c r="D452" s="71"/>
      <c r="E452" s="113" t="s">
        <v>980</v>
      </c>
      <c r="F452" s="63"/>
      <c r="G452" s="72"/>
      <c r="H452" s="107">
        <f>VLOOKUP(M452,'Listado Precios'!$A:$C,3,0)</f>
        <v>7000</v>
      </c>
      <c r="I452" s="107">
        <f>VLOOKUP(M452,'Listado Precios'!$A:$C,2,0)</f>
        <v>3200</v>
      </c>
      <c r="J452" s="115">
        <v>45536</v>
      </c>
      <c r="K452" s="86"/>
      <c r="M452" s="16" t="str">
        <f>CONCATENATE(Registro!$C452,Registro!$D452)</f>
        <v>Youtube</v>
      </c>
    </row>
    <row r="453" spans="1:13" ht="15.75" customHeight="1">
      <c r="A453" s="7" t="s">
        <v>981</v>
      </c>
      <c r="B453" s="7" t="s">
        <v>982</v>
      </c>
      <c r="C453" s="117" t="s">
        <v>17</v>
      </c>
      <c r="D453" s="63"/>
      <c r="E453" s="64"/>
      <c r="F453" s="63"/>
      <c r="G453" s="68"/>
      <c r="H453" s="107">
        <f>VLOOKUP(M453,'Listado Precios'!$A:$C,3,0)</f>
        <v>8000</v>
      </c>
      <c r="I453" s="107">
        <f>VLOOKUP(M453,'Listado Precios'!$A:$C,2,0)</f>
        <v>5280</v>
      </c>
      <c r="J453" s="115">
        <v>45536</v>
      </c>
      <c r="K453" s="61"/>
      <c r="M453" s="16" t="str">
        <f>CONCATENATE(Registro!$C453,Registro!$D453)</f>
        <v>Spotify</v>
      </c>
    </row>
    <row r="454" spans="1:13" ht="15.75" customHeight="1">
      <c r="A454" s="7" t="s">
        <v>983</v>
      </c>
      <c r="B454" s="7" t="s">
        <v>984</v>
      </c>
      <c r="C454" s="117" t="s">
        <v>22</v>
      </c>
      <c r="D454" s="80" t="s">
        <v>14</v>
      </c>
      <c r="E454" s="74" t="s">
        <v>985</v>
      </c>
      <c r="F454" s="63" t="s">
        <v>986</v>
      </c>
      <c r="G454" s="72" t="s">
        <v>987</v>
      </c>
      <c r="H454" s="107">
        <f>VLOOKUP(M454,'Listado Precios'!$A:$C,3,0)</f>
        <v>13000</v>
      </c>
      <c r="I454" s="107">
        <f>VLOOKUP(M454,'Listado Precios'!$A:$C,2,0)</f>
        <v>7600</v>
      </c>
      <c r="J454" s="115">
        <v>45536</v>
      </c>
      <c r="K454" s="61"/>
      <c r="M454" s="16" t="str">
        <f>CONCATENATE(Registro!$C454,Registro!$D454)</f>
        <v>Netflix1 pantalla</v>
      </c>
    </row>
    <row r="455" spans="1:13" ht="15.75" customHeight="1">
      <c r="A455" s="19" t="s">
        <v>988</v>
      </c>
      <c r="B455" s="19" t="s">
        <v>989</v>
      </c>
      <c r="C455" s="7" t="s">
        <v>17</v>
      </c>
      <c r="D455" s="71"/>
      <c r="E455" s="78" t="s">
        <v>990</v>
      </c>
      <c r="F455" s="63"/>
      <c r="G455" s="72"/>
      <c r="H455" s="107">
        <f>VLOOKUP(M455,'Listado Precios'!$A:$C,3,0)</f>
        <v>8000</v>
      </c>
      <c r="I455" s="107">
        <f>VLOOKUP(M455,'Listado Precios'!$A:$C,2,0)</f>
        <v>5280</v>
      </c>
      <c r="J455" s="115">
        <v>45536</v>
      </c>
      <c r="K455" s="61"/>
      <c r="M455" s="16" t="str">
        <f>CONCATENATE(Registro!$C455,Registro!$D455)</f>
        <v>Spotify</v>
      </c>
    </row>
    <row r="456" spans="1:13" ht="15.75" customHeight="1">
      <c r="A456" s="7" t="s">
        <v>991</v>
      </c>
      <c r="B456" s="8" t="s">
        <v>992</v>
      </c>
      <c r="C456" s="117" t="s">
        <v>571</v>
      </c>
      <c r="D456" s="63" t="s">
        <v>14</v>
      </c>
      <c r="E456" s="78" t="s">
        <v>88</v>
      </c>
      <c r="F456" s="63"/>
      <c r="G456" s="72"/>
      <c r="H456" s="107">
        <f>VLOOKUP(M456,'Listado Precios'!$A:$C,3,0)</f>
        <v>10000</v>
      </c>
      <c r="I456" s="107">
        <f>VLOOKUP(M456,'Listado Precios'!$A:$C,2,0)</f>
        <v>4500</v>
      </c>
      <c r="J456" s="115">
        <v>45536</v>
      </c>
      <c r="K456" s="61"/>
      <c r="M456" s="16" t="str">
        <f>CONCATENATE(Registro!$C456,Registro!$D456)</f>
        <v>IPTV1 pantalla</v>
      </c>
    </row>
    <row r="457" spans="1:13" ht="15.75" customHeight="1">
      <c r="A457" s="7" t="s">
        <v>993</v>
      </c>
      <c r="B457" s="8" t="s">
        <v>994</v>
      </c>
      <c r="C457" s="117" t="s">
        <v>25</v>
      </c>
      <c r="D457" s="63" t="s">
        <v>14</v>
      </c>
      <c r="E457" s="64" t="s">
        <v>995</v>
      </c>
      <c r="F457" s="63" t="s">
        <v>996</v>
      </c>
      <c r="G457" s="68" t="s">
        <v>997</v>
      </c>
      <c r="H457" s="107">
        <f>VLOOKUP(M457,'Listado Precios'!$A:$C,3,0)</f>
        <v>8000</v>
      </c>
      <c r="I457" s="107">
        <f>VLOOKUP(M457,'Listado Precios'!$A:$C,2,0)</f>
        <v>5000</v>
      </c>
      <c r="J457" s="115">
        <v>45536</v>
      </c>
      <c r="K457" s="61"/>
      <c r="M457" s="16" t="str">
        <f>CONCATENATE(Registro!$C457,Registro!$D457)</f>
        <v>HBO1 pantalla</v>
      </c>
    </row>
    <row r="458" spans="1:13" ht="15.75" customHeight="1">
      <c r="A458" s="7" t="s">
        <v>998</v>
      </c>
      <c r="B458" s="8">
        <v>3043246561</v>
      </c>
      <c r="C458" s="7" t="s">
        <v>22</v>
      </c>
      <c r="D458" s="63" t="s">
        <v>14</v>
      </c>
      <c r="E458" s="64" t="s">
        <v>999</v>
      </c>
      <c r="F458" s="63" t="s">
        <v>1000</v>
      </c>
      <c r="G458" s="68" t="s">
        <v>1001</v>
      </c>
      <c r="H458" s="107">
        <f>VLOOKUP(M458,'Listado Precios'!$A:$C,3,0)</f>
        <v>13000</v>
      </c>
      <c r="I458" s="107">
        <f>VLOOKUP(M458,'Listado Precios'!$A:$C,2,0)</f>
        <v>7600</v>
      </c>
      <c r="J458" s="115">
        <v>45536</v>
      </c>
      <c r="K458" s="61"/>
      <c r="M458" s="16" t="str">
        <f>CONCATENATE(Registro!$C458,Registro!$D458)</f>
        <v>Netflix1 pantalla</v>
      </c>
    </row>
    <row r="459" spans="1:13" ht="15.75" customHeight="1">
      <c r="A459" s="7" t="s">
        <v>1002</v>
      </c>
      <c r="B459" s="8" t="s">
        <v>1003</v>
      </c>
      <c r="C459" s="117" t="s">
        <v>263</v>
      </c>
      <c r="D459" s="63" t="s">
        <v>14</v>
      </c>
      <c r="E459" s="64" t="s">
        <v>1004</v>
      </c>
      <c r="F459" s="63" t="s">
        <v>1005</v>
      </c>
      <c r="G459" s="68" t="s">
        <v>1006</v>
      </c>
      <c r="H459" s="107">
        <f>VLOOKUP(M459,'Listado Precios'!$A:$C,3,0)</f>
        <v>8000</v>
      </c>
      <c r="I459" s="107">
        <f>VLOOKUP(M459,'Listado Precios'!$A:$C,2,0)</f>
        <v>5000</v>
      </c>
      <c r="J459" s="115">
        <v>45536</v>
      </c>
      <c r="K459" s="61"/>
      <c r="M459" s="16" t="str">
        <f>CONCATENATE(Registro!$C459,Registro!$D459)</f>
        <v>Vix1 pantalla</v>
      </c>
    </row>
    <row r="460" spans="1:13" ht="15.75" customHeight="1">
      <c r="A460" s="19" t="s">
        <v>1007</v>
      </c>
      <c r="B460" s="17" t="s">
        <v>1008</v>
      </c>
      <c r="C460" s="7" t="s">
        <v>17</v>
      </c>
      <c r="D460" s="71"/>
      <c r="E460" s="78" t="s">
        <v>1009</v>
      </c>
      <c r="F460" s="63"/>
      <c r="G460" s="72"/>
      <c r="H460" s="107">
        <f>VLOOKUP(M460,'Listado Precios'!$A:$C,3,0)</f>
        <v>8000</v>
      </c>
      <c r="I460" s="107">
        <f>VLOOKUP(M460,'Listado Precios'!$A:$C,2,0)</f>
        <v>5280</v>
      </c>
      <c r="J460" s="115">
        <v>45536</v>
      </c>
      <c r="K460" s="61"/>
      <c r="M460" s="16" t="str">
        <f>CONCATENATE(Registro!$C460,Registro!$D460)</f>
        <v>Spotify</v>
      </c>
    </row>
    <row r="461" spans="1:13" ht="15.75" customHeight="1">
      <c r="A461" s="7" t="s">
        <v>1010</v>
      </c>
      <c r="B461" s="7" t="s">
        <v>1011</v>
      </c>
      <c r="C461" s="117" t="s">
        <v>25</v>
      </c>
      <c r="D461" s="63" t="s">
        <v>14</v>
      </c>
      <c r="E461" s="64" t="s">
        <v>1012</v>
      </c>
      <c r="F461" s="63" t="s">
        <v>1013</v>
      </c>
      <c r="G461" s="68"/>
      <c r="H461" s="107">
        <f>VLOOKUP(M461,'Listado Precios'!$A:$C,3,0)</f>
        <v>8000</v>
      </c>
      <c r="I461" s="107">
        <f>VLOOKUP(M461,'Listado Precios'!$A:$C,2,0)</f>
        <v>5000</v>
      </c>
      <c r="J461" s="115">
        <v>45536</v>
      </c>
      <c r="K461" s="61"/>
      <c r="M461" s="16" t="str">
        <f>CONCATENATE(Registro!$C461,Registro!$D461)</f>
        <v>HBO1 pantalla</v>
      </c>
    </row>
    <row r="462" spans="1:13" ht="15.75" customHeight="1">
      <c r="A462" s="19" t="s">
        <v>1014</v>
      </c>
      <c r="B462" s="17" t="s">
        <v>1015</v>
      </c>
      <c r="C462" s="7" t="s">
        <v>22</v>
      </c>
      <c r="D462" s="71" t="s">
        <v>14</v>
      </c>
      <c r="E462" s="78" t="s">
        <v>878</v>
      </c>
      <c r="F462" s="63" t="s">
        <v>879</v>
      </c>
      <c r="G462" s="72" t="s">
        <v>1016</v>
      </c>
      <c r="H462" s="107">
        <f>VLOOKUP(M462,'Listado Precios'!$A:$C,3,0)</f>
        <v>13000</v>
      </c>
      <c r="I462" s="107">
        <f>VLOOKUP(M462,'Listado Precios'!$A:$C,2,0)</f>
        <v>7600</v>
      </c>
      <c r="J462" s="115">
        <v>45536</v>
      </c>
      <c r="K462" s="61"/>
      <c r="M462" s="16" t="str">
        <f>CONCATENATE(Registro!$C462,Registro!$D462)</f>
        <v>Netflix1 pantalla</v>
      </c>
    </row>
    <row r="463" spans="1:13" ht="15.75" customHeight="1">
      <c r="A463" s="19" t="s">
        <v>1017</v>
      </c>
      <c r="B463" s="19" t="s">
        <v>1018</v>
      </c>
      <c r="C463" s="117" t="s">
        <v>460</v>
      </c>
      <c r="D463" s="71" t="s">
        <v>14</v>
      </c>
      <c r="E463" s="78" t="s">
        <v>1019</v>
      </c>
      <c r="F463" s="63" t="s">
        <v>1020</v>
      </c>
      <c r="G463" s="72" t="s">
        <v>987</v>
      </c>
      <c r="H463" s="107">
        <f>VLOOKUP(M463,'Listado Precios'!$A:$C,3,0)</f>
        <v>10000</v>
      </c>
      <c r="I463" s="107">
        <f>VLOOKUP(M463,'Listado Precios'!$A:$C,2,0)</f>
        <v>5000</v>
      </c>
      <c r="J463" s="115">
        <v>45536</v>
      </c>
      <c r="K463" s="61"/>
      <c r="M463" s="16" t="str">
        <f>CONCATENATE(Registro!$C463,Registro!$D463)</f>
        <v>DisneyE1 pantalla</v>
      </c>
    </row>
    <row r="464" spans="1:13" ht="15.75" customHeight="1">
      <c r="A464" s="7" t="s">
        <v>1021</v>
      </c>
      <c r="B464" s="7" t="s">
        <v>1022</v>
      </c>
      <c r="C464" s="117" t="s">
        <v>13</v>
      </c>
      <c r="D464" s="80" t="s">
        <v>14</v>
      </c>
      <c r="E464" s="74"/>
      <c r="F464" s="63"/>
      <c r="G464" s="72"/>
      <c r="H464" s="107">
        <f>VLOOKUP(M464,'Listado Precios'!$A:$C,3,0)</f>
        <v>8000</v>
      </c>
      <c r="I464" s="107">
        <f>VLOOKUP(M464,'Listado Precios'!$A:$C,2,0)</f>
        <v>5000</v>
      </c>
      <c r="J464" s="115">
        <v>45536</v>
      </c>
      <c r="K464" s="61"/>
      <c r="M464" s="16" t="str">
        <f>CONCATENATE(Registro!$C464,Registro!$D464)</f>
        <v>PrimeVideo1 pantalla</v>
      </c>
    </row>
    <row r="465" spans="1:13" ht="15.75" customHeight="1">
      <c r="A465" s="19" t="s">
        <v>80</v>
      </c>
      <c r="B465" s="19" t="s">
        <v>1023</v>
      </c>
      <c r="C465" s="7" t="s">
        <v>571</v>
      </c>
      <c r="D465" s="71" t="s">
        <v>14</v>
      </c>
      <c r="E465" s="78"/>
      <c r="F465" s="63"/>
      <c r="G465" s="72"/>
      <c r="H465" s="107">
        <f>VLOOKUP(M465,'Listado Precios'!$A:$C,3,0)</f>
        <v>10000</v>
      </c>
      <c r="I465" s="107">
        <f>VLOOKUP(M465,'Listado Precios'!$A:$C,2,0)</f>
        <v>4500</v>
      </c>
      <c r="J465" s="115">
        <v>45536</v>
      </c>
      <c r="K465" s="61"/>
      <c r="M465" s="16" t="str">
        <f>CONCATENATE(Registro!$C465,Registro!$D465)</f>
        <v>IPTV1 pantalla</v>
      </c>
    </row>
    <row r="466" spans="1:13" ht="15.75" customHeight="1">
      <c r="A466" s="7" t="s">
        <v>1024</v>
      </c>
      <c r="B466" s="7" t="s">
        <v>1025</v>
      </c>
      <c r="C466" s="117" t="s">
        <v>22</v>
      </c>
      <c r="D466" s="63" t="s">
        <v>14</v>
      </c>
      <c r="E466" s="64"/>
      <c r="F466" s="63"/>
      <c r="G466" s="68" t="s">
        <v>492</v>
      </c>
      <c r="H466" s="107">
        <f>VLOOKUP(M466,'Listado Precios'!$A:$C,3,0)</f>
        <v>13000</v>
      </c>
      <c r="I466" s="107">
        <f>VLOOKUP(M466,'Listado Precios'!$A:$C,2,0)</f>
        <v>7600</v>
      </c>
      <c r="J466" s="115">
        <v>45536</v>
      </c>
      <c r="K466" s="61"/>
      <c r="M466" s="16" t="str">
        <f>CONCATENATE(Registro!$C466,Registro!$D466)</f>
        <v>Netflix1 pantalla</v>
      </c>
    </row>
    <row r="467" spans="1:13" ht="15.75" customHeight="1">
      <c r="A467" s="7" t="s">
        <v>1026</v>
      </c>
      <c r="B467" s="7" t="s">
        <v>1027</v>
      </c>
      <c r="C467" s="117" t="s">
        <v>22</v>
      </c>
      <c r="D467" s="63" t="s">
        <v>14</v>
      </c>
      <c r="E467" s="64" t="s">
        <v>761</v>
      </c>
      <c r="F467" s="63" t="s">
        <v>762</v>
      </c>
      <c r="G467" s="68"/>
      <c r="H467" s="107">
        <f>VLOOKUP(M467,'Listado Precios'!$A:$C,3,0)</f>
        <v>13000</v>
      </c>
      <c r="I467" s="107">
        <f>VLOOKUP(M467,'Listado Precios'!$A:$C,2,0)</f>
        <v>7600</v>
      </c>
      <c r="J467" s="115">
        <v>45536</v>
      </c>
      <c r="K467" s="61"/>
      <c r="M467" s="16" t="str">
        <f>CONCATENATE(Registro!$C467,Registro!$D467)</f>
        <v>Netflix1 pantalla</v>
      </c>
    </row>
    <row r="468" spans="1:13" ht="15.75" customHeight="1">
      <c r="A468" s="19" t="s">
        <v>1028</v>
      </c>
      <c r="B468" s="19" t="s">
        <v>1029</v>
      </c>
      <c r="C468" s="7" t="s">
        <v>13</v>
      </c>
      <c r="D468" s="71" t="s">
        <v>14</v>
      </c>
      <c r="E468" s="78" t="s">
        <v>1030</v>
      </c>
      <c r="F468" s="63" t="s">
        <v>1031</v>
      </c>
      <c r="G468" s="72"/>
      <c r="H468" s="107">
        <f>VLOOKUP(M468,'Listado Precios'!$A:$C,3,0)</f>
        <v>8000</v>
      </c>
      <c r="I468" s="107">
        <f>VLOOKUP(M468,'Listado Precios'!$A:$C,2,0)</f>
        <v>5000</v>
      </c>
      <c r="J468" s="115">
        <v>45536</v>
      </c>
      <c r="K468" s="61"/>
      <c r="M468" s="16" t="str">
        <f>CONCATENATE(Registro!$C468,Registro!$D468)</f>
        <v>PrimeVideo1 pantalla</v>
      </c>
    </row>
    <row r="469" spans="1:13" ht="15.75" customHeight="1">
      <c r="A469" s="7" t="s">
        <v>1032</v>
      </c>
      <c r="B469" s="7" t="s">
        <v>1033</v>
      </c>
      <c r="C469" s="117" t="s">
        <v>13</v>
      </c>
      <c r="D469" s="63" t="s">
        <v>14</v>
      </c>
      <c r="E469" s="64" t="s">
        <v>484</v>
      </c>
      <c r="F469" s="63" t="s">
        <v>269</v>
      </c>
      <c r="G469" s="68"/>
      <c r="H469" s="107">
        <f>VLOOKUP(M469,'Listado Precios'!$A:$C,3,0)</f>
        <v>8000</v>
      </c>
      <c r="I469" s="107">
        <f>VLOOKUP(M469,'Listado Precios'!$A:$C,2,0)</f>
        <v>5000</v>
      </c>
      <c r="J469" s="115">
        <v>45536</v>
      </c>
      <c r="K469" s="61"/>
      <c r="M469" s="16" t="str">
        <f>CONCATENATE(Registro!$C469,Registro!$D469)</f>
        <v>PrimeVideo1 pantalla</v>
      </c>
    </row>
    <row r="470" spans="1:13" ht="15.75" customHeight="1">
      <c r="A470" s="19" t="s">
        <v>625</v>
      </c>
      <c r="B470" s="19" t="s">
        <v>1034</v>
      </c>
      <c r="C470" s="7" t="s">
        <v>13</v>
      </c>
      <c r="D470" s="71" t="s">
        <v>14</v>
      </c>
      <c r="E470" s="78" t="s">
        <v>1035</v>
      </c>
      <c r="F470" s="63" t="s">
        <v>323</v>
      </c>
      <c r="G470" s="72"/>
      <c r="H470" s="107">
        <f>VLOOKUP(M470,'Listado Precios'!$A:$C,3,0)</f>
        <v>8000</v>
      </c>
      <c r="I470" s="107">
        <f>VLOOKUP(M470,'Listado Precios'!$A:$C,2,0)</f>
        <v>5000</v>
      </c>
      <c r="J470" s="115">
        <v>45536</v>
      </c>
      <c r="K470" s="86"/>
      <c r="M470" s="16" t="str">
        <f>CONCATENATE(Registro!$C470,Registro!$D470)</f>
        <v>PrimeVideo1 pantalla</v>
      </c>
    </row>
    <row r="471" spans="1:13" ht="15.75" customHeight="1">
      <c r="A471" s="7" t="s">
        <v>1036</v>
      </c>
      <c r="B471" s="7" t="s">
        <v>1037</v>
      </c>
      <c r="C471" s="117" t="s">
        <v>571</v>
      </c>
      <c r="D471" s="63" t="s">
        <v>14</v>
      </c>
      <c r="E471" s="64"/>
      <c r="F471" s="63"/>
      <c r="G471" s="68"/>
      <c r="H471" s="107">
        <f>VLOOKUP(M471,'Listado Precios'!$A:$C,3,0)</f>
        <v>10000</v>
      </c>
      <c r="I471" s="107">
        <f>VLOOKUP(M471,'Listado Precios'!$A:$C,2,0)</f>
        <v>4500</v>
      </c>
      <c r="J471" s="115">
        <v>45536</v>
      </c>
      <c r="K471" s="61"/>
      <c r="M471" s="16" t="str">
        <f>CONCATENATE(Registro!$C471,Registro!$D471)</f>
        <v>IPTV1 pantalla</v>
      </c>
    </row>
    <row r="472" spans="1:13" ht="15.75" customHeight="1">
      <c r="A472" s="19" t="s">
        <v>1038</v>
      </c>
      <c r="B472" s="19" t="s">
        <v>1039</v>
      </c>
      <c r="C472" s="7" t="s">
        <v>13</v>
      </c>
      <c r="D472" s="71" t="s">
        <v>14</v>
      </c>
      <c r="E472" s="78" t="s">
        <v>1040</v>
      </c>
      <c r="F472" s="63" t="s">
        <v>323</v>
      </c>
      <c r="G472" s="72"/>
      <c r="H472" s="107">
        <f>VLOOKUP(M472,'Listado Precios'!$A:$C,3,0)</f>
        <v>8000</v>
      </c>
      <c r="I472" s="107">
        <f>VLOOKUP(M472,'Listado Precios'!$A:$C,2,0)</f>
        <v>5000</v>
      </c>
      <c r="J472" s="115">
        <v>45536</v>
      </c>
      <c r="K472" s="61"/>
      <c r="M472" s="16" t="str">
        <f>CONCATENATE(Registro!$C472,Registro!$D472)</f>
        <v>PrimeVideo1 pantalla</v>
      </c>
    </row>
    <row r="473" spans="1:13" ht="15.75" customHeight="1">
      <c r="A473" s="19" t="s">
        <v>1041</v>
      </c>
      <c r="B473" s="19" t="s">
        <v>1042</v>
      </c>
      <c r="C473" s="7" t="s">
        <v>17</v>
      </c>
      <c r="D473" s="71"/>
      <c r="E473" s="78" t="s">
        <v>1043</v>
      </c>
      <c r="F473" s="63"/>
      <c r="G473" s="72"/>
      <c r="H473" s="107">
        <f>VLOOKUP(M473,'Listado Precios'!$A:$C,3,0)</f>
        <v>8000</v>
      </c>
      <c r="I473" s="107">
        <f>VLOOKUP(M473,'Listado Precios'!$A:$C,2,0)</f>
        <v>5280</v>
      </c>
      <c r="J473" s="115">
        <v>45536</v>
      </c>
      <c r="K473" s="61"/>
      <c r="M473" s="16" t="str">
        <f>CONCATENATE(Registro!$C473,Registro!$D473)</f>
        <v>Spotify</v>
      </c>
    </row>
    <row r="474" spans="1:13" ht="15.75" customHeight="1">
      <c r="A474" s="19" t="s">
        <v>1044</v>
      </c>
      <c r="B474" s="19" t="s">
        <v>1045</v>
      </c>
      <c r="C474" s="7" t="s">
        <v>65</v>
      </c>
      <c r="D474" s="71" t="s">
        <v>14</v>
      </c>
      <c r="E474" s="78" t="s">
        <v>1046</v>
      </c>
      <c r="F474" s="63" t="s">
        <v>1047</v>
      </c>
      <c r="G474" s="72"/>
      <c r="H474" s="107">
        <f>VLOOKUP(M474,'Listado Precios'!$A:$C,3,0)</f>
        <v>8000</v>
      </c>
      <c r="I474" s="107">
        <f>VLOOKUP(M474,'Listado Precios'!$A:$C,2,0)</f>
        <v>5000</v>
      </c>
      <c r="J474" s="115">
        <v>45536</v>
      </c>
      <c r="K474" s="61"/>
      <c r="M474" s="16" t="str">
        <f>CONCATENATE(Registro!$C474,Registro!$D474)</f>
        <v>Crunchyroll1 pantalla</v>
      </c>
    </row>
    <row r="475" spans="1:13" ht="15.75" customHeight="1">
      <c r="A475" s="19" t="s">
        <v>1048</v>
      </c>
      <c r="B475" s="19" t="s">
        <v>1049</v>
      </c>
      <c r="C475" s="7" t="s">
        <v>263</v>
      </c>
      <c r="D475" s="71" t="s">
        <v>14</v>
      </c>
      <c r="E475" s="78" t="s">
        <v>883</v>
      </c>
      <c r="F475" s="63" t="s">
        <v>884</v>
      </c>
      <c r="G475" s="72"/>
      <c r="H475" s="107">
        <f>VLOOKUP(M475,'Listado Precios'!$A:$C,3,0)</f>
        <v>8000</v>
      </c>
      <c r="I475" s="107">
        <f>VLOOKUP(M475,'Listado Precios'!$A:$C,2,0)</f>
        <v>5000</v>
      </c>
      <c r="J475" s="115">
        <v>45536</v>
      </c>
      <c r="K475" s="61"/>
      <c r="M475" s="16" t="str">
        <f>CONCATENATE(Registro!$C475,Registro!$D475)</f>
        <v>Vix1 pantalla</v>
      </c>
    </row>
    <row r="476" spans="1:13" ht="15.75" customHeight="1">
      <c r="A476" s="7" t="s">
        <v>1050</v>
      </c>
      <c r="B476" s="8" t="s">
        <v>1051</v>
      </c>
      <c r="C476" s="117" t="s">
        <v>22</v>
      </c>
      <c r="D476" s="63" t="s">
        <v>144</v>
      </c>
      <c r="E476" s="113" t="s">
        <v>78</v>
      </c>
      <c r="F476" s="63" t="s">
        <v>127</v>
      </c>
      <c r="G476" s="72"/>
      <c r="H476" s="107" t="e">
        <f>VLOOKUP(M476,'Listado Precios'!$A:$C,3,0)</f>
        <v>#N/A</v>
      </c>
      <c r="I476" s="107" t="e">
        <f>VLOOKUP(M476,'Listado Precios'!$A:$C,2,0)</f>
        <v>#N/A</v>
      </c>
      <c r="J476" s="115">
        <v>45536</v>
      </c>
      <c r="K476" s="61"/>
      <c r="M476" s="16" t="str">
        <f>CONCATENATE(Registro!$C476,Registro!$D476)</f>
        <v xml:space="preserve">Netflix2 pantallas </v>
      </c>
    </row>
    <row r="477" spans="1:13" ht="15.75" customHeight="1">
      <c r="A477" s="19" t="s">
        <v>1052</v>
      </c>
      <c r="B477" s="19" t="s">
        <v>1053</v>
      </c>
      <c r="C477" s="7" t="s">
        <v>22</v>
      </c>
      <c r="D477" s="71" t="s">
        <v>14</v>
      </c>
      <c r="E477" s="78" t="s">
        <v>1054</v>
      </c>
      <c r="F477" s="63" t="s">
        <v>1055</v>
      </c>
      <c r="G477" s="72"/>
      <c r="H477" s="107">
        <f>VLOOKUP(M477,'Listado Precios'!$A:$C,3,0)</f>
        <v>13000</v>
      </c>
      <c r="I477" s="107">
        <f>VLOOKUP(M477,'Listado Precios'!$A:$C,2,0)</f>
        <v>7600</v>
      </c>
      <c r="J477" s="115">
        <v>45536</v>
      </c>
      <c r="K477" s="122"/>
      <c r="M477" s="16" t="str">
        <f>CONCATENATE(Registro!$C477,Registro!$D477)</f>
        <v>Netflix1 pantalla</v>
      </c>
    </row>
    <row r="478" spans="1:13" ht="15.75" customHeight="1">
      <c r="A478" s="7" t="s">
        <v>1056</v>
      </c>
      <c r="B478" s="8" t="s">
        <v>1057</v>
      </c>
      <c r="C478" s="7" t="s">
        <v>22</v>
      </c>
      <c r="D478" s="63" t="s">
        <v>14</v>
      </c>
      <c r="E478" s="119" t="s">
        <v>1058</v>
      </c>
      <c r="F478" s="63" t="s">
        <v>1059</v>
      </c>
      <c r="G478" s="72" t="s">
        <v>1060</v>
      </c>
      <c r="H478" s="107">
        <f>VLOOKUP(M478,'Listado Precios'!$A:$C,3,0)</f>
        <v>13000</v>
      </c>
      <c r="I478" s="107">
        <f>VLOOKUP(M478,'Listado Precios'!$A:$C,2,0)</f>
        <v>7600</v>
      </c>
      <c r="J478" s="115">
        <v>45536</v>
      </c>
      <c r="K478" s="61"/>
      <c r="M478" s="16" t="str">
        <f>CONCATENATE(Registro!$C478,Registro!$D478)</f>
        <v>Netflix1 pantalla</v>
      </c>
    </row>
    <row r="479" spans="1:13" ht="15.75" customHeight="1">
      <c r="A479" s="66" t="s">
        <v>1061</v>
      </c>
      <c r="B479" s="66" t="s">
        <v>1062</v>
      </c>
      <c r="C479" s="7" t="s">
        <v>22</v>
      </c>
      <c r="D479" s="71" t="s">
        <v>14</v>
      </c>
      <c r="E479" s="78"/>
      <c r="F479" s="63"/>
      <c r="G479" s="72"/>
      <c r="H479" s="107">
        <f>VLOOKUP(M479,'Listado Precios'!$A:$C,3,0)</f>
        <v>13000</v>
      </c>
      <c r="I479" s="107">
        <f>VLOOKUP(M479,'Listado Precios'!$A:$C,2,0)</f>
        <v>7600</v>
      </c>
      <c r="J479" s="115">
        <v>45536</v>
      </c>
      <c r="K479" s="62"/>
      <c r="M479" s="16" t="str">
        <f>CONCATENATE(Registro!$C479,Registro!$D479)</f>
        <v>Netflix1 pantalla</v>
      </c>
    </row>
    <row r="480" spans="1:13" ht="15.75" customHeight="1">
      <c r="A480" s="19" t="s">
        <v>1063</v>
      </c>
      <c r="B480" s="19" t="s">
        <v>1064</v>
      </c>
      <c r="C480" s="7" t="s">
        <v>13</v>
      </c>
      <c r="D480" s="71" t="s">
        <v>14</v>
      </c>
      <c r="E480" s="78" t="s">
        <v>1065</v>
      </c>
      <c r="F480" s="63" t="s">
        <v>451</v>
      </c>
      <c r="G480" s="72" t="s">
        <v>1066</v>
      </c>
      <c r="H480" s="107">
        <f>VLOOKUP(M480,'Listado Precios'!$A:$C,3,0)</f>
        <v>8000</v>
      </c>
      <c r="I480" s="107">
        <f>VLOOKUP(M480,'Listado Precios'!$A:$C,2,0)</f>
        <v>5000</v>
      </c>
      <c r="J480" s="115">
        <v>45536</v>
      </c>
      <c r="K480" s="61"/>
      <c r="M480" s="16" t="str">
        <f>CONCATENATE(Registro!$C480,Registro!$D480)</f>
        <v>PrimeVideo1 pantalla</v>
      </c>
    </row>
    <row r="481" spans="1:13" ht="15.75" customHeight="1">
      <c r="A481" s="7" t="s">
        <v>1067</v>
      </c>
      <c r="B481" s="7" t="s">
        <v>1068</v>
      </c>
      <c r="C481" s="117" t="s">
        <v>13</v>
      </c>
      <c r="D481" s="63" t="s">
        <v>14</v>
      </c>
      <c r="E481" s="64" t="s">
        <v>522</v>
      </c>
      <c r="F481" s="63" t="s">
        <v>1069</v>
      </c>
      <c r="G481" s="68"/>
      <c r="H481" s="107">
        <f>VLOOKUP(M481,'Listado Precios'!$A:$C,3,0)</f>
        <v>8000</v>
      </c>
      <c r="I481" s="107">
        <f>VLOOKUP(M481,'Listado Precios'!$A:$C,2,0)</f>
        <v>5000</v>
      </c>
      <c r="J481" s="115">
        <v>45536</v>
      </c>
      <c r="K481" s="61"/>
      <c r="M481" s="16" t="str">
        <f>CONCATENATE(Registro!$C481,Registro!$D481)</f>
        <v>PrimeVideo1 pantalla</v>
      </c>
    </row>
    <row r="482" spans="1:13" ht="15.75" customHeight="1">
      <c r="A482" s="66" t="s">
        <v>1070</v>
      </c>
      <c r="B482" s="66" t="s">
        <v>1071</v>
      </c>
      <c r="C482" s="117" t="s">
        <v>22</v>
      </c>
      <c r="D482" s="71" t="s">
        <v>14</v>
      </c>
      <c r="E482" s="92" t="s">
        <v>1072</v>
      </c>
      <c r="F482" s="92" t="s">
        <v>1073</v>
      </c>
      <c r="G482" s="92">
        <v>2233</v>
      </c>
      <c r="H482" s="107">
        <f>VLOOKUP(M482,'Listado Precios'!$A:$C,3,0)</f>
        <v>13000</v>
      </c>
      <c r="I482" s="107">
        <f>VLOOKUP(M482,'Listado Precios'!$A:$C,2,0)</f>
        <v>7600</v>
      </c>
      <c r="J482" s="115">
        <v>45536</v>
      </c>
      <c r="K482" s="61"/>
      <c r="M482" s="16" t="str">
        <f>CONCATENATE(Registro!$C482,Registro!$D482)</f>
        <v>Netflix1 pantalla</v>
      </c>
    </row>
    <row r="483" spans="1:13" ht="15.75" customHeight="1">
      <c r="A483" s="19" t="s">
        <v>1074</v>
      </c>
      <c r="B483" s="19" t="s">
        <v>1075</v>
      </c>
      <c r="C483" s="117" t="s">
        <v>22</v>
      </c>
      <c r="D483" s="63" t="s">
        <v>14</v>
      </c>
      <c r="E483" s="100" t="s">
        <v>126</v>
      </c>
      <c r="F483" s="63" t="s">
        <v>127</v>
      </c>
      <c r="G483" s="68"/>
      <c r="H483" s="107">
        <f>VLOOKUP(M483,'Listado Precios'!$A:$C,3,0)</f>
        <v>13000</v>
      </c>
      <c r="I483" s="107">
        <f>VLOOKUP(M483,'Listado Precios'!$A:$C,2,0)</f>
        <v>7600</v>
      </c>
      <c r="J483" s="115">
        <v>45536</v>
      </c>
      <c r="K483" s="61"/>
      <c r="M483" s="16" t="str">
        <f>CONCATENATE(Registro!$C483,Registro!$D483)</f>
        <v>Netflix1 pantalla</v>
      </c>
    </row>
    <row r="484" spans="1:13" ht="15.75" customHeight="1">
      <c r="A484" s="19" t="s">
        <v>1076</v>
      </c>
      <c r="B484" s="17" t="s">
        <v>1077</v>
      </c>
      <c r="C484" s="7" t="s">
        <v>22</v>
      </c>
      <c r="D484" s="71" t="s">
        <v>14</v>
      </c>
      <c r="E484" s="78" t="s">
        <v>878</v>
      </c>
      <c r="F484" s="63" t="s">
        <v>879</v>
      </c>
      <c r="G484" s="72"/>
      <c r="H484" s="107">
        <f>VLOOKUP(M484,'Listado Precios'!$A:$C,3,0)</f>
        <v>13000</v>
      </c>
      <c r="I484" s="107">
        <f>VLOOKUP(M484,'Listado Precios'!$A:$C,2,0)</f>
        <v>7600</v>
      </c>
      <c r="J484" s="115">
        <v>45536</v>
      </c>
      <c r="K484" s="61"/>
      <c r="M484" s="16" t="str">
        <f>CONCATENATE(Registro!$C484,Registro!$D484)</f>
        <v>Netflix1 pantalla</v>
      </c>
    </row>
    <row r="485" spans="1:13" ht="15.75" customHeight="1">
      <c r="A485" s="19" t="s">
        <v>1078</v>
      </c>
      <c r="B485" s="17" t="s">
        <v>1079</v>
      </c>
      <c r="C485" s="7" t="s">
        <v>263</v>
      </c>
      <c r="D485" s="71" t="s">
        <v>14</v>
      </c>
      <c r="E485" s="78" t="s">
        <v>1080</v>
      </c>
      <c r="F485" s="63" t="s">
        <v>1081</v>
      </c>
      <c r="G485" s="72"/>
      <c r="H485" s="107">
        <f>VLOOKUP(M485,'Listado Precios'!$A:$C,3,0)</f>
        <v>8000</v>
      </c>
      <c r="I485" s="107">
        <f>VLOOKUP(M485,'Listado Precios'!$A:$C,2,0)</f>
        <v>5000</v>
      </c>
      <c r="J485" s="115">
        <v>45536</v>
      </c>
      <c r="K485" s="52"/>
      <c r="M485" s="16" t="str">
        <f>CONCATENATE(Registro!$C485,Registro!$D485)</f>
        <v>Vix1 pantalla</v>
      </c>
    </row>
    <row r="486" spans="1:13" ht="15.75" customHeight="1">
      <c r="A486" s="19" t="s">
        <v>1082</v>
      </c>
      <c r="B486" s="19" t="s">
        <v>1083</v>
      </c>
      <c r="C486" s="7" t="s">
        <v>571</v>
      </c>
      <c r="D486" s="71" t="s">
        <v>38</v>
      </c>
      <c r="E486" s="78"/>
      <c r="F486" s="63"/>
      <c r="G486" s="72"/>
      <c r="H486" s="107">
        <f>VLOOKUP(M486,'Listado Precios'!$A:$C,3,0)</f>
        <v>20000</v>
      </c>
      <c r="I486" s="107">
        <f>VLOOKUP(M486,'Listado Precios'!$A:$C,2,0)</f>
        <v>13500</v>
      </c>
      <c r="J486" s="115">
        <v>45536</v>
      </c>
      <c r="K486" s="61"/>
      <c r="M486" s="16" t="str">
        <f>CONCATENATE(Registro!$C486,Registro!$D486)</f>
        <v>IPTVCompleta</v>
      </c>
    </row>
    <row r="487" spans="1:13" ht="15.75" customHeight="1">
      <c r="A487" s="7" t="s">
        <v>1084</v>
      </c>
      <c r="B487" s="8" t="s">
        <v>1085</v>
      </c>
      <c r="C487" s="117" t="s">
        <v>22</v>
      </c>
      <c r="D487" s="80" t="s">
        <v>14</v>
      </c>
      <c r="E487" s="74" t="s">
        <v>1086</v>
      </c>
      <c r="F487" s="63" t="s">
        <v>1087</v>
      </c>
      <c r="G487" s="72" t="s">
        <v>241</v>
      </c>
      <c r="H487" s="107">
        <f>VLOOKUP(M487,'Listado Precios'!$A:$C,3,0)</f>
        <v>13000</v>
      </c>
      <c r="I487" s="107">
        <f>VLOOKUP(M487,'Listado Precios'!$A:$C,2,0)</f>
        <v>7600</v>
      </c>
      <c r="J487" s="115">
        <v>45536</v>
      </c>
      <c r="K487" s="61"/>
      <c r="M487" s="16" t="str">
        <f>CONCATENATE(Registro!$C487,Registro!$D487)</f>
        <v>Netflix1 pantalla</v>
      </c>
    </row>
    <row r="488" spans="1:13" ht="15.75" customHeight="1">
      <c r="A488" s="126" t="s">
        <v>1088</v>
      </c>
      <c r="B488" s="126" t="s">
        <v>1089</v>
      </c>
      <c r="C488" s="117" t="s">
        <v>22</v>
      </c>
      <c r="D488" s="63" t="s">
        <v>14</v>
      </c>
      <c r="E488" s="54" t="s">
        <v>921</v>
      </c>
      <c r="F488" s="54" t="s">
        <v>127</v>
      </c>
      <c r="G488" s="54"/>
      <c r="H488" s="107">
        <f>VLOOKUP(M488,'Listado Precios'!$A:$C,3,0)</f>
        <v>13000</v>
      </c>
      <c r="I488" s="107">
        <f>VLOOKUP(M488,'Listado Precios'!$A:$C,2,0)</f>
        <v>7600</v>
      </c>
      <c r="J488" s="115">
        <v>45536</v>
      </c>
      <c r="K488" s="61"/>
      <c r="M488" s="16" t="str">
        <f>CONCATENATE(Registro!$C488,Registro!$D488)</f>
        <v>Netflix1 pantalla</v>
      </c>
    </row>
    <row r="489" spans="1:13" ht="15.75" customHeight="1">
      <c r="A489" s="7" t="s">
        <v>1090</v>
      </c>
      <c r="B489" s="8" t="s">
        <v>1091</v>
      </c>
      <c r="C489" s="117" t="s">
        <v>25</v>
      </c>
      <c r="D489" s="63" t="s">
        <v>14</v>
      </c>
      <c r="E489" s="64" t="s">
        <v>1092</v>
      </c>
      <c r="F489" s="63"/>
      <c r="G489" s="68"/>
      <c r="H489" s="107">
        <f>VLOOKUP(M489,'Listado Precios'!$A:$C,3,0)</f>
        <v>8000</v>
      </c>
      <c r="I489" s="107">
        <f>VLOOKUP(M489,'Listado Precios'!$A:$C,2,0)</f>
        <v>5000</v>
      </c>
      <c r="J489" s="115">
        <v>45536</v>
      </c>
      <c r="K489" s="61"/>
      <c r="M489" s="16" t="str">
        <f>CONCATENATE(Registro!$C489,Registro!$D489)</f>
        <v>HBO1 pantalla</v>
      </c>
    </row>
    <row r="490" spans="1:13" ht="15.75" customHeight="1">
      <c r="A490" s="19" t="s">
        <v>1093</v>
      </c>
      <c r="B490" s="19" t="s">
        <v>1094</v>
      </c>
      <c r="C490" s="7" t="s">
        <v>43</v>
      </c>
      <c r="D490" s="71" t="s">
        <v>14</v>
      </c>
      <c r="E490" s="78" t="s">
        <v>1095</v>
      </c>
      <c r="F490" s="63" t="s">
        <v>1096</v>
      </c>
      <c r="G490" s="72" t="s">
        <v>492</v>
      </c>
      <c r="H490" s="107">
        <f>VLOOKUP(M490,'Listado Precios'!$A:$C,3,0)</f>
        <v>12000</v>
      </c>
      <c r="I490" s="107">
        <f>VLOOKUP(M490,'Listado Precios'!$A:$C,2,0)</f>
        <v>7000</v>
      </c>
      <c r="J490" s="115">
        <v>45536</v>
      </c>
      <c r="K490" s="86"/>
      <c r="M490" s="16" t="str">
        <f>CONCATENATE(Registro!$C490,Registro!$D490)</f>
        <v>DisneyP1 pantalla</v>
      </c>
    </row>
    <row r="491" spans="1:13" ht="15.75" customHeight="1">
      <c r="A491" s="19" t="s">
        <v>1097</v>
      </c>
      <c r="B491" s="19" t="s">
        <v>1098</v>
      </c>
      <c r="C491" s="7" t="s">
        <v>571</v>
      </c>
      <c r="D491" s="71" t="s">
        <v>14</v>
      </c>
      <c r="E491" s="78"/>
      <c r="F491" s="63"/>
      <c r="G491" s="72"/>
      <c r="H491" s="107">
        <f>VLOOKUP(M491,'Listado Precios'!$A:$C,3,0)</f>
        <v>10000</v>
      </c>
      <c r="I491" s="107">
        <f>VLOOKUP(M491,'Listado Precios'!$A:$C,2,0)</f>
        <v>4500</v>
      </c>
      <c r="J491" s="115">
        <v>45536</v>
      </c>
      <c r="K491" s="86"/>
      <c r="M491" s="16" t="str">
        <f>CONCATENATE(Registro!$C491,Registro!$D491)</f>
        <v>IPTV1 pantalla</v>
      </c>
    </row>
    <row r="492" spans="1:13" ht="15.75" customHeight="1">
      <c r="A492" s="19" t="s">
        <v>1099</v>
      </c>
      <c r="B492" s="19" t="s">
        <v>1100</v>
      </c>
      <c r="C492" s="7" t="s">
        <v>17</v>
      </c>
      <c r="D492" s="71"/>
      <c r="E492" s="78" t="s">
        <v>1101</v>
      </c>
      <c r="F492" s="63"/>
      <c r="G492" s="72"/>
      <c r="H492" s="107">
        <f>VLOOKUP(M492,'Listado Precios'!$A:$C,3,0)</f>
        <v>8000</v>
      </c>
      <c r="I492" s="107">
        <f>VLOOKUP(M492,'Listado Precios'!$A:$C,2,0)</f>
        <v>5280</v>
      </c>
      <c r="J492" s="115">
        <v>45536</v>
      </c>
      <c r="K492" s="61"/>
      <c r="M492" s="16" t="str">
        <f>CONCATENATE(Registro!$C492,Registro!$D492)</f>
        <v>Spotify</v>
      </c>
    </row>
    <row r="493" spans="1:13" ht="15.75" customHeight="1">
      <c r="A493" s="7" t="s">
        <v>1102</v>
      </c>
      <c r="B493" s="7" t="s">
        <v>577</v>
      </c>
      <c r="C493" s="117" t="s">
        <v>22</v>
      </c>
      <c r="D493" s="63" t="s">
        <v>14</v>
      </c>
      <c r="E493" s="64" t="s">
        <v>1103</v>
      </c>
      <c r="F493" s="123" t="s">
        <v>1104</v>
      </c>
      <c r="G493" s="68" t="s">
        <v>1105</v>
      </c>
      <c r="H493" s="107" t="e">
        <f>VLOOKUP(M493,'Listado Precios'!$A:$C,3,0)</f>
        <v>#N/A</v>
      </c>
      <c r="I493" s="107" t="e">
        <f>VLOOKUP(M493,'Listado Precios'!$A:$C,2,0)</f>
        <v>#N/A</v>
      </c>
      <c r="J493" s="115">
        <v>45536</v>
      </c>
      <c r="K493" s="61"/>
      <c r="M493" s="16" t="str">
        <f>CONCATENATE(Registro!$C508,Registro!$D508)</f>
        <v xml:space="preserve">Netflix2 pantallas </v>
      </c>
    </row>
    <row r="494" spans="1:13" ht="15.75" customHeight="1">
      <c r="A494" s="19" t="s">
        <v>1106</v>
      </c>
      <c r="B494" s="19" t="s">
        <v>1107</v>
      </c>
      <c r="C494" s="7" t="s">
        <v>13</v>
      </c>
      <c r="D494" s="71" t="s">
        <v>14</v>
      </c>
      <c r="E494" s="78" t="s">
        <v>1108</v>
      </c>
      <c r="F494" s="123" t="s">
        <v>1109</v>
      </c>
      <c r="G494" s="72" t="s">
        <v>1110</v>
      </c>
      <c r="H494" s="107">
        <f>VLOOKUP(M494,'Listado Precios'!$A:$C,3,0)</f>
        <v>13000</v>
      </c>
      <c r="I494" s="107">
        <f>VLOOKUP(M494,'Listado Precios'!$A:$C,2,0)</f>
        <v>7600</v>
      </c>
      <c r="J494" s="115">
        <v>45536</v>
      </c>
      <c r="K494" s="61"/>
      <c r="M494" s="16" t="str">
        <f>CONCATENATE(Registro!$C509,Registro!$D509)</f>
        <v>Netflix1 pantalla</v>
      </c>
    </row>
    <row r="495" spans="1:13" ht="15.75" customHeight="1">
      <c r="A495" s="19" t="s">
        <v>1111</v>
      </c>
      <c r="B495" s="19" t="s">
        <v>1112</v>
      </c>
      <c r="C495" s="7" t="s">
        <v>22</v>
      </c>
      <c r="D495" s="71" t="s">
        <v>14</v>
      </c>
      <c r="E495" s="78" t="s">
        <v>1113</v>
      </c>
      <c r="F495" s="123" t="s">
        <v>1114</v>
      </c>
      <c r="G495" s="72" t="s">
        <v>492</v>
      </c>
      <c r="H495" s="107">
        <f>VLOOKUP(M495,'Listado Precios'!$A:$C,3,0)</f>
        <v>8000</v>
      </c>
      <c r="I495" s="107">
        <f>VLOOKUP(M495,'Listado Precios'!$A:$C,2,0)</f>
        <v>5280</v>
      </c>
      <c r="J495" s="115">
        <v>45536</v>
      </c>
      <c r="K495" s="61"/>
      <c r="M495" s="16" t="str">
        <f>CONCATENATE(Registro!$C510,Registro!$D510)</f>
        <v>Spotify</v>
      </c>
    </row>
    <row r="496" spans="1:13" ht="15.75" customHeight="1">
      <c r="A496" s="19" t="s">
        <v>1115</v>
      </c>
      <c r="B496" s="19" t="s">
        <v>1107</v>
      </c>
      <c r="C496" s="7" t="s">
        <v>25</v>
      </c>
      <c r="D496" s="71" t="s">
        <v>14</v>
      </c>
      <c r="E496" s="78" t="s">
        <v>272</v>
      </c>
      <c r="F496" s="123" t="s">
        <v>1116</v>
      </c>
      <c r="G496" s="72" t="s">
        <v>1117</v>
      </c>
      <c r="H496" s="107">
        <f>VLOOKUP(M496,'Listado Precios'!$A:$C,3,0)</f>
        <v>10000</v>
      </c>
      <c r="I496" s="107">
        <f>VLOOKUP(M496,'Listado Precios'!$A:$C,2,0)</f>
        <v>5000</v>
      </c>
      <c r="J496" s="115">
        <v>45536</v>
      </c>
      <c r="K496" s="61"/>
      <c r="M496" s="16" t="str">
        <f>CONCATENATE(Registro!$C511,Registro!$D511)</f>
        <v>DisneyE1 pantalla</v>
      </c>
    </row>
    <row r="497" spans="1:13" ht="15.75" customHeight="1">
      <c r="A497" s="66" t="s">
        <v>81</v>
      </c>
      <c r="B497" s="66" t="s">
        <v>1118</v>
      </c>
      <c r="C497" s="7" t="s">
        <v>571</v>
      </c>
      <c r="D497" s="71" t="s">
        <v>14</v>
      </c>
      <c r="E497" s="92"/>
      <c r="F497" s="116"/>
      <c r="G497" s="92"/>
      <c r="H497" s="107">
        <f>VLOOKUP(M497,'Listado Precios'!$A:$C,3,0)</f>
        <v>8000</v>
      </c>
      <c r="I497" s="107">
        <f>VLOOKUP(M497,'Listado Precios'!$A:$C,2,0)</f>
        <v>5280</v>
      </c>
      <c r="J497" s="115">
        <v>45536</v>
      </c>
      <c r="K497" s="61"/>
      <c r="M497" s="16" t="str">
        <f>CONCATENATE(Registro!$C512,Registro!$D512)</f>
        <v>Spotify</v>
      </c>
    </row>
    <row r="498" spans="1:13" ht="15.75" customHeight="1">
      <c r="A498" s="19" t="s">
        <v>1119</v>
      </c>
      <c r="B498" s="17" t="s">
        <v>1120</v>
      </c>
      <c r="C498" s="7" t="s">
        <v>13</v>
      </c>
      <c r="D498" s="71" t="s">
        <v>14</v>
      </c>
      <c r="E498" s="78" t="s">
        <v>1121</v>
      </c>
      <c r="F498" s="123" t="s">
        <v>1122</v>
      </c>
      <c r="G498" s="72"/>
      <c r="H498" s="107">
        <f>VLOOKUP(M498,'Listado Precios'!$A:$C,3,0)</f>
        <v>13000</v>
      </c>
      <c r="I498" s="107">
        <f>VLOOKUP(M498,'Listado Precios'!$A:$C,2,0)</f>
        <v>7600</v>
      </c>
      <c r="J498" s="115">
        <v>45536</v>
      </c>
      <c r="K498" s="86"/>
      <c r="M498" s="16" t="str">
        <f>CONCATENATE(Registro!$C513,Registro!$D513)</f>
        <v>Netflix1 pantalla</v>
      </c>
    </row>
    <row r="499" spans="1:13" ht="15.75" customHeight="1">
      <c r="A499" s="19" t="s">
        <v>1123</v>
      </c>
      <c r="B499" s="17" t="s">
        <v>1124</v>
      </c>
      <c r="C499" s="7" t="s">
        <v>22</v>
      </c>
      <c r="D499" s="71" t="s">
        <v>14</v>
      </c>
      <c r="E499" s="78" t="s">
        <v>1125</v>
      </c>
      <c r="F499" s="123" t="s">
        <v>1126</v>
      </c>
      <c r="G499" s="72" t="s">
        <v>1127</v>
      </c>
      <c r="H499" s="107">
        <f>VLOOKUP(M499,'Listado Precios'!$A:$C,3,0)</f>
        <v>13000</v>
      </c>
      <c r="I499" s="107">
        <f>VLOOKUP(M499,'Listado Precios'!$A:$C,2,0)</f>
        <v>7600</v>
      </c>
      <c r="J499" s="115">
        <v>45536</v>
      </c>
      <c r="K499" s="61"/>
      <c r="M499" s="16" t="str">
        <f>CONCATENATE(Registro!$C514,Registro!$D514)</f>
        <v>Netflix1 pantalla</v>
      </c>
    </row>
    <row r="500" spans="1:13" ht="15.75" customHeight="1">
      <c r="A500" s="7" t="s">
        <v>1128</v>
      </c>
      <c r="B500" s="8" t="s">
        <v>1129</v>
      </c>
      <c r="C500" s="117" t="s">
        <v>22</v>
      </c>
      <c r="D500" s="63" t="s">
        <v>14</v>
      </c>
      <c r="E500" s="64" t="s">
        <v>1130</v>
      </c>
      <c r="F500" s="123" t="s">
        <v>1131</v>
      </c>
      <c r="G500" s="68"/>
      <c r="H500" s="107">
        <f>VLOOKUP(M500,'Listado Precios'!$A:$C,3,0)</f>
        <v>13000</v>
      </c>
      <c r="I500" s="107">
        <f>VLOOKUP(M500,'Listado Precios'!$A:$C,2,0)</f>
        <v>7600</v>
      </c>
      <c r="J500" s="115">
        <v>45536</v>
      </c>
      <c r="K500" s="61"/>
      <c r="M500" s="16" t="str">
        <f>CONCATENATE(Registro!$C515,Registro!$D515)</f>
        <v>Netflix1 pantalla</v>
      </c>
    </row>
    <row r="501" spans="1:13" ht="15.75" customHeight="1">
      <c r="A501" s="19" t="s">
        <v>1132</v>
      </c>
      <c r="B501" s="19" t="s">
        <v>1133</v>
      </c>
      <c r="C501" s="117" t="s">
        <v>22</v>
      </c>
      <c r="D501" s="63" t="s">
        <v>14</v>
      </c>
      <c r="E501" s="64" t="s">
        <v>126</v>
      </c>
      <c r="F501" s="123" t="s">
        <v>1134</v>
      </c>
      <c r="G501" s="68"/>
      <c r="H501" s="107">
        <f>VLOOKUP(M501,'Listado Precios'!$A:$C,3,0)</f>
        <v>8000</v>
      </c>
      <c r="I501" s="107">
        <f>VLOOKUP(M501,'Listado Precios'!$A:$C,2,0)</f>
        <v>5000</v>
      </c>
      <c r="J501" s="115">
        <v>45536</v>
      </c>
      <c r="K501" s="61"/>
      <c r="M501" s="16" t="str">
        <f>CONCATENATE(Registro!$C516,Registro!$D516)</f>
        <v>PrimeVideo1 pantalla</v>
      </c>
    </row>
    <row r="502" spans="1:13" ht="15.75" customHeight="1">
      <c r="A502" s="63" t="s">
        <v>586</v>
      </c>
      <c r="B502" s="63" t="s">
        <v>1135</v>
      </c>
      <c r="C502" s="117" t="s">
        <v>13</v>
      </c>
      <c r="D502" s="80" t="s">
        <v>14</v>
      </c>
      <c r="E502" s="74" t="s">
        <v>1136</v>
      </c>
      <c r="F502" s="123">
        <v>990222</v>
      </c>
      <c r="G502" s="72" t="s">
        <v>108</v>
      </c>
      <c r="H502" s="107">
        <f>VLOOKUP(M502,'Listado Precios'!$A:$C,3,0)</f>
        <v>8000</v>
      </c>
      <c r="I502" s="107">
        <f>VLOOKUP(M502,'Listado Precios'!$A:$C,2,0)</f>
        <v>5280</v>
      </c>
      <c r="J502" s="115">
        <v>45536</v>
      </c>
      <c r="K502" s="61"/>
      <c r="M502" s="16" t="str">
        <f>CONCATENATE(Registro!$C517,Registro!$D517)</f>
        <v>Spotify</v>
      </c>
    </row>
    <row r="503" spans="1:13" ht="15.75" customHeight="1">
      <c r="A503" s="19" t="s">
        <v>1137</v>
      </c>
      <c r="B503" s="19" t="s">
        <v>1138</v>
      </c>
      <c r="C503" s="7" t="s">
        <v>263</v>
      </c>
      <c r="D503" s="71" t="s">
        <v>14</v>
      </c>
      <c r="E503" s="78" t="s">
        <v>1080</v>
      </c>
      <c r="F503" s="123" t="s">
        <v>1081</v>
      </c>
      <c r="G503" s="72"/>
      <c r="H503" s="107">
        <f>VLOOKUP(M503,'Listado Precios'!$A:$C,3,0)</f>
        <v>8000</v>
      </c>
      <c r="I503" s="107">
        <f>VLOOKUP(M503,'Listado Precios'!$A:$C,2,0)</f>
        <v>5000</v>
      </c>
      <c r="J503" s="115">
        <v>45536</v>
      </c>
      <c r="K503" s="61"/>
      <c r="M503" s="16" t="str">
        <f>CONCATENATE(Registro!$C518,Registro!$D518)</f>
        <v>PrimeVideo1 pantalla</v>
      </c>
    </row>
    <row r="504" spans="1:13" ht="15.75" customHeight="1">
      <c r="A504" s="66" t="s">
        <v>1139</v>
      </c>
      <c r="B504" s="66" t="s">
        <v>1140</v>
      </c>
      <c r="C504" s="7" t="s">
        <v>25</v>
      </c>
      <c r="D504" s="71" t="s">
        <v>14</v>
      </c>
      <c r="E504" s="92" t="s">
        <v>1141</v>
      </c>
      <c r="F504" s="92" t="s">
        <v>782</v>
      </c>
      <c r="G504" s="92"/>
      <c r="H504" s="107">
        <f>VLOOKUP(M504,'Listado Precios'!$A:$C,3,0)</f>
        <v>13000</v>
      </c>
      <c r="I504" s="107">
        <f>VLOOKUP(M504,'Listado Precios'!$A:$C,2,0)</f>
        <v>7600</v>
      </c>
      <c r="J504" s="115">
        <v>45536</v>
      </c>
      <c r="K504" s="160"/>
      <c r="M504" s="16" t="str">
        <f>CONCATENATE(Registro!$C519,Registro!$D519)</f>
        <v>Netflix1 pantalla</v>
      </c>
    </row>
    <row r="505" spans="1:13" ht="15.75" customHeight="1">
      <c r="A505" s="7" t="s">
        <v>1142</v>
      </c>
      <c r="B505" s="7" t="s">
        <v>1143</v>
      </c>
      <c r="C505" s="117" t="s">
        <v>17</v>
      </c>
      <c r="D505" s="80"/>
      <c r="E505" s="74" t="s">
        <v>1144</v>
      </c>
      <c r="F505" s="63"/>
      <c r="G505" s="72"/>
      <c r="H505" s="107">
        <f>VLOOKUP(M505,'Listado Precios'!$A:$C,3,0)</f>
        <v>7000</v>
      </c>
      <c r="I505" s="107">
        <f>VLOOKUP(M505,'Listado Precios'!$A:$C,2,0)</f>
        <v>3200</v>
      </c>
      <c r="J505" s="115">
        <v>45536</v>
      </c>
      <c r="K505" s="61"/>
      <c r="M505" s="16" t="str">
        <f>CONCATENATE(Registro!$C520,Registro!$D520)</f>
        <v>Youtube</v>
      </c>
    </row>
    <row r="506" spans="1:13" ht="15.75" customHeight="1">
      <c r="A506" s="19" t="s">
        <v>1145</v>
      </c>
      <c r="B506" s="19" t="s">
        <v>1146</v>
      </c>
      <c r="C506" s="7" t="s">
        <v>13</v>
      </c>
      <c r="D506" s="71" t="s">
        <v>14</v>
      </c>
      <c r="E506" s="78"/>
      <c r="F506" s="63"/>
      <c r="G506" s="72"/>
      <c r="H506" s="107">
        <f>VLOOKUP(M506,'Listado Precios'!$A:$C,3,0)</f>
        <v>8000</v>
      </c>
      <c r="I506" s="107">
        <f>VLOOKUP(M506,'Listado Precios'!$A:$C,2,0)</f>
        <v>5280</v>
      </c>
      <c r="J506" s="115">
        <v>45536</v>
      </c>
      <c r="K506" s="86"/>
      <c r="M506" s="16" t="str">
        <f>CONCATENATE(Registro!$C521,Registro!$D521)</f>
        <v>Spotify</v>
      </c>
    </row>
    <row r="507" spans="1:13" ht="15.75" customHeight="1">
      <c r="A507" s="19" t="s">
        <v>1147</v>
      </c>
      <c r="B507" s="17" t="s">
        <v>1148</v>
      </c>
      <c r="C507" s="7" t="s">
        <v>22</v>
      </c>
      <c r="D507" s="71" t="s">
        <v>14</v>
      </c>
      <c r="E507" s="78"/>
      <c r="F507" s="63"/>
      <c r="G507" s="72"/>
      <c r="H507" s="107">
        <f>VLOOKUP(M507,'Listado Precios'!$A:$C,3,0)</f>
        <v>13000</v>
      </c>
      <c r="I507" s="107">
        <f>VLOOKUP(M507,'Listado Precios'!$A:$C,2,0)</f>
        <v>7600</v>
      </c>
      <c r="J507" s="115">
        <v>45536</v>
      </c>
      <c r="K507" s="86"/>
      <c r="M507" s="16" t="str">
        <f>CONCATENATE(Registro!$C522,Registro!$D522)</f>
        <v>Netflix1 pantalla</v>
      </c>
    </row>
    <row r="508" spans="1:13" ht="15.75" customHeight="1">
      <c r="A508" s="171" t="s">
        <v>1149</v>
      </c>
      <c r="B508" s="7" t="s">
        <v>1150</v>
      </c>
      <c r="C508" s="117" t="s">
        <v>22</v>
      </c>
      <c r="D508" s="63" t="s">
        <v>144</v>
      </c>
      <c r="E508" s="78" t="s">
        <v>126</v>
      </c>
      <c r="F508" s="63" t="s">
        <v>127</v>
      </c>
      <c r="G508" s="72"/>
      <c r="H508" s="107">
        <f>VLOOKUP(M508,'Listado Precios'!$A:$C,3,0)</f>
        <v>13000</v>
      </c>
      <c r="I508" s="107">
        <f>VLOOKUP(M508,'Listado Precios'!$A:$C,2,0)</f>
        <v>7600</v>
      </c>
      <c r="J508" s="115">
        <v>45536</v>
      </c>
      <c r="K508" s="61"/>
      <c r="M508" s="16" t="str">
        <f>CONCATENATE(Registro!$C523,Registro!$D523)</f>
        <v>Netflix1 pantalla</v>
      </c>
    </row>
    <row r="509" spans="1:13" ht="15.75" customHeight="1">
      <c r="A509" s="7" t="s">
        <v>275</v>
      </c>
      <c r="B509" s="7" t="s">
        <v>1151</v>
      </c>
      <c r="C509" s="117" t="s">
        <v>22</v>
      </c>
      <c r="D509" s="63" t="s">
        <v>14</v>
      </c>
      <c r="E509" s="78" t="s">
        <v>126</v>
      </c>
      <c r="F509" s="63" t="s">
        <v>127</v>
      </c>
      <c r="G509" s="72"/>
      <c r="H509" s="107">
        <f>VLOOKUP(M509,'Listado Precios'!$A:$C,3,0)</f>
        <v>8000</v>
      </c>
      <c r="I509" s="107">
        <f>VLOOKUP(M509,'Listado Precios'!$A:$C,2,0)</f>
        <v>5000</v>
      </c>
      <c r="J509" s="115">
        <v>45536</v>
      </c>
      <c r="K509" s="61"/>
      <c r="M509" s="16" t="str">
        <f>CONCATENATE(Registro!$C524,Registro!$D524)</f>
        <v>HBO1 pantalla</v>
      </c>
    </row>
    <row r="510" spans="1:13" ht="15.75" customHeight="1">
      <c r="A510" s="7" t="s">
        <v>1152</v>
      </c>
      <c r="B510" s="7" t="s">
        <v>1153</v>
      </c>
      <c r="C510" s="117" t="s">
        <v>17</v>
      </c>
      <c r="D510" s="80"/>
      <c r="E510" s="74"/>
      <c r="F510" s="63"/>
      <c r="G510" s="72"/>
      <c r="H510" s="107">
        <f>VLOOKUP(M510,'Listado Precios'!$A:$C,3,0)</f>
        <v>13000</v>
      </c>
      <c r="I510" s="107">
        <f>VLOOKUP(M510,'Listado Precios'!$A:$C,2,0)</f>
        <v>7600</v>
      </c>
      <c r="J510" s="115">
        <v>45536</v>
      </c>
      <c r="K510" s="61"/>
      <c r="M510" s="16" t="str">
        <f>CONCATENATE(Registro!$C525,Registro!$D525)</f>
        <v>Netflix1 pantalla</v>
      </c>
    </row>
    <row r="511" spans="1:13" ht="15.75" customHeight="1">
      <c r="A511" s="66" t="s">
        <v>1154</v>
      </c>
      <c r="B511" s="67" t="s">
        <v>1155</v>
      </c>
      <c r="C511" s="7" t="s">
        <v>460</v>
      </c>
      <c r="D511" s="71" t="s">
        <v>14</v>
      </c>
      <c r="E511" s="78" t="s">
        <v>1156</v>
      </c>
      <c r="F511" s="63" t="s">
        <v>1157</v>
      </c>
      <c r="G511" s="72" t="s">
        <v>492</v>
      </c>
      <c r="H511" s="107">
        <f>VLOOKUP(M511,'Listado Precios'!$A:$C,3,0)</f>
        <v>8000</v>
      </c>
      <c r="I511" s="107">
        <f>VLOOKUP(M511,'Listado Precios'!$A:$C,2,0)</f>
        <v>5000</v>
      </c>
      <c r="J511" s="115">
        <v>45536</v>
      </c>
      <c r="K511" s="62"/>
      <c r="M511" s="16" t="str">
        <f>CONCATENATE(Registro!$C526,Registro!$D526)</f>
        <v>PrimeVideo1 pantalla</v>
      </c>
    </row>
    <row r="512" spans="1:13" ht="15.75" customHeight="1">
      <c r="A512" s="7" t="s">
        <v>1158</v>
      </c>
      <c r="B512" s="7" t="s">
        <v>1159</v>
      </c>
      <c r="C512" s="117" t="s">
        <v>17</v>
      </c>
      <c r="D512" s="80"/>
      <c r="E512" s="74" t="s">
        <v>1160</v>
      </c>
      <c r="F512" s="63"/>
      <c r="G512" s="72"/>
      <c r="H512" s="107">
        <f>VLOOKUP(M512,'Listado Precios'!$A:$C,3,0)</f>
        <v>8000</v>
      </c>
      <c r="I512" s="107">
        <f>VLOOKUP(M512,'Listado Precios'!$A:$C,2,0)</f>
        <v>5000</v>
      </c>
      <c r="J512" s="115">
        <v>45536</v>
      </c>
      <c r="K512" s="61"/>
      <c r="M512" s="16" t="str">
        <f>CONCATENATE(Registro!$C527,Registro!$D527)</f>
        <v>Crunchyroll1 pantalla</v>
      </c>
    </row>
    <row r="513" spans="1:13" ht="15.75" customHeight="1">
      <c r="A513" s="7" t="s">
        <v>1161</v>
      </c>
      <c r="B513" s="8" t="s">
        <v>1162</v>
      </c>
      <c r="C513" s="117" t="s">
        <v>22</v>
      </c>
      <c r="D513" s="63" t="s">
        <v>14</v>
      </c>
      <c r="E513" s="64" t="s">
        <v>1163</v>
      </c>
      <c r="F513" s="63" t="s">
        <v>1164</v>
      </c>
      <c r="G513" s="68" t="s">
        <v>977</v>
      </c>
      <c r="H513" s="107">
        <f>VLOOKUP(M513,'Listado Precios'!$A:$C,3,0)</f>
        <v>13000</v>
      </c>
      <c r="I513" s="107">
        <f>VLOOKUP(M513,'Listado Precios'!$A:$C,2,0)</f>
        <v>7600</v>
      </c>
      <c r="J513" s="115">
        <v>45536</v>
      </c>
      <c r="K513" s="61"/>
      <c r="M513" s="16" t="str">
        <f>CONCATENATE(Registro!$C528,Registro!$D528)</f>
        <v>Netflix1 pantalla</v>
      </c>
    </row>
    <row r="514" spans="1:13" ht="15.75" customHeight="1">
      <c r="A514" s="7" t="s">
        <v>1165</v>
      </c>
      <c r="B514" s="7" t="s">
        <v>1166</v>
      </c>
      <c r="C514" s="117" t="s">
        <v>22</v>
      </c>
      <c r="D514" s="63" t="s">
        <v>14</v>
      </c>
      <c r="E514" s="64" t="s">
        <v>1167</v>
      </c>
      <c r="F514" s="63" t="s">
        <v>1168</v>
      </c>
      <c r="G514" s="68" t="s">
        <v>1169</v>
      </c>
      <c r="H514" s="107">
        <f>VLOOKUP(M514,'Listado Precios'!$A:$C,3,0)</f>
        <v>8000</v>
      </c>
      <c r="I514" s="107">
        <f>VLOOKUP(M514,'Listado Precios'!$A:$C,2,0)</f>
        <v>5000</v>
      </c>
      <c r="J514" s="115">
        <v>45536</v>
      </c>
      <c r="K514" s="61"/>
      <c r="M514" s="16" t="str">
        <f>CONCATENATE(Registro!$C529,Registro!$D529)</f>
        <v>PrimeVideo1 pantalla</v>
      </c>
    </row>
    <row r="515" spans="1:13" ht="15.75" customHeight="1">
      <c r="A515" s="7" t="s">
        <v>1170</v>
      </c>
      <c r="B515" s="8" t="s">
        <v>1171</v>
      </c>
      <c r="C515" s="117" t="s">
        <v>22</v>
      </c>
      <c r="D515" s="63" t="s">
        <v>14</v>
      </c>
      <c r="E515" s="78" t="s">
        <v>1172</v>
      </c>
      <c r="F515" s="63" t="s">
        <v>1173</v>
      </c>
      <c r="G515" s="72"/>
      <c r="H515" s="107">
        <f>VLOOKUP(M515,'Listado Precios'!$A:$C,3,0)</f>
        <v>10000</v>
      </c>
      <c r="I515" s="107">
        <f>VLOOKUP(M515,'Listado Precios'!$A:$C,2,0)</f>
        <v>4500</v>
      </c>
      <c r="J515" s="115">
        <v>45536</v>
      </c>
      <c r="K515" s="61"/>
      <c r="M515" s="16" t="str">
        <f>CONCATENATE(Registro!$C530,Registro!$D530)</f>
        <v>IPTV1 pantalla</v>
      </c>
    </row>
    <row r="516" spans="1:13" ht="15.75" customHeight="1">
      <c r="A516" s="19" t="s">
        <v>1174</v>
      </c>
      <c r="B516" s="19" t="s">
        <v>1175</v>
      </c>
      <c r="C516" s="7" t="s">
        <v>13</v>
      </c>
      <c r="D516" s="71" t="s">
        <v>14</v>
      </c>
      <c r="E516" s="78" t="s">
        <v>1176</v>
      </c>
      <c r="F516" s="63" t="s">
        <v>451</v>
      </c>
      <c r="G516" s="72" t="s">
        <v>1066</v>
      </c>
      <c r="H516" s="107">
        <f>VLOOKUP(M516,'Listado Precios'!$A:$C,3,0)</f>
        <v>10000</v>
      </c>
      <c r="I516" s="107">
        <f>VLOOKUP(M516,'Listado Precios'!$A:$C,2,0)</f>
        <v>4500</v>
      </c>
      <c r="J516" s="115">
        <v>45536</v>
      </c>
      <c r="K516" s="61"/>
      <c r="M516" s="16" t="str">
        <f>CONCATENATE(Registro!$C531,Registro!$D531)</f>
        <v>IPTV1 pantalla</v>
      </c>
    </row>
    <row r="517" spans="1:13" ht="15.75" customHeight="1">
      <c r="A517" s="19" t="s">
        <v>1177</v>
      </c>
      <c r="B517" s="19" t="s">
        <v>1178</v>
      </c>
      <c r="C517" s="7" t="s">
        <v>17</v>
      </c>
      <c r="D517" s="71"/>
      <c r="E517" s="78" t="s">
        <v>1179</v>
      </c>
      <c r="F517" s="63"/>
      <c r="G517" s="72"/>
      <c r="H517" s="107">
        <f>VLOOKUP(M517,'Listado Precios'!$A:$C,3,0)</f>
        <v>8000</v>
      </c>
      <c r="I517" s="107">
        <f>VLOOKUP(M517,'Listado Precios'!$A:$C,2,0)</f>
        <v>5000</v>
      </c>
      <c r="J517" s="115">
        <v>45536</v>
      </c>
      <c r="K517" s="86"/>
      <c r="M517" s="16" t="str">
        <f>CONCATENATE(Registro!$C532,Registro!$D532)</f>
        <v>HBO1 pantalla</v>
      </c>
    </row>
    <row r="518" spans="1:13" ht="15.75" customHeight="1">
      <c r="A518" s="19" t="s">
        <v>1180</v>
      </c>
      <c r="B518" s="19" t="s">
        <v>1143</v>
      </c>
      <c r="C518" s="7" t="s">
        <v>13</v>
      </c>
      <c r="D518" s="71" t="s">
        <v>14</v>
      </c>
      <c r="E518" s="78" t="s">
        <v>696</v>
      </c>
      <c r="F518" s="63" t="s">
        <v>697</v>
      </c>
      <c r="G518" s="72" t="s">
        <v>1181</v>
      </c>
      <c r="H518" s="107">
        <f>VLOOKUP(M518,'Listado Precios'!$A:$C,3,0)</f>
        <v>8000</v>
      </c>
      <c r="I518" s="107">
        <f>VLOOKUP(M518,'Listado Precios'!$A:$C,2,0)</f>
        <v>5000</v>
      </c>
      <c r="J518" s="115">
        <v>45536</v>
      </c>
      <c r="K518" s="61"/>
      <c r="M518" s="16" t="str">
        <f>CONCATENATE(Registro!$C533,Registro!$D533)</f>
        <v>Vix1 pantalla</v>
      </c>
    </row>
    <row r="519" spans="1:13" ht="15.75" customHeight="1">
      <c r="A519" s="19" t="s">
        <v>1182</v>
      </c>
      <c r="B519" s="19" t="s">
        <v>1183</v>
      </c>
      <c r="C519" s="7" t="s">
        <v>22</v>
      </c>
      <c r="D519" s="71" t="s">
        <v>14</v>
      </c>
      <c r="E519" s="78" t="s">
        <v>1184</v>
      </c>
      <c r="F519" s="63" t="s">
        <v>1185</v>
      </c>
      <c r="G519" s="72" t="s">
        <v>492</v>
      </c>
      <c r="H519" s="107">
        <f>VLOOKUP(M519,'Listado Precios'!$A:$C,3,0)</f>
        <v>8000</v>
      </c>
      <c r="I519" s="107">
        <f>VLOOKUP(M519,'Listado Precios'!$A:$C,2,0)</f>
        <v>5000</v>
      </c>
      <c r="J519" s="115">
        <v>45536</v>
      </c>
      <c r="K519" s="61"/>
      <c r="M519" s="16" t="str">
        <f>CONCATENATE(Registro!$C534,Registro!$D534)</f>
        <v>Crunchyroll1 pantalla</v>
      </c>
    </row>
    <row r="520" spans="1:13" ht="15.75" customHeight="1">
      <c r="A520" s="7" t="s">
        <v>1186</v>
      </c>
      <c r="B520" s="8" t="s">
        <v>1187</v>
      </c>
      <c r="C520" s="117" t="s">
        <v>406</v>
      </c>
      <c r="D520" s="63"/>
      <c r="E520" s="64" t="s">
        <v>1188</v>
      </c>
      <c r="F520" s="63" t="s">
        <v>415</v>
      </c>
      <c r="G520" s="68"/>
      <c r="H520" s="107">
        <f>VLOOKUP(M520,'Listado Precios'!$A:$C,3,0)</f>
        <v>8000</v>
      </c>
      <c r="I520" s="107">
        <f>VLOOKUP(M520,'Listado Precios'!$A:$C,2,0)</f>
        <v>5000</v>
      </c>
      <c r="J520" s="115">
        <v>45536</v>
      </c>
      <c r="K520" s="61"/>
      <c r="M520" s="16" t="str">
        <f>CONCATENATE(Registro!$C535,Registro!$D535)</f>
        <v>PrimeVideo1 pantalla</v>
      </c>
    </row>
    <row r="521" spans="1:13" ht="15.75" customHeight="1">
      <c r="A521" s="19" t="s">
        <v>1189</v>
      </c>
      <c r="B521" s="19" t="s">
        <v>1190</v>
      </c>
      <c r="C521" s="7" t="s">
        <v>17</v>
      </c>
      <c r="D521" s="71"/>
      <c r="E521" s="64" t="s">
        <v>1189</v>
      </c>
      <c r="F521" s="63"/>
      <c r="G521" s="72"/>
      <c r="H521" s="107">
        <f>VLOOKUP(M521,'Listado Precios'!$A:$C,3,0)</f>
        <v>13000</v>
      </c>
      <c r="I521" s="107">
        <f>VLOOKUP(M521,'Listado Precios'!$A:$C,2,0)</f>
        <v>7600</v>
      </c>
      <c r="J521" s="115">
        <v>45536</v>
      </c>
      <c r="K521" s="61"/>
      <c r="M521" s="16" t="str">
        <f>CONCATENATE(Registro!$C536,Registro!$D536)</f>
        <v>Netflix1 pantalla</v>
      </c>
    </row>
    <row r="522" spans="1:13" ht="15.75" customHeight="1">
      <c r="A522" s="19" t="s">
        <v>1191</v>
      </c>
      <c r="B522" s="17" t="s">
        <v>1192</v>
      </c>
      <c r="C522" s="7" t="s">
        <v>22</v>
      </c>
      <c r="D522" s="71" t="s">
        <v>14</v>
      </c>
      <c r="E522" s="78"/>
      <c r="F522" s="63"/>
      <c r="G522" s="72"/>
      <c r="H522" s="107">
        <f>VLOOKUP(M522,'Listado Precios'!$A:$C,3,0)</f>
        <v>13000</v>
      </c>
      <c r="I522" s="107">
        <f>VLOOKUP(M522,'Listado Precios'!$A:$C,2,0)</f>
        <v>7600</v>
      </c>
      <c r="J522" s="115">
        <v>45536</v>
      </c>
      <c r="K522" s="61"/>
      <c r="M522" s="16" t="str">
        <f>CONCATENATE(Registro!$C537,Registro!$D537)</f>
        <v>Netflix1 pantalla</v>
      </c>
    </row>
    <row r="523" spans="1:13" ht="15.75" customHeight="1">
      <c r="A523" s="7" t="s">
        <v>1193</v>
      </c>
      <c r="B523" s="7" t="s">
        <v>1194</v>
      </c>
      <c r="C523" s="117" t="s">
        <v>22</v>
      </c>
      <c r="D523" s="63" t="s">
        <v>14</v>
      </c>
      <c r="E523" s="64"/>
      <c r="F523" s="63"/>
      <c r="G523" s="68"/>
      <c r="H523" s="107">
        <f>VLOOKUP(M523,'Listado Precios'!$A:$C,3,0)</f>
        <v>13000</v>
      </c>
      <c r="I523" s="107">
        <f>VLOOKUP(M523,'Listado Precios'!$A:$C,2,0)</f>
        <v>7600</v>
      </c>
      <c r="J523" s="115">
        <v>45536</v>
      </c>
      <c r="K523" s="61"/>
      <c r="M523" s="16" t="str">
        <f>CONCATENATE(Registro!$C538,Registro!$D538)</f>
        <v>Netflix1 pantalla</v>
      </c>
    </row>
    <row r="524" spans="1:13" ht="15.75" customHeight="1">
      <c r="A524" s="7" t="s">
        <v>1195</v>
      </c>
      <c r="B524" s="7" t="s">
        <v>1196</v>
      </c>
      <c r="C524" s="117" t="s">
        <v>25</v>
      </c>
      <c r="D524" s="63" t="s">
        <v>14</v>
      </c>
      <c r="E524" s="64"/>
      <c r="F524" s="63"/>
      <c r="G524" s="68" t="s">
        <v>1197</v>
      </c>
      <c r="H524" s="107">
        <f>VLOOKUP(M524,'Listado Precios'!$A:$C,3,0)</f>
        <v>13000</v>
      </c>
      <c r="I524" s="107">
        <f>VLOOKUP(M524,'Listado Precios'!$A:$C,2,0)</f>
        <v>7600</v>
      </c>
      <c r="J524" s="115">
        <v>45536</v>
      </c>
      <c r="K524" s="61"/>
      <c r="M524" s="16" t="str">
        <f>CONCATENATE(Registro!$C539,Registro!$D539)</f>
        <v>Netflix1 pantalla</v>
      </c>
    </row>
    <row r="525" spans="1:13" ht="15.75" customHeight="1">
      <c r="A525" s="7" t="s">
        <v>1198</v>
      </c>
      <c r="B525" s="7" t="s">
        <v>1199</v>
      </c>
      <c r="C525" s="117" t="s">
        <v>22</v>
      </c>
      <c r="D525" s="63" t="s">
        <v>14</v>
      </c>
      <c r="E525" s="64" t="s">
        <v>94</v>
      </c>
      <c r="F525" s="63" t="s">
        <v>95</v>
      </c>
      <c r="G525" s="68"/>
      <c r="H525" s="107">
        <f>VLOOKUP(M525,'Listado Precios'!$A:$C,3,0)</f>
        <v>10000</v>
      </c>
      <c r="I525" s="107">
        <f>VLOOKUP(M525,'Listado Precios'!$A:$C,2,0)</f>
        <v>5000</v>
      </c>
      <c r="J525" s="115">
        <v>45536</v>
      </c>
      <c r="K525" s="61"/>
      <c r="M525" s="16" t="str">
        <f>CONCATENATE(Registro!$C540,Registro!$D540)</f>
        <v>DisneyE1 pantalla</v>
      </c>
    </row>
    <row r="526" spans="1:13" ht="15.75" customHeight="1">
      <c r="A526" s="19" t="s">
        <v>1200</v>
      </c>
      <c r="B526" s="19" t="s">
        <v>1201</v>
      </c>
      <c r="C526" s="7" t="s">
        <v>13</v>
      </c>
      <c r="D526" s="71" t="s">
        <v>14</v>
      </c>
      <c r="E526" s="78" t="s">
        <v>1202</v>
      </c>
      <c r="F526" s="63" t="s">
        <v>1203</v>
      </c>
      <c r="G526" s="72" t="s">
        <v>1181</v>
      </c>
      <c r="H526" s="107">
        <f>VLOOKUP(M526,'Listado Precios'!$A:$C,3,0)</f>
        <v>13000</v>
      </c>
      <c r="I526" s="107">
        <f>VLOOKUP(M526,'Listado Precios'!$A:$C,2,0)</f>
        <v>7600</v>
      </c>
      <c r="J526" s="115">
        <v>45536</v>
      </c>
      <c r="K526" s="61"/>
      <c r="M526" s="16" t="str">
        <f>CONCATENATE(Registro!$C541,Registro!$D541)</f>
        <v>Netflix1 pantalla</v>
      </c>
    </row>
    <row r="527" spans="1:13" ht="15.75" customHeight="1">
      <c r="A527" s="7" t="s">
        <v>1204</v>
      </c>
      <c r="B527" s="8" t="s">
        <v>1205</v>
      </c>
      <c r="C527" s="117" t="s">
        <v>65</v>
      </c>
      <c r="D527" s="80" t="s">
        <v>14</v>
      </c>
      <c r="E527" s="74" t="s">
        <v>1206</v>
      </c>
      <c r="F527" s="63" t="s">
        <v>1207</v>
      </c>
      <c r="G527" s="72" t="s">
        <v>108</v>
      </c>
      <c r="H527" s="107">
        <f>VLOOKUP(M527,'Listado Precios'!$A:$C,3,0)</f>
        <v>10000</v>
      </c>
      <c r="I527" s="107">
        <f>VLOOKUP(M527,'Listado Precios'!$A:$C,2,0)</f>
        <v>5000</v>
      </c>
      <c r="J527" s="115">
        <v>45536</v>
      </c>
      <c r="K527" s="61"/>
      <c r="M527" s="16" t="str">
        <f>CONCATENATE(Registro!$C542,Registro!$D542)</f>
        <v>DisneyE1 pantalla</v>
      </c>
    </row>
    <row r="528" spans="1:13" ht="15.75" customHeight="1">
      <c r="A528" s="7" t="s">
        <v>70</v>
      </c>
      <c r="B528" s="7" t="s">
        <v>1208</v>
      </c>
      <c r="C528" s="117" t="s">
        <v>22</v>
      </c>
      <c r="D528" s="80" t="s">
        <v>14</v>
      </c>
      <c r="E528" s="113" t="s">
        <v>1209</v>
      </c>
      <c r="F528" s="63" t="s">
        <v>1210</v>
      </c>
      <c r="G528" s="72" t="s">
        <v>822</v>
      </c>
      <c r="H528" s="107">
        <f>VLOOKUP(M528,'Listado Precios'!$A:$C,3,0)</f>
        <v>7000</v>
      </c>
      <c r="I528" s="107">
        <f>VLOOKUP(M528,'Listado Precios'!$A:$C,2,0)</f>
        <v>3200</v>
      </c>
      <c r="J528" s="115">
        <v>45536</v>
      </c>
      <c r="K528" s="61"/>
      <c r="M528" s="16" t="str">
        <f>CONCATENATE(Registro!$C543,Registro!$D543)</f>
        <v>Youtube</v>
      </c>
    </row>
    <row r="529" spans="1:13" ht="15.75" customHeight="1">
      <c r="A529" s="155" t="s">
        <v>1211</v>
      </c>
      <c r="B529" s="126" t="s">
        <v>1212</v>
      </c>
      <c r="C529" s="117" t="s">
        <v>13</v>
      </c>
      <c r="D529" s="63" t="s">
        <v>14</v>
      </c>
      <c r="E529" s="54" t="s">
        <v>1213</v>
      </c>
      <c r="F529" s="54" t="s">
        <v>1214</v>
      </c>
      <c r="G529" s="54">
        <v>8080</v>
      </c>
      <c r="H529" s="107" t="e">
        <f>VLOOKUP(M529,'Listado Precios'!$A:$C,3,0)</f>
        <v>#N/A</v>
      </c>
      <c r="I529" s="107" t="e">
        <f>VLOOKUP(M529,'Listado Precios'!$A:$C,2,0)</f>
        <v>#N/A</v>
      </c>
      <c r="J529" s="115">
        <v>45536</v>
      </c>
      <c r="K529" s="61"/>
      <c r="M529" s="16" t="str">
        <f>CONCATENATE(Registro!$C544,Registro!$D544)</f>
        <v/>
      </c>
    </row>
    <row r="530" spans="1:13" ht="15.75" customHeight="1">
      <c r="A530" s="7" t="s">
        <v>1215</v>
      </c>
      <c r="B530" s="8" t="s">
        <v>1216</v>
      </c>
      <c r="C530" s="117" t="s">
        <v>571</v>
      </c>
      <c r="D530" s="63" t="s">
        <v>14</v>
      </c>
      <c r="E530" s="64"/>
      <c r="F530" s="63"/>
      <c r="G530" s="72"/>
      <c r="H530" s="107">
        <f>VLOOKUP(M530,'Listado Precios'!$A:$C,3,0)</f>
        <v>13000</v>
      </c>
      <c r="I530" s="107">
        <f>VLOOKUP(M530,'Listado Precios'!$A:$C,2,0)</f>
        <v>7600</v>
      </c>
      <c r="J530" s="115">
        <v>45536</v>
      </c>
      <c r="K530" s="61"/>
      <c r="M530" s="16" t="str">
        <f>CONCATENATE(Registro!$C545,Registro!$D545)</f>
        <v>Netflix1 pantalla</v>
      </c>
    </row>
    <row r="531" spans="1:13" ht="15.75" customHeight="1">
      <c r="A531" s="7" t="s">
        <v>1217</v>
      </c>
      <c r="B531" s="7" t="s">
        <v>1218</v>
      </c>
      <c r="C531" s="117" t="s">
        <v>571</v>
      </c>
      <c r="D531" s="80" t="s">
        <v>14</v>
      </c>
      <c r="E531" s="113" t="s">
        <v>1219</v>
      </c>
      <c r="F531" s="63" t="s">
        <v>1220</v>
      </c>
      <c r="G531" s="72" t="s">
        <v>778</v>
      </c>
      <c r="H531" s="107" t="e">
        <f>VLOOKUP(M531,'Listado Precios'!$A:$C,3,0)</f>
        <v>#N/A</v>
      </c>
      <c r="I531" s="107" t="e">
        <f>VLOOKUP(M531,'Listado Precios'!$A:$C,2,0)</f>
        <v>#N/A</v>
      </c>
      <c r="J531" s="115">
        <v>45536</v>
      </c>
      <c r="K531" s="61"/>
      <c r="M531" s="16" t="str">
        <f>CONCATENATE(Registro!$C615,Registro!$D615)</f>
        <v/>
      </c>
    </row>
    <row r="532" spans="1:13" ht="15.75" customHeight="1">
      <c r="A532" s="63" t="s">
        <v>1221</v>
      </c>
      <c r="B532" s="63">
        <v>3116597113</v>
      </c>
      <c r="C532" s="7" t="s">
        <v>25</v>
      </c>
      <c r="D532" s="63" t="s">
        <v>14</v>
      </c>
      <c r="E532" s="64" t="s">
        <v>1222</v>
      </c>
      <c r="F532" s="64" t="s">
        <v>1223</v>
      </c>
      <c r="G532" s="68" t="s">
        <v>1224</v>
      </c>
      <c r="H532" s="107" t="e">
        <f>VLOOKUP(M532,'Listado Precios'!$A:$C,3,0)</f>
        <v>#N/A</v>
      </c>
      <c r="I532" s="107" t="e">
        <f>VLOOKUP(M532,'Listado Precios'!$A:$C,2,0)</f>
        <v>#N/A</v>
      </c>
      <c r="J532" s="115">
        <v>45536</v>
      </c>
      <c r="K532" s="61"/>
      <c r="M532" s="16" t="str">
        <f>CONCATENATE(Registro!$C616,Registro!$D616)</f>
        <v/>
      </c>
    </row>
    <row r="533" spans="1:13" ht="15.75" customHeight="1">
      <c r="A533" s="64" t="s">
        <v>1225</v>
      </c>
      <c r="B533" s="64" t="s">
        <v>1226</v>
      </c>
      <c r="C533" s="7" t="s">
        <v>263</v>
      </c>
      <c r="D533" s="71" t="s">
        <v>14</v>
      </c>
      <c r="E533" s="78" t="s">
        <v>1080</v>
      </c>
      <c r="F533" s="63" t="s">
        <v>1081</v>
      </c>
      <c r="G533" s="72"/>
      <c r="H533" s="107" t="e">
        <f>VLOOKUP(M533,'Listado Precios'!$A:$C,3,0)</f>
        <v>#N/A</v>
      </c>
      <c r="I533" s="107" t="e">
        <f>VLOOKUP(M533,'Listado Precios'!$A:$C,2,0)</f>
        <v>#N/A</v>
      </c>
      <c r="J533" s="115">
        <v>45536</v>
      </c>
      <c r="K533" s="61"/>
      <c r="M533" s="16" t="str">
        <f>CONCATENATE(Registro!$C617,Registro!$D617)</f>
        <v/>
      </c>
    </row>
    <row r="534" spans="1:13" ht="15.75" customHeight="1">
      <c r="A534" s="7" t="s">
        <v>1227</v>
      </c>
      <c r="B534" s="8" t="s">
        <v>1228</v>
      </c>
      <c r="C534" s="117" t="s">
        <v>65</v>
      </c>
      <c r="D534" s="63" t="s">
        <v>14</v>
      </c>
      <c r="E534" s="78" t="s">
        <v>1229</v>
      </c>
      <c r="F534" s="63" t="s">
        <v>1230</v>
      </c>
      <c r="G534" s="72"/>
      <c r="H534" s="107" t="e">
        <f>VLOOKUP(M534,'Listado Precios'!$A:$C,3,0)</f>
        <v>#N/A</v>
      </c>
      <c r="I534" s="107" t="e">
        <f>VLOOKUP(M534,'Listado Precios'!$A:$C,2,0)</f>
        <v>#N/A</v>
      </c>
      <c r="J534" s="115">
        <v>45536</v>
      </c>
      <c r="K534" s="61"/>
      <c r="M534" s="16" t="str">
        <f>CONCATENATE(Registro!$C618,Registro!$D618)</f>
        <v/>
      </c>
    </row>
    <row r="535" spans="1:13" ht="15.75" customHeight="1">
      <c r="A535" s="19" t="s">
        <v>1231</v>
      </c>
      <c r="B535" s="19" t="s">
        <v>1232</v>
      </c>
      <c r="C535" s="7" t="s">
        <v>13</v>
      </c>
      <c r="D535" s="71" t="s">
        <v>14</v>
      </c>
      <c r="E535" s="78" t="s">
        <v>1233</v>
      </c>
      <c r="F535" s="63" t="s">
        <v>323</v>
      </c>
      <c r="G535" s="72" t="s">
        <v>1234</v>
      </c>
      <c r="H535" s="107" t="e">
        <f>VLOOKUP(M535,'Listado Precios'!$A:$C,3,0)</f>
        <v>#N/A</v>
      </c>
      <c r="I535" s="107" t="e">
        <f>VLOOKUP(M535,'Listado Precios'!$A:$C,2,0)</f>
        <v>#N/A</v>
      </c>
      <c r="J535" s="115">
        <v>45536</v>
      </c>
      <c r="K535" s="61"/>
      <c r="M535" s="16" t="str">
        <f>CONCATENATE(Registro!$C619,Registro!$D619)</f>
        <v/>
      </c>
    </row>
    <row r="536" spans="1:13" ht="15.75" customHeight="1">
      <c r="A536" s="7" t="s">
        <v>1235</v>
      </c>
      <c r="B536" s="7">
        <v>3155317800</v>
      </c>
      <c r="C536" s="117" t="s">
        <v>22</v>
      </c>
      <c r="D536" s="63" t="s">
        <v>14</v>
      </c>
      <c r="E536" s="64" t="s">
        <v>1236</v>
      </c>
      <c r="F536" s="63" t="s">
        <v>1237</v>
      </c>
      <c r="G536" s="68">
        <v>5500</v>
      </c>
      <c r="H536" s="107" t="e">
        <f>VLOOKUP(M536,'Listado Precios'!$A:$C,3,0)</f>
        <v>#N/A</v>
      </c>
      <c r="I536" s="107" t="e">
        <f>VLOOKUP(M536,'Listado Precios'!$A:$C,2,0)</f>
        <v>#N/A</v>
      </c>
      <c r="J536" s="115">
        <v>45536</v>
      </c>
      <c r="K536" s="61"/>
      <c r="M536" s="16" t="str">
        <f>CONCATENATE(Registro!$C620,Registro!$D620)</f>
        <v/>
      </c>
    </row>
    <row r="537" spans="1:13" ht="15.75" customHeight="1">
      <c r="A537" s="19" t="s">
        <v>1238</v>
      </c>
      <c r="B537" s="19" t="s">
        <v>1239</v>
      </c>
      <c r="C537" s="7" t="s">
        <v>22</v>
      </c>
      <c r="D537" s="71" t="s">
        <v>14</v>
      </c>
      <c r="E537" s="113" t="s">
        <v>1086</v>
      </c>
      <c r="F537" s="63" t="s">
        <v>1087</v>
      </c>
      <c r="G537" s="72" t="s">
        <v>1197</v>
      </c>
      <c r="H537" s="107" t="e">
        <f>VLOOKUP(M537,'Listado Precios'!$A:$C,3,0)</f>
        <v>#N/A</v>
      </c>
      <c r="I537" s="107" t="e">
        <f>VLOOKUP(M537,'Listado Precios'!$A:$C,2,0)</f>
        <v>#N/A</v>
      </c>
      <c r="J537" s="115">
        <v>45536</v>
      </c>
      <c r="K537" s="61"/>
      <c r="M537" s="16" t="str">
        <f>CONCATENATE(Registro!$C621,Registro!$D621)</f>
        <v/>
      </c>
    </row>
    <row r="538" spans="1:13" ht="15.75" customHeight="1">
      <c r="A538" s="19" t="s">
        <v>1240</v>
      </c>
      <c r="B538" s="19" t="s">
        <v>1241</v>
      </c>
      <c r="C538" s="7" t="s">
        <v>22</v>
      </c>
      <c r="D538" s="71" t="s">
        <v>14</v>
      </c>
      <c r="E538" s="78" t="s">
        <v>1242</v>
      </c>
      <c r="F538" s="63" t="s">
        <v>1243</v>
      </c>
      <c r="G538" s="72" t="s">
        <v>1244</v>
      </c>
      <c r="H538" s="107" t="e">
        <f>VLOOKUP(M538,'Listado Precios'!$A:$C,3,0)</f>
        <v>#N/A</v>
      </c>
      <c r="I538" s="107" t="e">
        <f>VLOOKUP(M538,'Listado Precios'!$A:$C,2,0)</f>
        <v>#N/A</v>
      </c>
      <c r="J538" s="115">
        <v>45536</v>
      </c>
      <c r="K538" s="86"/>
      <c r="M538" s="16"/>
    </row>
    <row r="539" spans="1:13" ht="15.75" customHeight="1">
      <c r="A539" s="19" t="s">
        <v>39</v>
      </c>
      <c r="B539" s="19" t="s">
        <v>1245</v>
      </c>
      <c r="C539" s="7" t="s">
        <v>22</v>
      </c>
      <c r="D539" s="71" t="s">
        <v>14</v>
      </c>
      <c r="E539" s="78" t="s">
        <v>1246</v>
      </c>
      <c r="F539" s="63" t="s">
        <v>1247</v>
      </c>
      <c r="G539" s="72" t="s">
        <v>832</v>
      </c>
      <c r="H539" s="107" t="e">
        <f>VLOOKUP(M539,'Listado Precios'!$A:$C,3,0)</f>
        <v>#N/A</v>
      </c>
      <c r="I539" s="107" t="e">
        <f>VLOOKUP(M539,'Listado Precios'!$A:$C,2,0)</f>
        <v>#N/A</v>
      </c>
      <c r="J539" s="115">
        <v>45536</v>
      </c>
      <c r="K539" s="61"/>
      <c r="M539" s="16"/>
    </row>
    <row r="540" spans="1:13" ht="15.75" customHeight="1">
      <c r="A540" s="7" t="s">
        <v>1248</v>
      </c>
      <c r="B540" s="7" t="s">
        <v>1249</v>
      </c>
      <c r="C540" s="117" t="s">
        <v>460</v>
      </c>
      <c r="D540" s="63" t="s">
        <v>14</v>
      </c>
      <c r="E540" s="63" t="s">
        <v>1250</v>
      </c>
      <c r="F540" s="63" t="s">
        <v>1251</v>
      </c>
      <c r="G540" s="72" t="s">
        <v>997</v>
      </c>
      <c r="H540" s="107" t="e">
        <f>VLOOKUP(M540,'Listado Precios'!$A:$C,3,0)</f>
        <v>#N/A</v>
      </c>
      <c r="I540" s="107" t="e">
        <f>VLOOKUP(M540,'Listado Precios'!$A:$C,2,0)</f>
        <v>#N/A</v>
      </c>
      <c r="J540" s="115">
        <v>45536</v>
      </c>
      <c r="K540" s="61"/>
      <c r="M540" s="16"/>
    </row>
    <row r="541" spans="1:13" ht="15.75" customHeight="1">
      <c r="A541" s="7" t="s">
        <v>1252</v>
      </c>
      <c r="B541" s="7" t="s">
        <v>1253</v>
      </c>
      <c r="C541" s="117" t="s">
        <v>22</v>
      </c>
      <c r="D541" s="63" t="s">
        <v>14</v>
      </c>
      <c r="E541" s="78" t="s">
        <v>748</v>
      </c>
      <c r="F541" s="63" t="s">
        <v>749</v>
      </c>
      <c r="G541" s="72" t="s">
        <v>646</v>
      </c>
      <c r="H541" s="107" t="e">
        <f>VLOOKUP(M541,'Listado Precios'!$A:$C,3,0)</f>
        <v>#N/A</v>
      </c>
      <c r="I541" s="107" t="e">
        <f>VLOOKUP(M541,'Listado Precios'!$A:$C,2,0)</f>
        <v>#N/A</v>
      </c>
      <c r="J541" s="115">
        <v>45536</v>
      </c>
      <c r="K541" s="61"/>
      <c r="M541" s="16"/>
    </row>
    <row r="542" spans="1:13" ht="15.75" customHeight="1">
      <c r="A542" s="7" t="s">
        <v>1252</v>
      </c>
      <c r="B542" s="7" t="s">
        <v>1254</v>
      </c>
      <c r="C542" s="117" t="s">
        <v>460</v>
      </c>
      <c r="D542" s="63" t="s">
        <v>14</v>
      </c>
      <c r="E542" s="64"/>
      <c r="F542" s="63"/>
      <c r="G542" s="68"/>
      <c r="H542" s="107" t="e">
        <f>VLOOKUP(M542,'Listado Precios'!$A:$C,3,0)</f>
        <v>#N/A</v>
      </c>
      <c r="I542" s="107" t="e">
        <f>VLOOKUP(M542,'Listado Precios'!$A:$C,2,0)</f>
        <v>#N/A</v>
      </c>
      <c r="J542" s="115">
        <v>45536</v>
      </c>
      <c r="K542" s="61"/>
      <c r="M542" s="16"/>
    </row>
    <row r="543" spans="1:13" ht="15.75" customHeight="1">
      <c r="A543" s="63" t="s">
        <v>1255</v>
      </c>
      <c r="B543" s="63" t="s">
        <v>1256</v>
      </c>
      <c r="C543" s="117" t="s">
        <v>406</v>
      </c>
      <c r="D543" s="63"/>
      <c r="E543" s="64" t="s">
        <v>1257</v>
      </c>
      <c r="F543" s="63"/>
      <c r="G543" s="68"/>
      <c r="H543" s="107" t="e">
        <f>VLOOKUP(M543,'Listado Precios'!$A:$C,3,0)</f>
        <v>#N/A</v>
      </c>
      <c r="I543" s="107" t="e">
        <f>VLOOKUP(M543,'Listado Precios'!$A:$C,2,0)</f>
        <v>#N/A</v>
      </c>
      <c r="J543" s="115">
        <v>45536</v>
      </c>
      <c r="K543" s="61"/>
      <c r="M543" s="16"/>
    </row>
    <row r="544" spans="1:13" ht="15.75" customHeight="1">
      <c r="A544" s="7" t="s">
        <v>1258</v>
      </c>
      <c r="B544" s="7" t="s">
        <v>1259</v>
      </c>
      <c r="C544" s="117"/>
      <c r="D544" s="63"/>
      <c r="E544" s="78" t="s">
        <v>1260</v>
      </c>
      <c r="F544" s="63" t="s">
        <v>1261</v>
      </c>
      <c r="G544" s="72"/>
      <c r="H544" s="107" t="e">
        <f>VLOOKUP(M544,'Listado Precios'!$A:$C,3,0)</f>
        <v>#N/A</v>
      </c>
      <c r="I544" s="107" t="e">
        <f>VLOOKUP(M544,'Listado Precios'!$A:$C,2,0)</f>
        <v>#N/A</v>
      </c>
      <c r="J544" s="115">
        <v>45536</v>
      </c>
      <c r="K544" s="61"/>
      <c r="M544" s="16"/>
    </row>
    <row r="545" spans="1:13" ht="15.75" customHeight="1">
      <c r="A545" s="7" t="s">
        <v>1262</v>
      </c>
      <c r="B545" s="7" t="s">
        <v>1263</v>
      </c>
      <c r="C545" s="117" t="s">
        <v>22</v>
      </c>
      <c r="D545" s="63" t="s">
        <v>14</v>
      </c>
      <c r="E545" s="100" t="s">
        <v>1264</v>
      </c>
      <c r="F545" s="63" t="s">
        <v>1265</v>
      </c>
      <c r="G545" s="68" t="s">
        <v>977</v>
      </c>
      <c r="H545" s="107" t="e">
        <f>VLOOKUP(M545,'Listado Precios'!$A:$C,3,0)</f>
        <v>#N/A</v>
      </c>
      <c r="I545" s="107" t="e">
        <f>VLOOKUP(M545,'Listado Precios'!$A:$C,2,0)</f>
        <v>#N/A</v>
      </c>
      <c r="J545" s="115">
        <v>45536</v>
      </c>
      <c r="K545" s="61"/>
      <c r="M545" s="16"/>
    </row>
    <row r="546" spans="1:13" ht="15.75" customHeight="1">
      <c r="A546" s="19" t="s">
        <v>1266</v>
      </c>
      <c r="B546" s="19" t="s">
        <v>1267</v>
      </c>
      <c r="C546" s="7" t="s">
        <v>17</v>
      </c>
      <c r="D546" s="71"/>
      <c r="E546" s="78" t="s">
        <v>1266</v>
      </c>
      <c r="F546" s="63"/>
      <c r="G546" s="72"/>
      <c r="H546" s="107" t="e">
        <f>VLOOKUP(M546,'Listado Precios'!$A:$C,3,0)</f>
        <v>#N/A</v>
      </c>
      <c r="I546" s="107" t="e">
        <f>VLOOKUP(M546,'Listado Precios'!$A:$C,2,0)</f>
        <v>#N/A</v>
      </c>
      <c r="J546" s="115">
        <v>45536</v>
      </c>
      <c r="K546" s="61"/>
      <c r="M546" s="16"/>
    </row>
    <row r="547" spans="1:13" ht="15.75" customHeight="1">
      <c r="A547" s="19" t="s">
        <v>1268</v>
      </c>
      <c r="B547" s="19" t="s">
        <v>1269</v>
      </c>
      <c r="C547" s="7"/>
      <c r="D547" s="71"/>
      <c r="E547" s="78"/>
      <c r="F547" s="63"/>
      <c r="G547" s="72"/>
      <c r="H547" s="107" t="e">
        <f>VLOOKUP(M547,'Listado Precios'!$A:$C,3,0)</f>
        <v>#N/A</v>
      </c>
      <c r="I547" s="107" t="e">
        <f>VLOOKUP(M547,'Listado Precios'!$A:$C,2,0)</f>
        <v>#N/A</v>
      </c>
      <c r="J547" s="115">
        <v>45536</v>
      </c>
      <c r="K547" s="61"/>
      <c r="M547" s="16"/>
    </row>
    <row r="548" spans="1:13" ht="15.75" customHeight="1">
      <c r="A548" s="7" t="s">
        <v>1270</v>
      </c>
      <c r="B548" s="7" t="s">
        <v>1271</v>
      </c>
      <c r="C548" s="117" t="s">
        <v>25</v>
      </c>
      <c r="D548" s="63" t="s">
        <v>38</v>
      </c>
      <c r="E548" s="64" t="s">
        <v>1272</v>
      </c>
      <c r="F548" s="63" t="s">
        <v>252</v>
      </c>
      <c r="G548" s="68"/>
      <c r="H548" s="107" t="e">
        <f>VLOOKUP(M548,'Listado Precios'!$A:$C,3,0)</f>
        <v>#N/A</v>
      </c>
      <c r="I548" s="107" t="e">
        <f>VLOOKUP(M548,'Listado Precios'!$A:$C,2,0)</f>
        <v>#N/A</v>
      </c>
      <c r="J548" s="115">
        <v>45536</v>
      </c>
      <c r="K548" s="61"/>
      <c r="M548" s="16"/>
    </row>
    <row r="549" spans="1:13" ht="15.75" customHeight="1">
      <c r="A549" s="19" t="s">
        <v>1273</v>
      </c>
      <c r="B549" s="19" t="s">
        <v>1274</v>
      </c>
      <c r="C549" s="7" t="s">
        <v>17</v>
      </c>
      <c r="D549" s="71"/>
      <c r="E549" s="78"/>
      <c r="F549" s="63"/>
      <c r="G549" s="72"/>
      <c r="H549" s="107" t="e">
        <f>VLOOKUP(M549,'Listado Precios'!$A:$C,3,0)</f>
        <v>#N/A</v>
      </c>
      <c r="I549" s="107" t="e">
        <f>VLOOKUP(M549,'Listado Precios'!$A:$C,2,0)</f>
        <v>#N/A</v>
      </c>
      <c r="J549" s="115">
        <v>45536</v>
      </c>
      <c r="K549" s="61"/>
      <c r="M549" s="16"/>
    </row>
    <row r="550" spans="1:13" ht="15.75" customHeight="1">
      <c r="A550" s="7" t="s">
        <v>1275</v>
      </c>
      <c r="B550" s="7" t="s">
        <v>1276</v>
      </c>
      <c r="C550" s="117" t="s">
        <v>22</v>
      </c>
      <c r="D550" s="63" t="s">
        <v>14</v>
      </c>
      <c r="E550" s="64" t="s">
        <v>1277</v>
      </c>
      <c r="F550" s="63" t="s">
        <v>1278</v>
      </c>
      <c r="G550" s="68"/>
      <c r="H550" s="107" t="e">
        <f>VLOOKUP(M550,'Listado Precios'!$A:$C,3,0)</f>
        <v>#N/A</v>
      </c>
      <c r="I550" s="107" t="e">
        <f>VLOOKUP(M550,'Listado Precios'!$A:$C,2,0)</f>
        <v>#N/A</v>
      </c>
      <c r="J550" s="115">
        <v>45536</v>
      </c>
      <c r="K550" s="61"/>
      <c r="M550" s="16"/>
    </row>
    <row r="551" spans="1:13" ht="15.75" customHeight="1">
      <c r="A551" s="7" t="s">
        <v>728</v>
      </c>
      <c r="B551" s="7" t="s">
        <v>729</v>
      </c>
      <c r="C551" s="117" t="s">
        <v>22</v>
      </c>
      <c r="D551" s="63" t="s">
        <v>14</v>
      </c>
      <c r="E551" s="100" t="s">
        <v>397</v>
      </c>
      <c r="F551" s="63" t="s">
        <v>578</v>
      </c>
      <c r="G551" s="68" t="s">
        <v>1279</v>
      </c>
      <c r="H551" s="107" t="e">
        <f>VLOOKUP(M551,'Listado Precios'!$A:$C,3,0)</f>
        <v>#N/A</v>
      </c>
      <c r="I551" s="107" t="e">
        <f>VLOOKUP(M551,'Listado Precios'!$A:$C,2,0)</f>
        <v>#N/A</v>
      </c>
      <c r="J551" s="118">
        <v>45570</v>
      </c>
      <c r="K551" s="61"/>
      <c r="M551" s="16"/>
    </row>
    <row r="552" spans="1:13" ht="15.75" customHeight="1">
      <c r="A552" s="7" t="s">
        <v>1280</v>
      </c>
      <c r="B552" s="7" t="s">
        <v>1281</v>
      </c>
      <c r="C552" s="117" t="s">
        <v>17</v>
      </c>
      <c r="D552" s="63"/>
      <c r="E552" s="64" t="s">
        <v>1282</v>
      </c>
      <c r="F552" s="63" t="s">
        <v>47</v>
      </c>
      <c r="G552" s="68"/>
      <c r="H552" s="107" t="e">
        <f>VLOOKUP(M552,'Listado Precios'!$A:$C,3,0)</f>
        <v>#N/A</v>
      </c>
      <c r="I552" s="107" t="e">
        <f>VLOOKUP(M552,'Listado Precios'!$A:$C,2,0)</f>
        <v>#N/A</v>
      </c>
      <c r="J552" s="118">
        <v>45608</v>
      </c>
      <c r="K552" s="61"/>
      <c r="M552" s="16"/>
    </row>
    <row r="553" spans="1:13" ht="15.75" customHeight="1">
      <c r="A553" s="7" t="s">
        <v>1283</v>
      </c>
      <c r="B553" s="7" t="s">
        <v>1284</v>
      </c>
      <c r="C553" s="117" t="s">
        <v>22</v>
      </c>
      <c r="D553" s="63" t="s">
        <v>14</v>
      </c>
      <c r="E553" s="78" t="s">
        <v>748</v>
      </c>
      <c r="F553" s="63" t="s">
        <v>749</v>
      </c>
      <c r="G553" s="72" t="s">
        <v>1285</v>
      </c>
      <c r="H553" s="107" t="e">
        <f>VLOOKUP(M553,'Listado Precios'!$A:$C,3,0)</f>
        <v>#N/A</v>
      </c>
      <c r="I553" s="107" t="e">
        <f>VLOOKUP(M553,'Listado Precios'!$A:$C,2,0)</f>
        <v>#N/A</v>
      </c>
      <c r="J553" s="118">
        <v>45617</v>
      </c>
      <c r="K553" s="61"/>
      <c r="M553" s="16"/>
    </row>
    <row r="554" spans="1:13" ht="15.75" customHeight="1">
      <c r="A554" s="7" t="s">
        <v>1286</v>
      </c>
      <c r="B554" s="7" t="s">
        <v>1287</v>
      </c>
      <c r="C554" s="117" t="s">
        <v>571</v>
      </c>
      <c r="D554" s="63" t="s">
        <v>14</v>
      </c>
      <c r="E554" s="78" t="s">
        <v>909</v>
      </c>
      <c r="F554" s="63" t="s">
        <v>910</v>
      </c>
      <c r="G554" s="72"/>
      <c r="H554" s="107" t="e">
        <f>VLOOKUP(M554,'Listado Precios'!$A:$C,3,0)</f>
        <v>#N/A</v>
      </c>
      <c r="I554" s="107" t="e">
        <f>VLOOKUP(M554,'Listado Precios'!$A:$C,2,0)</f>
        <v>#N/A</v>
      </c>
      <c r="J554" s="118">
        <v>45623</v>
      </c>
      <c r="K554" s="61"/>
      <c r="M554" s="16"/>
    </row>
    <row r="555" spans="1:13" ht="15.75" customHeight="1">
      <c r="A555" s="7" t="s">
        <v>1288</v>
      </c>
      <c r="B555" s="7" t="s">
        <v>1289</v>
      </c>
      <c r="C555" s="117" t="s">
        <v>571</v>
      </c>
      <c r="D555" s="63" t="s">
        <v>14</v>
      </c>
      <c r="E555" s="78" t="s">
        <v>909</v>
      </c>
      <c r="F555" s="63" t="s">
        <v>910</v>
      </c>
      <c r="G555" s="72"/>
      <c r="H555" s="107" t="e">
        <f>VLOOKUP(M555,'Listado Precios'!$A:$C,3,0)</f>
        <v>#N/A</v>
      </c>
      <c r="I555" s="107" t="e">
        <f>VLOOKUP(M555,'Listado Precios'!$A:$C,2,0)</f>
        <v>#N/A</v>
      </c>
      <c r="J555" s="118">
        <v>45624</v>
      </c>
      <c r="K555" s="61"/>
      <c r="M555" s="16"/>
    </row>
    <row r="556" spans="1:13" ht="15.75" customHeight="1">
      <c r="A556" s="7" t="s">
        <v>282</v>
      </c>
      <c r="B556" s="7" t="s">
        <v>1290</v>
      </c>
      <c r="C556" s="117" t="s">
        <v>25</v>
      </c>
      <c r="D556" s="63" t="s">
        <v>14</v>
      </c>
      <c r="E556" s="78" t="s">
        <v>1291</v>
      </c>
      <c r="F556" s="63" t="s">
        <v>252</v>
      </c>
      <c r="G556" s="72"/>
      <c r="H556" s="107" t="e">
        <f>VLOOKUP(M556,'Listado Precios'!$A:$C,3,0)</f>
        <v>#N/A</v>
      </c>
      <c r="I556" s="107" t="e">
        <f>VLOOKUP(M556,'Listado Precios'!$A:$C,2,0)</f>
        <v>#N/A</v>
      </c>
      <c r="J556" s="116">
        <v>45628</v>
      </c>
      <c r="K556" s="61"/>
      <c r="M556" s="16"/>
    </row>
    <row r="557" spans="1:13" ht="15.75" customHeight="1">
      <c r="A557" s="7" t="s">
        <v>1292</v>
      </c>
      <c r="B557" s="7" t="s">
        <v>1293</v>
      </c>
      <c r="C557" s="117" t="s">
        <v>13</v>
      </c>
      <c r="D557" s="63" t="s">
        <v>38</v>
      </c>
      <c r="E557" s="78" t="s">
        <v>1294</v>
      </c>
      <c r="F557" s="63" t="s">
        <v>269</v>
      </c>
      <c r="G557" s="72"/>
      <c r="H557" s="107" t="e">
        <f>VLOOKUP(M557,'Listado Precios'!$A:$C,3,0)</f>
        <v>#N/A</v>
      </c>
      <c r="I557" s="107" t="e">
        <f>VLOOKUP(M557,'Listado Precios'!$A:$C,2,0)</f>
        <v>#N/A</v>
      </c>
      <c r="J557" s="118">
        <v>45638</v>
      </c>
      <c r="K557" s="61"/>
      <c r="M557" s="16"/>
    </row>
    <row r="558" spans="1:13" ht="15.75" customHeight="1">
      <c r="A558" s="7" t="s">
        <v>576</v>
      </c>
      <c r="B558" s="8" t="s">
        <v>577</v>
      </c>
      <c r="C558" s="117" t="s">
        <v>22</v>
      </c>
      <c r="D558" s="63" t="s">
        <v>14</v>
      </c>
      <c r="E558" s="64" t="s">
        <v>329</v>
      </c>
      <c r="F558" s="63" t="s">
        <v>268</v>
      </c>
      <c r="G558" s="68"/>
      <c r="H558" s="107" t="e">
        <f>VLOOKUP(M558,'Listado Precios'!$A:$C,3,0)</f>
        <v>#N/A</v>
      </c>
      <c r="I558" s="107" t="e">
        <f>VLOOKUP(M558,'Listado Precios'!$A:$C,2,0)</f>
        <v>#N/A</v>
      </c>
      <c r="J558" s="118">
        <v>45642</v>
      </c>
      <c r="K558" s="61"/>
      <c r="M558" s="16"/>
    </row>
    <row r="559" spans="1:13" ht="15.75" customHeight="1">
      <c r="A559" s="7" t="s">
        <v>1295</v>
      </c>
      <c r="B559" s="8" t="s">
        <v>1296</v>
      </c>
      <c r="C559" s="117" t="s">
        <v>22</v>
      </c>
      <c r="D559" s="63" t="s">
        <v>14</v>
      </c>
      <c r="E559" s="64" t="s">
        <v>397</v>
      </c>
      <c r="F559" s="63" t="s">
        <v>578</v>
      </c>
      <c r="G559" s="68"/>
      <c r="H559" s="107" t="e">
        <f>VLOOKUP(M559,'Listado Precios'!$A:$C,3,0)</f>
        <v>#N/A</v>
      </c>
      <c r="I559" s="107" t="e">
        <f>VLOOKUP(M559,'Listado Precios'!$A:$C,2,0)</f>
        <v>#N/A</v>
      </c>
      <c r="J559" s="116">
        <v>45642</v>
      </c>
      <c r="K559" s="61"/>
      <c r="M559" s="16"/>
    </row>
    <row r="560" spans="1:13" ht="15.75" customHeight="1">
      <c r="A560" s="7" t="s">
        <v>1297</v>
      </c>
      <c r="B560" s="7" t="s">
        <v>1298</v>
      </c>
      <c r="C560" s="117" t="s">
        <v>13</v>
      </c>
      <c r="D560" s="63" t="s">
        <v>14</v>
      </c>
      <c r="E560" s="100" t="s">
        <v>342</v>
      </c>
      <c r="F560" s="63" t="s">
        <v>269</v>
      </c>
      <c r="G560" s="68"/>
      <c r="H560" s="107" t="e">
        <f>VLOOKUP(M560,'Listado Precios'!$A:$C,3,0)</f>
        <v>#N/A</v>
      </c>
      <c r="I560" s="107" t="e">
        <f>VLOOKUP(M560,'Listado Precios'!$A:$C,2,0)</f>
        <v>#N/A</v>
      </c>
      <c r="J560" s="118">
        <v>45652</v>
      </c>
      <c r="K560" s="61"/>
      <c r="M560" s="16"/>
    </row>
    <row r="561" spans="1:13" ht="15.75" customHeight="1">
      <c r="A561" s="7" t="s">
        <v>1299</v>
      </c>
      <c r="B561" s="7" t="s">
        <v>1300</v>
      </c>
      <c r="C561" s="117" t="s">
        <v>22</v>
      </c>
      <c r="D561" s="63" t="s">
        <v>14</v>
      </c>
      <c r="E561" s="78" t="s">
        <v>921</v>
      </c>
      <c r="F561" s="63"/>
      <c r="G561" s="72"/>
      <c r="H561" s="107" t="e">
        <f>VLOOKUP(M561,'Listado Precios'!$A:$C,3,0)</f>
        <v>#N/A</v>
      </c>
      <c r="I561" s="107" t="e">
        <f>VLOOKUP(M561,'Listado Precios'!$A:$C,2,0)</f>
        <v>#N/A</v>
      </c>
      <c r="J561" s="118">
        <v>45654</v>
      </c>
      <c r="K561" s="61"/>
      <c r="M561" s="16"/>
    </row>
    <row r="562" spans="1:13" ht="15.75" customHeight="1">
      <c r="A562" s="7" t="s">
        <v>1301</v>
      </c>
      <c r="B562" s="7" t="s">
        <v>1302</v>
      </c>
      <c r="C562" s="117" t="s">
        <v>22</v>
      </c>
      <c r="D562" s="63" t="s">
        <v>14</v>
      </c>
      <c r="E562" s="64"/>
      <c r="F562" s="63"/>
      <c r="G562" s="68"/>
      <c r="H562" s="107" t="e">
        <f>VLOOKUP(M562,'Listado Precios'!$A:$C,3,0)</f>
        <v>#N/A</v>
      </c>
      <c r="I562" s="107" t="e">
        <f>VLOOKUP(M562,'Listado Precios'!$A:$C,2,0)</f>
        <v>#N/A</v>
      </c>
      <c r="J562" s="118">
        <v>45660</v>
      </c>
      <c r="K562" s="61"/>
      <c r="M562" s="16"/>
    </row>
    <row r="563" spans="1:13" ht="15.75" customHeight="1">
      <c r="A563" s="7" t="s">
        <v>1301</v>
      </c>
      <c r="B563" s="7" t="s">
        <v>1302</v>
      </c>
      <c r="C563" s="117" t="s">
        <v>13</v>
      </c>
      <c r="D563" s="63" t="s">
        <v>14</v>
      </c>
      <c r="E563" s="64" t="s">
        <v>342</v>
      </c>
      <c r="F563" s="63" t="s">
        <v>269</v>
      </c>
      <c r="G563" s="68"/>
      <c r="H563" s="107" t="e">
        <f>VLOOKUP(M563,'Listado Precios'!$A:$C,3,0)</f>
        <v>#N/A</v>
      </c>
      <c r="I563" s="107" t="e">
        <f>VLOOKUP(M563,'Listado Precios'!$A:$C,2,0)</f>
        <v>#N/A</v>
      </c>
      <c r="J563" s="118">
        <v>45660</v>
      </c>
      <c r="K563" s="61"/>
      <c r="M563" s="16"/>
    </row>
    <row r="564" spans="1:13" ht="15.75" customHeight="1">
      <c r="A564" s="7" t="s">
        <v>1303</v>
      </c>
      <c r="B564" s="7" t="s">
        <v>1304</v>
      </c>
      <c r="C564" s="117" t="s">
        <v>22</v>
      </c>
      <c r="D564" s="63" t="s">
        <v>14</v>
      </c>
      <c r="E564" s="64" t="s">
        <v>627</v>
      </c>
      <c r="F564" s="63" t="s">
        <v>628</v>
      </c>
      <c r="G564" s="68"/>
      <c r="H564" s="107" t="e">
        <f>VLOOKUP(M564,'Listado Precios'!$A:$C,3,0)</f>
        <v>#N/A</v>
      </c>
      <c r="I564" s="107" t="e">
        <f>VLOOKUP(M564,'Listado Precios'!$A:$C,2,0)</f>
        <v>#N/A</v>
      </c>
      <c r="J564" s="118">
        <v>45670</v>
      </c>
      <c r="K564" s="92"/>
      <c r="M564" s="16"/>
    </row>
    <row r="565" spans="1:13" ht="15.75" customHeight="1">
      <c r="A565" s="7" t="s">
        <v>1305</v>
      </c>
      <c r="B565" s="7" t="s">
        <v>1306</v>
      </c>
      <c r="C565" s="117" t="s">
        <v>43</v>
      </c>
      <c r="D565" s="63" t="s">
        <v>14</v>
      </c>
      <c r="E565" s="64" t="s">
        <v>1307</v>
      </c>
      <c r="F565" s="63" t="s">
        <v>1308</v>
      </c>
      <c r="G565" s="68"/>
      <c r="H565" s="107" t="e">
        <f>VLOOKUP(M565,'Listado Precios'!$A:$C,3,0)</f>
        <v>#N/A</v>
      </c>
      <c r="I565" s="107" t="e">
        <f>VLOOKUP(M565,'Listado Precios'!$A:$C,2,0)</f>
        <v>#N/A</v>
      </c>
      <c r="J565" s="118">
        <v>45675</v>
      </c>
      <c r="K565" s="61"/>
      <c r="M565" s="16"/>
    </row>
    <row r="566" spans="1:13" ht="15.75" customHeight="1">
      <c r="A566" s="7" t="s">
        <v>73</v>
      </c>
      <c r="B566" s="7" t="s">
        <v>1309</v>
      </c>
      <c r="C566" s="117" t="s">
        <v>22</v>
      </c>
      <c r="D566" s="63" t="s">
        <v>14</v>
      </c>
      <c r="E566" s="64"/>
      <c r="F566" s="63"/>
      <c r="G566" s="68"/>
      <c r="H566" s="107" t="e">
        <f>VLOOKUP(M566,'Listado Precios'!$A:$C,3,0)</f>
        <v>#N/A</v>
      </c>
      <c r="I566" s="107" t="e">
        <f>VLOOKUP(M566,'Listado Precios'!$A:$C,2,0)</f>
        <v>#N/A</v>
      </c>
      <c r="J566" s="118">
        <v>45681</v>
      </c>
      <c r="K566" s="61"/>
      <c r="M566" s="16"/>
    </row>
    <row r="567" spans="1:13" ht="15.75" customHeight="1">
      <c r="A567" s="7" t="s">
        <v>1310</v>
      </c>
      <c r="B567" s="8">
        <v>3138660077</v>
      </c>
      <c r="C567" s="117" t="s">
        <v>43</v>
      </c>
      <c r="D567" s="63" t="s">
        <v>14</v>
      </c>
      <c r="E567" s="64" t="s">
        <v>1311</v>
      </c>
      <c r="F567" s="63" t="s">
        <v>1312</v>
      </c>
      <c r="G567" s="68"/>
      <c r="H567" s="107" t="e">
        <f>VLOOKUP(M567,'Listado Precios'!$A:$C,3,0)</f>
        <v>#N/A</v>
      </c>
      <c r="I567" s="107" t="e">
        <f>VLOOKUP(M567,'Listado Precios'!$A:$C,2,0)</f>
        <v>#N/A</v>
      </c>
      <c r="J567" s="118">
        <v>45685</v>
      </c>
      <c r="K567" s="61"/>
      <c r="M567" s="16"/>
    </row>
    <row r="568" spans="1:13" ht="15.75" customHeight="1">
      <c r="A568" s="7" t="s">
        <v>1313</v>
      </c>
      <c r="B568" s="7" t="s">
        <v>1314</v>
      </c>
      <c r="C568" s="117" t="s">
        <v>263</v>
      </c>
      <c r="D568" s="63" t="s">
        <v>14</v>
      </c>
      <c r="E568" s="64"/>
      <c r="F568" s="63"/>
      <c r="G568" s="68"/>
      <c r="H568" s="107" t="e">
        <f>VLOOKUP(M568,'Listado Precios'!$A:$C,3,0)</f>
        <v>#N/A</v>
      </c>
      <c r="I568" s="107" t="e">
        <f>VLOOKUP(M568,'Listado Precios'!$A:$C,2,0)</f>
        <v>#N/A</v>
      </c>
      <c r="J568" s="118">
        <v>45686</v>
      </c>
      <c r="K568" s="61"/>
      <c r="M568" s="16"/>
    </row>
    <row r="569" spans="1:13" ht="15.75" customHeight="1">
      <c r="A569" s="7" t="s">
        <v>1315</v>
      </c>
      <c r="B569" s="7" t="s">
        <v>1316</v>
      </c>
      <c r="C569" s="117" t="s">
        <v>43</v>
      </c>
      <c r="D569" s="63" t="s">
        <v>14</v>
      </c>
      <c r="E569" s="64"/>
      <c r="F569" s="63"/>
      <c r="G569" s="68"/>
      <c r="H569" s="107" t="e">
        <f>VLOOKUP(M569,'Listado Precios'!$A:$C,3,0)</f>
        <v>#N/A</v>
      </c>
      <c r="I569" s="107" t="e">
        <f>VLOOKUP(M569,'Listado Precios'!$A:$C,2,0)</f>
        <v>#N/A</v>
      </c>
      <c r="J569" s="118">
        <v>45686</v>
      </c>
      <c r="K569" s="61"/>
      <c r="M569" s="16"/>
    </row>
    <row r="570" spans="1:13" ht="15.75" customHeight="1">
      <c r="A570" s="7" t="s">
        <v>1317</v>
      </c>
      <c r="B570" s="7" t="s">
        <v>1318</v>
      </c>
      <c r="C570" s="117" t="s">
        <v>22</v>
      </c>
      <c r="D570" s="63" t="s">
        <v>14</v>
      </c>
      <c r="E570" s="64" t="s">
        <v>126</v>
      </c>
      <c r="F570" s="63" t="s">
        <v>1319</v>
      </c>
      <c r="G570" s="68"/>
      <c r="H570" s="107" t="e">
        <f>VLOOKUP(M570,'Listado Precios'!$A:$C,3,0)</f>
        <v>#N/A</v>
      </c>
      <c r="I570" s="107" t="e">
        <f>VLOOKUP(M570,'Listado Precios'!$A:$C,2,0)</f>
        <v>#N/A</v>
      </c>
      <c r="J570" s="118">
        <v>45687</v>
      </c>
      <c r="K570" s="61"/>
      <c r="M570" s="16"/>
    </row>
    <row r="571" spans="1:13" ht="15.75" customHeight="1">
      <c r="A571" s="7" t="s">
        <v>1320</v>
      </c>
      <c r="B571" s="7" t="s">
        <v>1321</v>
      </c>
      <c r="C571" s="117" t="s">
        <v>22</v>
      </c>
      <c r="D571" s="63" t="s">
        <v>14</v>
      </c>
      <c r="E571" s="64"/>
      <c r="F571" s="63"/>
      <c r="G571" s="68"/>
      <c r="H571" s="107" t="e">
        <f>VLOOKUP(M571,'Listado Precios'!$A:$C,3,0)</f>
        <v>#N/A</v>
      </c>
      <c r="I571" s="107" t="e">
        <f>VLOOKUP(M571,'Listado Precios'!$A:$C,2,0)</f>
        <v>#N/A</v>
      </c>
      <c r="J571" s="118">
        <v>45688</v>
      </c>
      <c r="K571" s="61"/>
      <c r="M571" s="16"/>
    </row>
    <row r="572" spans="1:13" ht="15.75" customHeight="1">
      <c r="A572" s="7" t="s">
        <v>1299</v>
      </c>
      <c r="B572" s="7" t="s">
        <v>1300</v>
      </c>
      <c r="C572" s="117" t="s">
        <v>13</v>
      </c>
      <c r="D572" s="63" t="s">
        <v>14</v>
      </c>
      <c r="E572" s="64"/>
      <c r="F572" s="63"/>
      <c r="G572" s="68"/>
      <c r="H572" s="107" t="e">
        <f>VLOOKUP(M572,'Listado Precios'!$A:$C,3,0)</f>
        <v>#N/A</v>
      </c>
      <c r="I572" s="107" t="e">
        <f>VLOOKUP(M572,'Listado Precios'!$A:$C,2,0)</f>
        <v>#N/A</v>
      </c>
      <c r="J572" s="118">
        <v>45688</v>
      </c>
      <c r="K572" s="61"/>
      <c r="M572" s="16"/>
    </row>
    <row r="573" spans="1:13" ht="15.75" customHeight="1">
      <c r="A573" s="19" t="s">
        <v>375</v>
      </c>
      <c r="B573" s="17" t="s">
        <v>1322</v>
      </c>
      <c r="C573" s="7" t="s">
        <v>22</v>
      </c>
      <c r="D573" s="71" t="s">
        <v>14</v>
      </c>
      <c r="E573" s="78"/>
      <c r="F573" s="63"/>
      <c r="G573" s="72"/>
      <c r="H573" s="107" t="e">
        <f>VLOOKUP(M573,'Listado Precios'!$A:$C,3,0)</f>
        <v>#N/A</v>
      </c>
      <c r="I573" s="107" t="e">
        <f>VLOOKUP(M573,'Listado Precios'!$A:$C,2,0)</f>
        <v>#N/A</v>
      </c>
      <c r="J573" s="118">
        <v>45688</v>
      </c>
      <c r="K573" s="86"/>
      <c r="M573" s="16"/>
    </row>
    <row r="574" spans="1:13" ht="15.75" customHeight="1">
      <c r="A574" s="7" t="s">
        <v>1280</v>
      </c>
      <c r="B574" s="7" t="s">
        <v>1281</v>
      </c>
      <c r="C574" s="117" t="s">
        <v>460</v>
      </c>
      <c r="D574" s="63" t="s">
        <v>14</v>
      </c>
      <c r="E574" s="78"/>
      <c r="F574" s="63"/>
      <c r="G574" s="72"/>
      <c r="H574" s="107"/>
      <c r="I574" s="107"/>
      <c r="J574" s="118">
        <v>45695</v>
      </c>
      <c r="K574" s="61"/>
      <c r="M574" s="16"/>
    </row>
    <row r="575" spans="1:13" ht="15.75" customHeight="1">
      <c r="A575" s="7" t="s">
        <v>1323</v>
      </c>
      <c r="B575" s="7" t="s">
        <v>1324</v>
      </c>
      <c r="C575" s="117" t="s">
        <v>22</v>
      </c>
      <c r="D575" s="63" t="s">
        <v>14</v>
      </c>
      <c r="E575" s="64"/>
      <c r="F575" s="63"/>
      <c r="G575" s="68"/>
      <c r="H575" s="107" t="e">
        <f>VLOOKUP(M575,'Listado Precios'!$A:$C,3,0)</f>
        <v>#N/A</v>
      </c>
      <c r="I575" s="107" t="e">
        <f>VLOOKUP(M575,'Listado Precios'!$A:$C,2,0)</f>
        <v>#N/A</v>
      </c>
      <c r="J575" s="116">
        <v>45696</v>
      </c>
      <c r="K575" s="61"/>
      <c r="M575" s="16"/>
    </row>
    <row r="576" spans="1:13" ht="15.75" customHeight="1">
      <c r="A576" s="7" t="s">
        <v>1325</v>
      </c>
      <c r="B576" s="7" t="s">
        <v>1326</v>
      </c>
      <c r="C576" s="117" t="s">
        <v>13</v>
      </c>
      <c r="D576" s="63" t="s">
        <v>14</v>
      </c>
      <c r="E576" s="64"/>
      <c r="F576" s="63"/>
      <c r="G576" s="68"/>
      <c r="H576" s="107" t="e">
        <f>VLOOKUP(M576,'Listado Precios'!$A:$C,3,0)</f>
        <v>#N/A</v>
      </c>
      <c r="I576" s="107" t="e">
        <f>VLOOKUP(M576,'Listado Precios'!$A:$C,2,0)</f>
        <v>#N/A</v>
      </c>
      <c r="J576" s="115">
        <v>45703</v>
      </c>
      <c r="K576" s="61"/>
      <c r="M576" s="16"/>
    </row>
    <row r="577" spans="1:13" ht="15.75" customHeight="1">
      <c r="A577" s="19" t="s">
        <v>535</v>
      </c>
      <c r="B577" s="19" t="s">
        <v>1327</v>
      </c>
      <c r="C577" s="117" t="s">
        <v>22</v>
      </c>
      <c r="D577" s="63" t="s">
        <v>14</v>
      </c>
      <c r="E577" s="64"/>
      <c r="F577" s="63"/>
      <c r="G577" s="68"/>
      <c r="H577" s="107" t="e">
        <f>VLOOKUP(M577,'Listado Precios'!$A:$C,3,0)</f>
        <v>#N/A</v>
      </c>
      <c r="I577" s="107" t="e">
        <f>VLOOKUP(M577,'Listado Precios'!$A:$C,2,0)</f>
        <v>#N/A</v>
      </c>
      <c r="J577" s="115">
        <v>45704</v>
      </c>
      <c r="K577" s="61"/>
      <c r="M577" s="16"/>
    </row>
    <row r="578" spans="1:13" ht="15.75" customHeight="1">
      <c r="A578" s="7" t="s">
        <v>1280</v>
      </c>
      <c r="B578" s="7" t="s">
        <v>1281</v>
      </c>
      <c r="C578" s="7" t="s">
        <v>13</v>
      </c>
      <c r="D578" s="71" t="s">
        <v>14</v>
      </c>
      <c r="E578" s="78"/>
      <c r="F578" s="63"/>
      <c r="G578" s="72"/>
      <c r="H578" s="107"/>
      <c r="I578" s="107"/>
      <c r="J578" s="115">
        <v>45707</v>
      </c>
      <c r="K578" s="61"/>
      <c r="M578" s="16"/>
    </row>
    <row r="579" spans="1:13" ht="15.75" customHeight="1">
      <c r="A579" s="7" t="s">
        <v>1328</v>
      </c>
      <c r="B579" s="7" t="s">
        <v>1329</v>
      </c>
      <c r="C579" s="117" t="s">
        <v>22</v>
      </c>
      <c r="D579" s="63" t="s">
        <v>14</v>
      </c>
      <c r="E579" s="64"/>
      <c r="F579" s="63"/>
      <c r="G579" s="68"/>
      <c r="H579" s="107" t="e">
        <f>VLOOKUP(M579,'Listado Precios'!$A:$C,3,0)</f>
        <v>#N/A</v>
      </c>
      <c r="I579" s="107" t="e">
        <f>VLOOKUP(M579,'Listado Precios'!$A:$C,2,0)</f>
        <v>#N/A</v>
      </c>
      <c r="J579" s="118">
        <v>45710</v>
      </c>
      <c r="K579" s="61"/>
      <c r="M579" s="16"/>
    </row>
    <row r="580" spans="1:13" ht="15.75" customHeight="1">
      <c r="A580" s="19" t="s">
        <v>535</v>
      </c>
      <c r="B580" s="66" t="s">
        <v>536</v>
      </c>
      <c r="C580" s="117" t="s">
        <v>22</v>
      </c>
      <c r="D580" s="63" t="s">
        <v>14</v>
      </c>
      <c r="E580" s="78"/>
      <c r="F580" s="129"/>
      <c r="G580" s="72"/>
      <c r="H580" s="107" t="e">
        <f>VLOOKUP(M580,'Listado Precios'!$A:$C,3,0)</f>
        <v>#N/A</v>
      </c>
      <c r="I580" s="107" t="e">
        <f>VLOOKUP(M580,'Listado Precios'!$A:$C,2,0)</f>
        <v>#N/A</v>
      </c>
      <c r="J580" s="115">
        <v>45710</v>
      </c>
      <c r="K580" s="61"/>
      <c r="M580" s="16"/>
    </row>
    <row r="581" spans="1:13" ht="15.75" customHeight="1">
      <c r="A581" s="7" t="s">
        <v>1330</v>
      </c>
      <c r="B581" s="8" t="s">
        <v>1331</v>
      </c>
      <c r="C581" s="117" t="s">
        <v>43</v>
      </c>
      <c r="D581" s="63" t="s">
        <v>14</v>
      </c>
      <c r="E581" s="64"/>
      <c r="F581" s="63"/>
      <c r="G581" s="68"/>
      <c r="H581" s="107" t="e">
        <f>VLOOKUP(M581,'Listado Precios'!$A:$C,3,0)</f>
        <v>#N/A</v>
      </c>
      <c r="I581" s="107" t="e">
        <f>VLOOKUP(M581,'Listado Precios'!$A:$C,2,0)</f>
        <v>#N/A</v>
      </c>
      <c r="J581" s="115">
        <v>45712</v>
      </c>
      <c r="K581" s="61"/>
      <c r="M581" s="16"/>
    </row>
    <row r="582" spans="1:13" ht="15.75" customHeight="1">
      <c r="A582" s="7" t="s">
        <v>1332</v>
      </c>
      <c r="B582" s="7" t="s">
        <v>1333</v>
      </c>
      <c r="C582" s="117" t="s">
        <v>25</v>
      </c>
      <c r="D582" s="63" t="s">
        <v>14</v>
      </c>
      <c r="E582" s="64"/>
      <c r="F582" s="63"/>
      <c r="G582" s="68"/>
      <c r="H582" s="107" t="e">
        <f>VLOOKUP(M582,'Listado Precios'!$A:$C,3,0)</f>
        <v>#N/A</v>
      </c>
      <c r="I582" s="107" t="e">
        <f>VLOOKUP(M582,'Listado Precios'!$A:$C,2,0)</f>
        <v>#N/A</v>
      </c>
      <c r="J582" s="115">
        <v>45718</v>
      </c>
      <c r="K582" s="61"/>
      <c r="M582" s="16"/>
    </row>
    <row r="583" spans="1:13" ht="15.75" customHeight="1">
      <c r="A583" s="7" t="s">
        <v>638</v>
      </c>
      <c r="B583" s="7" t="s">
        <v>639</v>
      </c>
      <c r="C583" s="117" t="s">
        <v>43</v>
      </c>
      <c r="D583" s="63" t="s">
        <v>14</v>
      </c>
      <c r="E583" s="64"/>
      <c r="F583" s="63"/>
      <c r="G583" s="68"/>
      <c r="H583" s="107" t="e">
        <f>VLOOKUP(M583,'Listado Precios'!$A:$C,3,0)</f>
        <v>#N/A</v>
      </c>
      <c r="I583" s="107" t="e">
        <f>VLOOKUP(M583,'Listado Precios'!$A:$C,2,0)</f>
        <v>#N/A</v>
      </c>
      <c r="J583" s="115">
        <v>45720</v>
      </c>
      <c r="K583" s="61"/>
      <c r="M583" s="16"/>
    </row>
    <row r="584" spans="1:13" ht="15.75" customHeight="1">
      <c r="A584" s="19" t="s">
        <v>1334</v>
      </c>
      <c r="B584" s="19" t="s">
        <v>1335</v>
      </c>
      <c r="C584" s="117" t="s">
        <v>43</v>
      </c>
      <c r="D584" s="63" t="s">
        <v>14</v>
      </c>
      <c r="E584" s="64"/>
      <c r="F584" s="63"/>
      <c r="G584" s="68"/>
      <c r="H584" s="107" t="e">
        <f>VLOOKUP(M584,'Listado Precios'!$A:$C,3,0)</f>
        <v>#N/A</v>
      </c>
      <c r="I584" s="107" t="e">
        <f>VLOOKUP(M584,'Listado Precios'!$A:$C,2,0)</f>
        <v>#N/A</v>
      </c>
      <c r="J584" s="115">
        <v>45727</v>
      </c>
      <c r="K584" s="61"/>
      <c r="M584" s="16"/>
    </row>
    <row r="585" spans="1:13" ht="15.75" customHeight="1">
      <c r="A585" s="123" t="s">
        <v>1336</v>
      </c>
      <c r="B585" s="7" t="s">
        <v>1337</v>
      </c>
      <c r="C585" s="117" t="s">
        <v>13</v>
      </c>
      <c r="D585" s="63" t="s">
        <v>14</v>
      </c>
      <c r="E585" s="64"/>
      <c r="F585" s="63"/>
      <c r="G585" s="68"/>
      <c r="H585" s="107" t="e">
        <f>VLOOKUP(M585,'Listado Precios'!$A:$C,3,0)</f>
        <v>#N/A</v>
      </c>
      <c r="I585" s="107" t="e">
        <f>VLOOKUP(M585,'Listado Precios'!$A:$C,2,0)</f>
        <v>#N/A</v>
      </c>
      <c r="J585" s="115">
        <v>45729</v>
      </c>
      <c r="K585" s="61"/>
      <c r="M585" s="16"/>
    </row>
    <row r="586" spans="1:13" ht="15.75" customHeight="1">
      <c r="A586" s="7" t="s">
        <v>1338</v>
      </c>
      <c r="B586" s="7" t="s">
        <v>1339</v>
      </c>
      <c r="C586" s="117" t="s">
        <v>25</v>
      </c>
      <c r="D586" s="63" t="s">
        <v>14</v>
      </c>
      <c r="E586" s="64"/>
      <c r="F586" s="63"/>
      <c r="G586" s="68"/>
      <c r="H586" s="107" t="e">
        <f>VLOOKUP(M586,'Listado Precios'!$A:$C,3,0)</f>
        <v>#N/A</v>
      </c>
      <c r="I586" s="107" t="e">
        <f>VLOOKUP(M586,'Listado Precios'!$A:$C,2,0)</f>
        <v>#N/A</v>
      </c>
      <c r="J586" s="118">
        <v>45739</v>
      </c>
      <c r="K586" s="61"/>
      <c r="M586" s="16"/>
    </row>
    <row r="587" spans="1:13" ht="15.75" customHeight="1">
      <c r="A587" s="7" t="s">
        <v>1340</v>
      </c>
      <c r="B587" s="7" t="s">
        <v>1341</v>
      </c>
      <c r="C587" s="7" t="s">
        <v>22</v>
      </c>
      <c r="D587" s="63" t="s">
        <v>14</v>
      </c>
      <c r="E587" s="64"/>
      <c r="F587" s="63"/>
      <c r="G587" s="68"/>
      <c r="H587" s="107" t="e">
        <f>VLOOKUP(M587,'Listado Precios'!$A:$C,3,0)</f>
        <v>#N/A</v>
      </c>
      <c r="I587" s="107" t="e">
        <f>VLOOKUP(M587,'Listado Precios'!$A:$C,2,0)</f>
        <v>#N/A</v>
      </c>
      <c r="J587" s="115">
        <v>45739</v>
      </c>
      <c r="K587" s="61"/>
      <c r="M587" s="16"/>
    </row>
    <row r="588" spans="1:13" ht="15.75" customHeight="1">
      <c r="A588" s="7" t="s">
        <v>1342</v>
      </c>
      <c r="B588" s="7" t="s">
        <v>1343</v>
      </c>
      <c r="C588" s="7" t="s">
        <v>22</v>
      </c>
      <c r="D588" s="63" t="s">
        <v>14</v>
      </c>
      <c r="E588" s="64"/>
      <c r="F588" s="63"/>
      <c r="G588" s="68"/>
      <c r="H588" s="107" t="e">
        <f>VLOOKUP(M588,'Listado Precios'!$A:$C,3,0)</f>
        <v>#N/A</v>
      </c>
      <c r="I588" s="107" t="e">
        <f>VLOOKUP(M588,'Listado Precios'!$A:$C,2,0)</f>
        <v>#N/A</v>
      </c>
      <c r="J588" s="115">
        <v>45739</v>
      </c>
      <c r="K588" s="61"/>
      <c r="M588" s="16"/>
    </row>
    <row r="589" spans="1:13" ht="15.75" customHeight="1">
      <c r="A589" s="7" t="s">
        <v>580</v>
      </c>
      <c r="B589" s="7" t="s">
        <v>1344</v>
      </c>
      <c r="C589" s="117" t="s">
        <v>25</v>
      </c>
      <c r="D589" s="63" t="s">
        <v>14</v>
      </c>
      <c r="E589" s="64"/>
      <c r="F589" s="63"/>
      <c r="G589" s="68"/>
      <c r="H589" s="107" t="e">
        <f>VLOOKUP(M589,'Listado Precios'!$A:$C,3,0)</f>
        <v>#N/A</v>
      </c>
      <c r="I589" s="107" t="e">
        <f>VLOOKUP(M589,'Listado Precios'!$A:$C,2,0)</f>
        <v>#N/A</v>
      </c>
      <c r="J589" s="118">
        <v>45739</v>
      </c>
      <c r="K589" s="61"/>
      <c r="M589" s="16"/>
    </row>
    <row r="590" spans="1:13" ht="15.75" customHeight="1">
      <c r="A590" s="7" t="s">
        <v>1345</v>
      </c>
      <c r="B590" s="7" t="s">
        <v>1346</v>
      </c>
      <c r="C590" s="117" t="s">
        <v>22</v>
      </c>
      <c r="D590" s="63" t="s">
        <v>14</v>
      </c>
      <c r="E590" s="64"/>
      <c r="F590" s="63"/>
      <c r="G590" s="68"/>
      <c r="H590" s="107" t="e">
        <f>VLOOKUP(M590,'Listado Precios'!$A:$C,3,0)</f>
        <v>#N/A</v>
      </c>
      <c r="I590" s="107" t="e">
        <f>VLOOKUP(M590,'Listado Precios'!$A:$C,2,0)</f>
        <v>#N/A</v>
      </c>
      <c r="J590" s="118">
        <v>45746</v>
      </c>
      <c r="K590" s="61"/>
      <c r="M590" s="16"/>
    </row>
    <row r="591" spans="1:13" ht="15.75" customHeight="1">
      <c r="A591" s="7" t="s">
        <v>1347</v>
      </c>
      <c r="B591" s="7" t="s">
        <v>1348</v>
      </c>
      <c r="C591" s="117" t="s">
        <v>22</v>
      </c>
      <c r="D591" s="63" t="s">
        <v>14</v>
      </c>
      <c r="E591" s="100"/>
      <c r="F591" s="63"/>
      <c r="G591" s="68"/>
      <c r="H591" s="107" t="e">
        <f>VLOOKUP(M591,'Listado Precios'!$A:$C,3,0)</f>
        <v>#N/A</v>
      </c>
      <c r="I591" s="107" t="e">
        <f>VLOOKUP(M591,'Listado Precios'!$A:$C,2,0)</f>
        <v>#N/A</v>
      </c>
      <c r="J591" s="118">
        <v>45758</v>
      </c>
      <c r="K591" s="61"/>
      <c r="M591" s="16"/>
    </row>
    <row r="592" spans="1:13" ht="15.75" customHeight="1">
      <c r="A592" s="7" t="s">
        <v>1280</v>
      </c>
      <c r="B592" s="7"/>
      <c r="C592" s="7" t="s">
        <v>13</v>
      </c>
      <c r="D592" s="63" t="s">
        <v>14</v>
      </c>
      <c r="E592" s="64"/>
      <c r="F592" s="63"/>
      <c r="G592" s="68"/>
      <c r="H592" s="107" t="e">
        <f>VLOOKUP(M592,'Listado Precios'!$A:$C,3,0)</f>
        <v>#N/A</v>
      </c>
      <c r="I592" s="107" t="e">
        <f>VLOOKUP(M592,'Listado Precios'!$A:$C,2,0)</f>
        <v>#N/A</v>
      </c>
      <c r="J592" s="115">
        <v>45761</v>
      </c>
      <c r="K592" s="61"/>
      <c r="M592" s="16" t="str">
        <f>CONCATENATE(Registro!$C622,Registro!$D622)</f>
        <v/>
      </c>
    </row>
    <row r="593" spans="1:13" ht="15.75" customHeight="1">
      <c r="A593" s="7" t="s">
        <v>1090</v>
      </c>
      <c r="B593" s="7" t="s">
        <v>1091</v>
      </c>
      <c r="C593" s="117" t="s">
        <v>22</v>
      </c>
      <c r="D593" s="63" t="s">
        <v>14</v>
      </c>
      <c r="E593" s="100"/>
      <c r="F593" s="63"/>
      <c r="G593" s="68" t="s">
        <v>750</v>
      </c>
      <c r="H593" s="107" t="e">
        <f>VLOOKUP(M593,'Listado Precios'!$A:$C,3,0)</f>
        <v>#N/A</v>
      </c>
      <c r="I593" s="107" t="e">
        <f>VLOOKUP(M593,'Listado Precios'!$A:$C,2,0)</f>
        <v>#N/A</v>
      </c>
      <c r="J593" s="118">
        <v>45761</v>
      </c>
      <c r="K593" s="61"/>
      <c r="M593" s="16"/>
    </row>
    <row r="594" spans="1:13" ht="15.75" customHeight="1">
      <c r="A594" s="7" t="s">
        <v>1349</v>
      </c>
      <c r="B594" s="7"/>
      <c r="C594" s="7" t="s">
        <v>22</v>
      </c>
      <c r="D594" s="63" t="s">
        <v>14</v>
      </c>
      <c r="E594" s="64"/>
      <c r="F594" s="63"/>
      <c r="G594" s="68"/>
      <c r="H594" s="107" t="e">
        <f>VLOOKUP(M594,'Listado Precios'!$A:$C,3,0)</f>
        <v>#N/A</v>
      </c>
      <c r="I594" s="107" t="e">
        <f>VLOOKUP(M594,'Listado Precios'!$A:$C,2,0)</f>
        <v>#N/A</v>
      </c>
      <c r="J594" s="115">
        <v>45763</v>
      </c>
      <c r="K594" s="61"/>
      <c r="M594" s="16"/>
    </row>
    <row r="595" spans="1:13" ht="15.75" customHeight="1">
      <c r="A595" s="19" t="s">
        <v>1350</v>
      </c>
      <c r="B595" s="19" t="s">
        <v>1351</v>
      </c>
      <c r="C595" s="7" t="s">
        <v>13</v>
      </c>
      <c r="D595" s="63" t="s">
        <v>14</v>
      </c>
      <c r="E595" s="64"/>
      <c r="F595" s="63"/>
      <c r="G595" s="68"/>
      <c r="H595" s="107" t="e">
        <f>VLOOKUP(M595,'Listado Precios'!$A:$C,3,0)</f>
        <v>#N/A</v>
      </c>
      <c r="I595" s="107" t="e">
        <f>VLOOKUP(M595,'Listado Precios'!$A:$C,2,0)</f>
        <v>#N/A</v>
      </c>
      <c r="J595" s="115">
        <v>45764</v>
      </c>
      <c r="K595" s="61"/>
      <c r="M595" s="16"/>
    </row>
    <row r="596" spans="1:13" ht="15.75" customHeight="1">
      <c r="A596" s="19"/>
      <c r="B596" s="19"/>
      <c r="C596" s="7"/>
      <c r="D596" s="63"/>
      <c r="E596" s="64"/>
      <c r="F596" s="63"/>
      <c r="G596" s="68"/>
      <c r="H596" s="107" t="e">
        <f>VLOOKUP(M596,'Listado Precios'!$A:$C,3,0)</f>
        <v>#N/A</v>
      </c>
      <c r="I596" s="107" t="e">
        <f>VLOOKUP(M596,'Listado Precios'!$A:$C,2,0)</f>
        <v>#N/A</v>
      </c>
      <c r="J596" s="115"/>
      <c r="K596" s="118"/>
      <c r="M596" s="16"/>
    </row>
    <row r="597" spans="1:13" ht="15.75" customHeight="1">
      <c r="A597" s="19"/>
      <c r="B597" s="19"/>
      <c r="C597" s="7"/>
      <c r="D597" s="63"/>
      <c r="E597" s="64"/>
      <c r="F597" s="63"/>
      <c r="G597" s="68"/>
      <c r="H597" s="107" t="e">
        <f>VLOOKUP(M597,'Listado Precios'!$A:$C,3,0)</f>
        <v>#N/A</v>
      </c>
      <c r="I597" s="107" t="e">
        <f>VLOOKUP(M597,'Listado Precios'!$A:$C,2,0)</f>
        <v>#N/A</v>
      </c>
      <c r="J597" s="115"/>
      <c r="K597" s="118"/>
      <c r="M597" s="16"/>
    </row>
    <row r="598" spans="1:13" ht="15.75" customHeight="1">
      <c r="A598" s="19"/>
      <c r="B598" s="19"/>
      <c r="C598" s="7"/>
      <c r="D598" s="63"/>
      <c r="E598" s="64"/>
      <c r="F598" s="63"/>
      <c r="G598" s="68"/>
      <c r="H598" s="107" t="e">
        <f>VLOOKUP(M598,'Listado Precios'!$A:$C,3,0)</f>
        <v>#N/A</v>
      </c>
      <c r="I598" s="107" t="e">
        <f>VLOOKUP(M598,'Listado Precios'!$A:$C,2,0)</f>
        <v>#N/A</v>
      </c>
      <c r="J598" s="115"/>
      <c r="K598" s="118"/>
      <c r="M598" s="16"/>
    </row>
    <row r="599" spans="1:13" ht="15.75" customHeight="1">
      <c r="A599" s="19"/>
      <c r="B599" s="19"/>
      <c r="C599" s="7"/>
      <c r="D599" s="63"/>
      <c r="E599" s="64"/>
      <c r="F599" s="63"/>
      <c r="G599" s="68"/>
      <c r="H599" s="107" t="e">
        <f>VLOOKUP(M599,'Listado Precios'!$A:$C,3,0)</f>
        <v>#N/A</v>
      </c>
      <c r="I599" s="107" t="e">
        <f>VLOOKUP(M599,'Listado Precios'!$A:$C,2,0)</f>
        <v>#N/A</v>
      </c>
      <c r="J599" s="115"/>
      <c r="K599" s="118"/>
      <c r="M599" s="16"/>
    </row>
    <row r="600" spans="1:13" ht="15.75" customHeight="1">
      <c r="A600" s="19"/>
      <c r="B600" s="19"/>
      <c r="C600" s="7"/>
      <c r="D600" s="63"/>
      <c r="E600" s="64"/>
      <c r="F600" s="63"/>
      <c r="G600" s="68"/>
      <c r="H600" s="107" t="e">
        <f>VLOOKUP(M600,'Listado Precios'!$A:$C,3,0)</f>
        <v>#N/A</v>
      </c>
      <c r="I600" s="107" t="e">
        <f>VLOOKUP(M600,'Listado Precios'!$A:$C,2,0)</f>
        <v>#N/A</v>
      </c>
      <c r="J600" s="115"/>
      <c r="K600" s="118"/>
      <c r="M600" s="16"/>
    </row>
    <row r="601" spans="1:13" ht="15.75" customHeight="1">
      <c r="A601" s="19"/>
      <c r="B601" s="19"/>
      <c r="C601" s="7"/>
      <c r="D601" s="63"/>
      <c r="E601" s="64"/>
      <c r="F601" s="63"/>
      <c r="G601" s="68"/>
      <c r="H601" s="107" t="e">
        <f>VLOOKUP(M601,'Listado Precios'!$A:$C,3,0)</f>
        <v>#N/A</v>
      </c>
      <c r="I601" s="107" t="e">
        <f>VLOOKUP(M601,'Listado Precios'!$A:$C,2,0)</f>
        <v>#N/A</v>
      </c>
      <c r="J601" s="115"/>
      <c r="K601" s="118"/>
      <c r="M601" s="16"/>
    </row>
    <row r="602" spans="1:13" ht="15.75" customHeight="1">
      <c r="A602" s="19"/>
      <c r="B602" s="19"/>
      <c r="C602" s="7"/>
      <c r="D602" s="63"/>
      <c r="E602" s="64"/>
      <c r="F602" s="63"/>
      <c r="G602" s="68"/>
      <c r="H602" s="107" t="e">
        <f>VLOOKUP(M602,'Listado Precios'!$A:$C,3,0)</f>
        <v>#N/A</v>
      </c>
      <c r="I602" s="107" t="e">
        <f>VLOOKUP(M602,'Listado Precios'!$A:$C,2,0)</f>
        <v>#N/A</v>
      </c>
      <c r="J602" s="115"/>
      <c r="K602" s="118"/>
      <c r="M602" s="16"/>
    </row>
    <row r="603" spans="1:13" ht="15.75" customHeight="1">
      <c r="A603" s="19"/>
      <c r="B603" s="19"/>
      <c r="C603" s="7"/>
      <c r="D603" s="63"/>
      <c r="E603" s="64"/>
      <c r="F603" s="63"/>
      <c r="G603" s="68"/>
      <c r="H603" s="107" t="e">
        <f>VLOOKUP(M603,'Listado Precios'!$A:$C,3,0)</f>
        <v>#N/A</v>
      </c>
      <c r="I603" s="107" t="e">
        <f>VLOOKUP(M603,'Listado Precios'!$A:$C,2,0)</f>
        <v>#N/A</v>
      </c>
      <c r="J603" s="115"/>
      <c r="K603" s="118"/>
      <c r="M603" s="16"/>
    </row>
    <row r="604" spans="1:13" ht="15.75" customHeight="1">
      <c r="A604" s="19"/>
      <c r="B604" s="19"/>
      <c r="C604" s="7"/>
      <c r="D604" s="63"/>
      <c r="E604" s="64"/>
      <c r="F604" s="63"/>
      <c r="G604" s="68"/>
      <c r="H604" s="107" t="e">
        <f>VLOOKUP(M604,'Listado Precios'!$A:$C,3,0)</f>
        <v>#N/A</v>
      </c>
      <c r="I604" s="107" t="e">
        <f>VLOOKUP(M604,'Listado Precios'!$A:$C,2,0)</f>
        <v>#N/A</v>
      </c>
      <c r="J604" s="115"/>
      <c r="K604" s="118"/>
      <c r="M604" s="16"/>
    </row>
    <row r="605" spans="1:13" ht="15.75" customHeight="1">
      <c r="A605" s="19"/>
      <c r="B605" s="19"/>
      <c r="C605" s="7"/>
      <c r="D605" s="63"/>
      <c r="E605" s="64"/>
      <c r="F605" s="63"/>
      <c r="G605" s="68"/>
      <c r="H605" s="107" t="e">
        <f>VLOOKUP(M605,'Listado Precios'!$A:$C,3,0)</f>
        <v>#N/A</v>
      </c>
      <c r="I605" s="107" t="e">
        <f>VLOOKUP(M605,'Listado Precios'!$A:$C,2,0)</f>
        <v>#N/A</v>
      </c>
      <c r="J605" s="115"/>
      <c r="K605" s="118"/>
      <c r="M605" s="16"/>
    </row>
    <row r="606" spans="1:13" ht="15.75" customHeight="1">
      <c r="A606" s="19"/>
      <c r="B606" s="19"/>
      <c r="C606" s="7"/>
      <c r="D606" s="63"/>
      <c r="E606" s="64"/>
      <c r="F606" s="63"/>
      <c r="G606" s="68"/>
      <c r="H606" s="107" t="e">
        <f>VLOOKUP(M606,'Listado Precios'!$A:$C,3,0)</f>
        <v>#N/A</v>
      </c>
      <c r="I606" s="107" t="e">
        <f>VLOOKUP(M606,'Listado Precios'!$A:$C,2,0)</f>
        <v>#N/A</v>
      </c>
      <c r="J606" s="115"/>
      <c r="K606" s="118"/>
      <c r="M606" s="16"/>
    </row>
    <row r="607" spans="1:13" ht="15.75" customHeight="1">
      <c r="A607" s="19"/>
      <c r="B607" s="19"/>
      <c r="C607" s="7"/>
      <c r="D607" s="63"/>
      <c r="E607" s="64"/>
      <c r="F607" s="63"/>
      <c r="G607" s="68"/>
      <c r="H607" s="107" t="e">
        <f>VLOOKUP(M607,'Listado Precios'!$A:$C,3,0)</f>
        <v>#N/A</v>
      </c>
      <c r="I607" s="107" t="e">
        <f>VLOOKUP(M607,'Listado Precios'!$A:$C,2,0)</f>
        <v>#N/A</v>
      </c>
      <c r="J607" s="115"/>
      <c r="K607" s="118"/>
      <c r="M607" s="16"/>
    </row>
    <row r="608" spans="1:13" ht="15" customHeight="1">
      <c r="A608" s="19"/>
      <c r="B608" s="19"/>
      <c r="C608" s="7"/>
      <c r="D608" s="63"/>
      <c r="E608" s="64"/>
      <c r="F608" s="63"/>
      <c r="G608" s="68"/>
      <c r="H608" s="107" t="e">
        <f>VLOOKUP(M608,'Listado Precios'!$A:$C,3,0)</f>
        <v>#N/A</v>
      </c>
      <c r="I608" s="107" t="e">
        <f>VLOOKUP(M608,'Listado Precios'!$A:$C,2,0)</f>
        <v>#N/A</v>
      </c>
      <c r="J608" s="28"/>
      <c r="K608" s="15"/>
      <c r="M608" s="16" t="str">
        <f>CONCATENATE(Registro!$C623,Registro!$D623)</f>
        <v/>
      </c>
    </row>
    <row r="609" spans="1:13" ht="15.75" customHeight="1">
      <c r="A609" s="22"/>
      <c r="B609" s="22"/>
      <c r="C609" s="23"/>
      <c r="D609" s="24"/>
      <c r="E609" s="25"/>
      <c r="F609" s="23"/>
      <c r="G609" s="26"/>
      <c r="H609" s="27"/>
      <c r="J609" s="28"/>
      <c r="K609" s="23"/>
      <c r="M609" s="16" t="str">
        <f>CONCATENATE(Registro!$C609,Registro!$D609)</f>
        <v/>
      </c>
    </row>
    <row r="610" spans="1:13" ht="15.75" customHeight="1">
      <c r="A610" s="22"/>
      <c r="B610" s="22"/>
      <c r="C610" s="23"/>
      <c r="D610" s="24"/>
      <c r="E610" s="25"/>
      <c r="F610" s="23"/>
      <c r="G610" s="26"/>
      <c r="H610" s="27"/>
      <c r="J610" s="28"/>
      <c r="K610" s="23"/>
      <c r="M610" s="16" t="str">
        <f>CONCATENATE(Registro!$C610,Registro!$D610)</f>
        <v/>
      </c>
    </row>
    <row r="611" spans="1:13" ht="15.75" customHeight="1">
      <c r="A611" s="22"/>
      <c r="B611" s="22"/>
      <c r="C611" s="23"/>
      <c r="D611" s="24"/>
      <c r="E611" s="25"/>
      <c r="F611" s="23"/>
      <c r="G611" s="26"/>
      <c r="H611" s="27"/>
      <c r="J611" s="28"/>
      <c r="K611" s="23"/>
      <c r="M611" s="16" t="str">
        <f>CONCATENATE(Registro!$C611,Registro!$D611)</f>
        <v/>
      </c>
    </row>
    <row r="612" spans="1:13" ht="15.75" customHeight="1">
      <c r="A612" s="22"/>
      <c r="B612" s="22"/>
      <c r="C612" s="23"/>
      <c r="D612" s="24"/>
      <c r="E612" s="25"/>
      <c r="F612" s="23"/>
      <c r="G612" s="26"/>
      <c r="H612" s="27"/>
      <c r="J612" s="28"/>
      <c r="K612" s="23"/>
      <c r="M612" s="16" t="str">
        <f>CONCATENATE(Registro!$C612,Registro!$D612)</f>
        <v/>
      </c>
    </row>
    <row r="613" spans="1:13" ht="15.75" customHeight="1">
      <c r="A613" s="22"/>
      <c r="B613" s="22"/>
      <c r="C613" s="23"/>
      <c r="D613" s="24"/>
      <c r="E613" s="25"/>
      <c r="F613" s="23"/>
      <c r="G613" s="26"/>
      <c r="H613" s="27"/>
      <c r="J613" s="28"/>
      <c r="K613" s="23"/>
      <c r="M613" s="16" t="str">
        <f>CONCATENATE(Registro!$C613,Registro!$D613)</f>
        <v/>
      </c>
    </row>
    <row r="614" spans="1:13" ht="15.75" customHeight="1">
      <c r="A614" s="22"/>
      <c r="B614" s="22"/>
      <c r="C614" s="23"/>
      <c r="D614" s="24"/>
      <c r="E614" s="25"/>
      <c r="F614" s="23"/>
      <c r="G614" s="26"/>
      <c r="H614" s="27"/>
      <c r="J614" s="28"/>
      <c r="K614" s="23"/>
      <c r="M614" s="16" t="str">
        <f>CONCATENATE(Registro!$C614,Registro!$D614)</f>
        <v/>
      </c>
    </row>
    <row r="615" spans="1:13" ht="15.75" customHeight="1">
      <c r="A615" s="22"/>
      <c r="B615" s="22"/>
      <c r="C615" s="23"/>
      <c r="D615" s="24"/>
      <c r="E615" s="25"/>
      <c r="F615" s="23"/>
      <c r="G615" s="26"/>
      <c r="H615" s="27"/>
      <c r="J615" s="28"/>
      <c r="K615" s="23"/>
      <c r="M615" s="16" t="str">
        <f>CONCATENATE(Registro!$C615,Registro!$D615)</f>
        <v/>
      </c>
    </row>
    <row r="616" spans="1:13" ht="15.75" customHeight="1">
      <c r="A616" s="22"/>
      <c r="B616" s="22"/>
      <c r="C616" s="23"/>
      <c r="D616" s="24"/>
      <c r="E616" s="25"/>
      <c r="F616" s="23"/>
      <c r="G616" s="26"/>
      <c r="H616" s="27"/>
      <c r="J616" s="28"/>
      <c r="K616" s="23"/>
      <c r="M616" s="16" t="str">
        <f>CONCATENATE(Registro!$C616,Registro!$D616)</f>
        <v/>
      </c>
    </row>
    <row r="617" spans="1:13" ht="15.75" customHeight="1">
      <c r="A617" s="22"/>
      <c r="B617" s="22"/>
      <c r="C617" s="23"/>
      <c r="D617" s="24"/>
      <c r="E617" s="25"/>
      <c r="F617" s="23"/>
      <c r="G617" s="26"/>
      <c r="H617" s="27"/>
      <c r="J617" s="28"/>
      <c r="K617" s="23"/>
      <c r="M617" s="16" t="str">
        <f>CONCATENATE(Registro!$C617,Registro!$D617)</f>
        <v/>
      </c>
    </row>
    <row r="618" spans="1:13" ht="15.75" customHeight="1">
      <c r="A618" s="22"/>
      <c r="B618" s="22"/>
      <c r="C618" s="23"/>
      <c r="D618" s="24"/>
      <c r="E618" s="25"/>
      <c r="F618" s="23"/>
      <c r="G618" s="26"/>
      <c r="H618" s="27"/>
      <c r="J618" s="28"/>
      <c r="K618" s="23"/>
      <c r="M618" s="16" t="str">
        <f>CONCATENATE(Registro!$C618,Registro!$D618)</f>
        <v/>
      </c>
    </row>
    <row r="619" spans="1:13" ht="15.75" customHeight="1">
      <c r="A619" s="22"/>
      <c r="B619" s="22"/>
      <c r="C619" s="23"/>
      <c r="D619" s="24"/>
      <c r="E619" s="25"/>
      <c r="F619" s="23"/>
      <c r="G619" s="26"/>
      <c r="H619" s="27"/>
      <c r="J619" s="28"/>
      <c r="K619" s="23"/>
      <c r="M619" s="16" t="str">
        <f>CONCATENATE(Registro!$C619,Registro!$D619)</f>
        <v/>
      </c>
    </row>
    <row r="620" spans="1:13" ht="15.75" customHeight="1">
      <c r="A620" s="22"/>
      <c r="B620" s="22"/>
      <c r="C620" s="23"/>
      <c r="D620" s="24"/>
      <c r="E620" s="25"/>
      <c r="F620" s="23"/>
      <c r="G620" s="26"/>
      <c r="H620" s="27"/>
      <c r="J620" s="28"/>
      <c r="K620" s="23"/>
      <c r="M620" s="16" t="str">
        <f>CONCATENATE(Registro!$C620,Registro!$D620)</f>
        <v/>
      </c>
    </row>
    <row r="621" spans="1:13" ht="15.75" customHeight="1">
      <c r="A621" s="22"/>
      <c r="B621" s="22"/>
      <c r="C621" s="23"/>
      <c r="D621" s="24"/>
      <c r="E621" s="25"/>
      <c r="F621" s="23"/>
      <c r="G621" s="26"/>
      <c r="H621" s="27"/>
      <c r="J621" s="28"/>
      <c r="K621" s="23"/>
      <c r="M621" s="16" t="str">
        <f>CONCATENATE(Registro!$C621,Registro!$D621)</f>
        <v/>
      </c>
    </row>
    <row r="622" spans="1:13" ht="15.75" customHeight="1">
      <c r="A622" s="22"/>
      <c r="B622" s="22"/>
      <c r="C622" s="23"/>
      <c r="D622" s="24"/>
      <c r="E622" s="25"/>
      <c r="F622" s="23"/>
      <c r="G622" s="26"/>
      <c r="H622" s="27"/>
      <c r="J622" s="28"/>
      <c r="K622" s="23"/>
      <c r="M622" s="16" t="str">
        <f>CONCATENATE(Registro!$C622,Registro!$D622)</f>
        <v/>
      </c>
    </row>
    <row r="623" spans="1:13" ht="15.75" customHeight="1">
      <c r="A623" s="22"/>
      <c r="B623" s="22"/>
      <c r="C623" s="23"/>
      <c r="D623" s="24"/>
      <c r="E623" s="25"/>
      <c r="F623" s="23"/>
      <c r="G623" s="26"/>
      <c r="H623" s="27"/>
      <c r="J623" s="28"/>
      <c r="K623" s="23"/>
      <c r="M623" s="16" t="str">
        <f>CONCATENATE(Registro!$C623,Registro!$D623)</f>
        <v/>
      </c>
    </row>
    <row r="624" spans="1:13" ht="15.75" customHeight="1">
      <c r="A624" s="22"/>
      <c r="B624" s="22"/>
      <c r="C624" s="23"/>
      <c r="D624" s="24"/>
      <c r="E624" s="25"/>
      <c r="F624" s="23"/>
      <c r="G624" s="26"/>
      <c r="H624" s="27"/>
      <c r="J624" s="28"/>
      <c r="K624" s="23"/>
      <c r="M624" s="16" t="str">
        <f>CONCATENATE(Registro!$C624,Registro!$D624)</f>
        <v/>
      </c>
    </row>
    <row r="625" spans="1:13" ht="15.75" customHeight="1">
      <c r="A625" s="22"/>
      <c r="B625" s="22"/>
      <c r="C625" s="23"/>
      <c r="D625" s="24"/>
      <c r="E625" s="25"/>
      <c r="F625" s="23"/>
      <c r="G625" s="26"/>
      <c r="H625" s="27"/>
      <c r="J625" s="28"/>
      <c r="K625" s="23"/>
      <c r="M625" s="16" t="str">
        <f>CONCATENATE(Registro!$C625,Registro!$D625)</f>
        <v/>
      </c>
    </row>
    <row r="626" spans="1:13" ht="15.75" customHeight="1">
      <c r="A626" s="22"/>
      <c r="B626" s="22"/>
      <c r="C626" s="23"/>
      <c r="D626" s="24"/>
      <c r="E626" s="25"/>
      <c r="F626" s="23"/>
      <c r="G626" s="26"/>
      <c r="H626" s="27"/>
      <c r="J626" s="28"/>
      <c r="K626" s="23"/>
      <c r="M626" s="16" t="str">
        <f>CONCATENATE(Registro!$C626,Registro!$D626)</f>
        <v/>
      </c>
    </row>
    <row r="627" spans="1:13" ht="15.75" customHeight="1">
      <c r="A627" s="22"/>
      <c r="B627" s="22"/>
      <c r="C627" s="23"/>
      <c r="D627" s="24"/>
      <c r="E627" s="25"/>
      <c r="F627" s="23"/>
      <c r="G627" s="26"/>
      <c r="H627" s="27"/>
      <c r="J627" s="28"/>
      <c r="K627" s="23"/>
      <c r="M627" s="16" t="str">
        <f>CONCATENATE(Registro!$C627,Registro!$D627)</f>
        <v/>
      </c>
    </row>
    <row r="628" spans="1:13" ht="15.75" customHeight="1">
      <c r="A628" s="22"/>
      <c r="B628" s="22"/>
      <c r="C628" s="23"/>
      <c r="D628" s="24"/>
      <c r="E628" s="25"/>
      <c r="F628" s="23"/>
      <c r="G628" s="26"/>
      <c r="H628" s="27"/>
      <c r="J628" s="28"/>
      <c r="K628" s="23"/>
      <c r="M628" s="16" t="str">
        <f>CONCATENATE(Registro!$C628,Registro!$D628)</f>
        <v/>
      </c>
    </row>
    <row r="629" spans="1:13" ht="15.75" customHeight="1">
      <c r="A629" s="22"/>
      <c r="B629" s="22"/>
      <c r="C629" s="23"/>
      <c r="D629" s="24"/>
      <c r="E629" s="25"/>
      <c r="F629" s="23"/>
      <c r="G629" s="26"/>
      <c r="H629" s="27"/>
      <c r="J629" s="28"/>
      <c r="K629" s="23"/>
      <c r="M629" s="16" t="str">
        <f>CONCATENATE(Registro!$C629,Registro!$D629)</f>
        <v/>
      </c>
    </row>
    <row r="630" spans="1:13" ht="15.75" customHeight="1">
      <c r="A630" s="22"/>
      <c r="B630" s="22"/>
      <c r="C630" s="23"/>
      <c r="D630" s="24"/>
      <c r="E630" s="25"/>
      <c r="F630" s="23"/>
      <c r="G630" s="26"/>
      <c r="H630" s="27"/>
      <c r="J630" s="28"/>
      <c r="K630" s="23"/>
      <c r="M630" s="16" t="str">
        <f>CONCATENATE(Registro!$C630,Registro!$D630)</f>
        <v/>
      </c>
    </row>
    <row r="631" spans="1:13" ht="15.75" customHeight="1">
      <c r="A631" s="22"/>
      <c r="B631" s="22"/>
      <c r="C631" s="23"/>
      <c r="D631" s="24"/>
      <c r="E631" s="25"/>
      <c r="F631" s="23"/>
      <c r="G631" s="26"/>
      <c r="H631" s="27"/>
      <c r="J631" s="28"/>
      <c r="K631" s="23"/>
      <c r="M631" s="16" t="str">
        <f>CONCATENATE(Registro!$C631,Registro!$D631)</f>
        <v/>
      </c>
    </row>
    <row r="632" spans="1:13" ht="15.75" customHeight="1">
      <c r="A632" s="22"/>
      <c r="B632" s="22"/>
      <c r="C632" s="23"/>
      <c r="D632" s="24"/>
      <c r="E632" s="25"/>
      <c r="F632" s="23"/>
      <c r="G632" s="26"/>
      <c r="H632" s="27"/>
      <c r="J632" s="28"/>
      <c r="K632" s="23"/>
      <c r="M632" s="16" t="str">
        <f>CONCATENATE(Registro!$C632,Registro!$D632)</f>
        <v/>
      </c>
    </row>
    <row r="633" spans="1:13" ht="15.75" customHeight="1">
      <c r="A633" s="22"/>
      <c r="B633" s="22"/>
      <c r="C633" s="23"/>
      <c r="D633" s="24"/>
      <c r="E633" s="25"/>
      <c r="F633" s="23"/>
      <c r="G633" s="26"/>
      <c r="H633" s="27"/>
      <c r="J633" s="28"/>
      <c r="K633" s="23"/>
      <c r="M633" s="16" t="str">
        <f>CONCATENATE(Registro!$C633,Registro!$D633)</f>
        <v/>
      </c>
    </row>
    <row r="634" spans="1:13" ht="15.75" customHeight="1">
      <c r="A634" s="22"/>
      <c r="B634" s="22"/>
      <c r="C634" s="23"/>
      <c r="D634" s="24"/>
      <c r="E634" s="25"/>
      <c r="F634" s="23"/>
      <c r="G634" s="26"/>
      <c r="H634" s="27"/>
      <c r="J634" s="28"/>
      <c r="K634" s="23"/>
      <c r="M634" s="16" t="str">
        <f>CONCATENATE(Registro!$C634,Registro!$D634)</f>
        <v/>
      </c>
    </row>
    <row r="635" spans="1:13" ht="15.75" customHeight="1">
      <c r="A635" s="22"/>
      <c r="B635" s="22"/>
      <c r="C635" s="23"/>
      <c r="D635" s="24"/>
      <c r="E635" s="25"/>
      <c r="F635" s="23"/>
      <c r="G635" s="26"/>
      <c r="H635" s="27"/>
      <c r="J635" s="28"/>
      <c r="K635" s="23"/>
      <c r="M635" s="16" t="str">
        <f>CONCATENATE(Registro!$C635,Registro!$D635)</f>
        <v/>
      </c>
    </row>
    <row r="636" spans="1:13" ht="15.75" customHeight="1">
      <c r="A636" s="22"/>
      <c r="B636" s="22"/>
      <c r="C636" s="23"/>
      <c r="D636" s="24"/>
      <c r="E636" s="25"/>
      <c r="F636" s="23"/>
      <c r="G636" s="26"/>
      <c r="H636" s="27"/>
      <c r="J636" s="28"/>
      <c r="K636" s="23"/>
      <c r="M636" s="16" t="str">
        <f>CONCATENATE(Registro!$C636,Registro!$D636)</f>
        <v/>
      </c>
    </row>
    <row r="637" spans="1:13" ht="15.75" customHeight="1">
      <c r="A637" s="22"/>
      <c r="B637" s="22"/>
      <c r="C637" s="23"/>
      <c r="D637" s="24"/>
      <c r="E637" s="25"/>
      <c r="F637" s="23"/>
      <c r="G637" s="26"/>
      <c r="H637" s="27"/>
      <c r="J637" s="28"/>
      <c r="K637" s="23"/>
      <c r="M637" s="16" t="str">
        <f>CONCATENATE(Registro!$C637,Registro!$D637)</f>
        <v/>
      </c>
    </row>
    <row r="638" spans="1:13" ht="15.75" customHeight="1">
      <c r="A638" s="22"/>
      <c r="B638" s="22"/>
      <c r="C638" s="23"/>
      <c r="D638" s="24"/>
      <c r="E638" s="25"/>
      <c r="F638" s="23"/>
      <c r="G638" s="26"/>
      <c r="H638" s="27"/>
      <c r="J638" s="28"/>
      <c r="K638" s="23"/>
      <c r="M638" s="16" t="str">
        <f>CONCATENATE(Registro!$C638,Registro!$D638)</f>
        <v/>
      </c>
    </row>
    <row r="639" spans="1:13" ht="15.75" customHeight="1">
      <c r="A639" s="22"/>
      <c r="B639" s="22"/>
      <c r="C639" s="23"/>
      <c r="D639" s="24"/>
      <c r="E639" s="25"/>
      <c r="F639" s="23"/>
      <c r="G639" s="26"/>
      <c r="H639" s="27"/>
      <c r="J639" s="28"/>
      <c r="K639" s="23"/>
      <c r="M639" s="16" t="str">
        <f>CONCATENATE(Registro!$C639,Registro!$D639)</f>
        <v/>
      </c>
    </row>
    <row r="640" spans="1:13" ht="15.75" customHeight="1">
      <c r="A640" s="22"/>
      <c r="B640" s="22"/>
      <c r="C640" s="23"/>
      <c r="D640" s="24"/>
      <c r="E640" s="25"/>
      <c r="F640" s="23"/>
      <c r="G640" s="26"/>
      <c r="H640" s="27"/>
      <c r="J640" s="28"/>
      <c r="K640" s="23"/>
      <c r="M640" s="16" t="str">
        <f>CONCATENATE(Registro!$C640,Registro!$D640)</f>
        <v/>
      </c>
    </row>
    <row r="641" spans="1:13" ht="15.75" customHeight="1">
      <c r="A641" s="22"/>
      <c r="B641" s="22"/>
      <c r="C641" s="23"/>
      <c r="D641" s="24"/>
      <c r="E641" s="25"/>
      <c r="F641" s="23"/>
      <c r="G641" s="26"/>
      <c r="H641" s="27"/>
      <c r="J641" s="28"/>
      <c r="K641" s="23"/>
      <c r="M641" s="16" t="str">
        <f>CONCATENATE(Registro!$C641,Registro!$D641)</f>
        <v/>
      </c>
    </row>
    <row r="642" spans="1:13" ht="15.75" customHeight="1">
      <c r="A642" s="22"/>
      <c r="B642" s="22"/>
      <c r="C642" s="23"/>
      <c r="D642" s="24"/>
      <c r="E642" s="25"/>
      <c r="F642" s="23"/>
      <c r="G642" s="26"/>
      <c r="H642" s="27"/>
      <c r="J642" s="28"/>
      <c r="K642" s="23"/>
      <c r="M642" s="16" t="str">
        <f>CONCATENATE(Registro!$C642,Registro!$D642)</f>
        <v/>
      </c>
    </row>
    <row r="643" spans="1:13" ht="15.75" customHeight="1">
      <c r="A643" s="22"/>
      <c r="B643" s="22"/>
      <c r="C643" s="23"/>
      <c r="D643" s="24"/>
      <c r="E643" s="25"/>
      <c r="F643" s="23"/>
      <c r="G643" s="26"/>
      <c r="H643" s="27"/>
      <c r="J643" s="28"/>
      <c r="K643" s="23"/>
      <c r="M643" s="16" t="str">
        <f>CONCATENATE(Registro!$C643,Registro!$D643)</f>
        <v/>
      </c>
    </row>
    <row r="644" spans="1:13" ht="15.75" customHeight="1">
      <c r="A644" s="22"/>
      <c r="B644" s="22"/>
      <c r="C644" s="23"/>
      <c r="D644" s="24"/>
      <c r="E644" s="25"/>
      <c r="F644" s="23"/>
      <c r="G644" s="26"/>
      <c r="H644" s="27"/>
      <c r="J644" s="28"/>
      <c r="K644" s="23"/>
      <c r="M644" s="16" t="str">
        <f>CONCATENATE(Registro!$C644,Registro!$D644)</f>
        <v/>
      </c>
    </row>
    <row r="645" spans="1:13" ht="15.75" customHeight="1">
      <c r="A645" s="22"/>
      <c r="B645" s="22"/>
      <c r="C645" s="23"/>
      <c r="D645" s="24"/>
      <c r="E645" s="25"/>
      <c r="F645" s="23"/>
      <c r="G645" s="26"/>
      <c r="H645" s="27"/>
      <c r="J645" s="28"/>
      <c r="K645" s="23"/>
      <c r="M645" s="16" t="str">
        <f>CONCATENATE(Registro!$C645,Registro!$D645)</f>
        <v/>
      </c>
    </row>
    <row r="646" spans="1:13" ht="15.75" customHeight="1">
      <c r="A646" s="22"/>
      <c r="B646" s="22"/>
      <c r="C646" s="23"/>
      <c r="D646" s="24"/>
      <c r="E646" s="25"/>
      <c r="F646" s="23"/>
      <c r="G646" s="26"/>
      <c r="H646" s="27"/>
      <c r="J646" s="28"/>
      <c r="K646" s="23"/>
      <c r="M646" s="16" t="str">
        <f>CONCATENATE(Registro!$C646,Registro!$D646)</f>
        <v/>
      </c>
    </row>
    <row r="647" spans="1:13" ht="15.75" customHeight="1">
      <c r="A647" s="22"/>
      <c r="B647" s="22"/>
      <c r="C647" s="23"/>
      <c r="D647" s="24"/>
      <c r="E647" s="25"/>
      <c r="F647" s="23"/>
      <c r="G647" s="26"/>
      <c r="H647" s="27"/>
      <c r="J647" s="28"/>
      <c r="K647" s="23"/>
      <c r="M647" s="16" t="str">
        <f>CONCATENATE(Registro!$C647,Registro!$D647)</f>
        <v/>
      </c>
    </row>
    <row r="648" spans="1:13" ht="15.75" customHeight="1">
      <c r="A648" s="22"/>
      <c r="B648" s="22"/>
      <c r="C648" s="23"/>
      <c r="D648" s="24"/>
      <c r="E648" s="25"/>
      <c r="F648" s="23"/>
      <c r="G648" s="26"/>
      <c r="H648" s="27"/>
      <c r="J648" s="28"/>
      <c r="K648" s="23"/>
      <c r="M648" s="16" t="str">
        <f>CONCATENATE(Registro!$C648,Registro!$D648)</f>
        <v/>
      </c>
    </row>
    <row r="649" spans="1:13" ht="15.75" customHeight="1">
      <c r="A649" s="22"/>
      <c r="B649" s="22"/>
      <c r="C649" s="23"/>
      <c r="D649" s="24"/>
      <c r="E649" s="25"/>
      <c r="F649" s="23"/>
      <c r="G649" s="26"/>
      <c r="H649" s="27"/>
      <c r="J649" s="28"/>
      <c r="K649" s="23"/>
      <c r="M649" s="16" t="str">
        <f>CONCATENATE(Registro!$C649,Registro!$D649)</f>
        <v/>
      </c>
    </row>
    <row r="650" spans="1:13" ht="15.75" customHeight="1">
      <c r="A650" s="22"/>
      <c r="B650" s="22"/>
      <c r="C650" s="23"/>
      <c r="D650" s="24"/>
      <c r="E650" s="25"/>
      <c r="F650" s="23"/>
      <c r="G650" s="26"/>
      <c r="H650" s="27"/>
      <c r="J650" s="28"/>
      <c r="K650" s="23"/>
      <c r="M650" s="16" t="str">
        <f>CONCATENATE(Registro!$C650,Registro!$D650)</f>
        <v/>
      </c>
    </row>
    <row r="651" spans="1:13" ht="15.75" customHeight="1">
      <c r="A651" s="22"/>
      <c r="B651" s="22"/>
      <c r="C651" s="23"/>
      <c r="D651" s="24"/>
      <c r="E651" s="25"/>
      <c r="F651" s="23"/>
      <c r="G651" s="26"/>
      <c r="H651" s="27"/>
      <c r="J651" s="28"/>
      <c r="K651" s="23"/>
      <c r="M651" s="16" t="str">
        <f>CONCATENATE(Registro!$C651,Registro!$D651)</f>
        <v/>
      </c>
    </row>
    <row r="652" spans="1:13" ht="15.75" customHeight="1">
      <c r="A652" s="22"/>
      <c r="B652" s="22"/>
      <c r="C652" s="23"/>
      <c r="D652" s="24"/>
      <c r="E652" s="25"/>
      <c r="F652" s="23"/>
      <c r="G652" s="26"/>
      <c r="H652" s="27"/>
      <c r="J652" s="28"/>
      <c r="K652" s="23"/>
      <c r="M652" s="16" t="str">
        <f>CONCATENATE(Registro!$C652,Registro!$D652)</f>
        <v/>
      </c>
    </row>
    <row r="653" spans="1:13" ht="15.75" customHeight="1">
      <c r="A653" s="22"/>
      <c r="B653" s="22"/>
      <c r="C653" s="23"/>
      <c r="D653" s="24"/>
      <c r="E653" s="25"/>
      <c r="F653" s="23"/>
      <c r="G653" s="26"/>
      <c r="H653" s="27"/>
      <c r="J653" s="28"/>
      <c r="K653" s="23"/>
      <c r="M653" s="16" t="str">
        <f>CONCATENATE(Registro!$C653,Registro!$D653)</f>
        <v/>
      </c>
    </row>
    <row r="654" spans="1:13" ht="15.75" customHeight="1">
      <c r="A654" s="22"/>
      <c r="B654" s="22"/>
      <c r="C654" s="23"/>
      <c r="D654" s="24"/>
      <c r="E654" s="25"/>
      <c r="F654" s="23"/>
      <c r="G654" s="26"/>
      <c r="H654" s="27"/>
      <c r="J654" s="28"/>
      <c r="K654" s="23"/>
      <c r="M654" s="16" t="str">
        <f>CONCATENATE(Registro!$C654,Registro!$D654)</f>
        <v/>
      </c>
    </row>
    <row r="655" spans="1:13" ht="15.75" customHeight="1">
      <c r="A655" s="22"/>
      <c r="B655" s="22"/>
      <c r="C655" s="23"/>
      <c r="D655" s="24"/>
      <c r="E655" s="25"/>
      <c r="F655" s="23"/>
      <c r="G655" s="26"/>
      <c r="H655" s="27"/>
      <c r="J655" s="28"/>
      <c r="K655" s="23"/>
      <c r="M655" s="16" t="str">
        <f>CONCATENATE(Registro!$C655,Registro!$D655)</f>
        <v/>
      </c>
    </row>
    <row r="656" spans="1:13" ht="15.75" customHeight="1">
      <c r="A656" s="22"/>
      <c r="B656" s="22"/>
      <c r="C656" s="23"/>
      <c r="D656" s="24"/>
      <c r="E656" s="25"/>
      <c r="F656" s="23"/>
      <c r="G656" s="26"/>
      <c r="H656" s="27"/>
      <c r="J656" s="28"/>
      <c r="K656" s="23"/>
      <c r="M656" s="16" t="str">
        <f>CONCATENATE(Registro!$C656,Registro!$D656)</f>
        <v/>
      </c>
    </row>
    <row r="657" spans="1:13" ht="15.75" customHeight="1">
      <c r="A657" s="22"/>
      <c r="B657" s="22"/>
      <c r="C657" s="23"/>
      <c r="D657" s="24"/>
      <c r="E657" s="25"/>
      <c r="F657" s="23"/>
      <c r="G657" s="26"/>
      <c r="H657" s="27"/>
      <c r="J657" s="28"/>
      <c r="K657" s="23"/>
      <c r="M657" s="16" t="str">
        <f>CONCATENATE(Registro!$C657,Registro!$D657)</f>
        <v/>
      </c>
    </row>
    <row r="658" spans="1:13" ht="15.75" customHeight="1">
      <c r="A658" s="22"/>
      <c r="B658" s="22"/>
      <c r="C658" s="23"/>
      <c r="D658" s="24"/>
      <c r="E658" s="25"/>
      <c r="F658" s="23"/>
      <c r="G658" s="26"/>
      <c r="H658" s="27"/>
      <c r="J658" s="28"/>
      <c r="K658" s="23"/>
      <c r="M658" s="16" t="str">
        <f>CONCATENATE(Registro!$C658,Registro!$D658)</f>
        <v/>
      </c>
    </row>
    <row r="659" spans="1:13" ht="15.75" customHeight="1">
      <c r="A659" s="22"/>
      <c r="B659" s="22"/>
      <c r="C659" s="23"/>
      <c r="D659" s="24"/>
      <c r="E659" s="25"/>
      <c r="F659" s="23"/>
      <c r="G659" s="26"/>
      <c r="H659" s="27"/>
      <c r="J659" s="28"/>
      <c r="K659" s="23"/>
      <c r="M659" s="16" t="str">
        <f>CONCATENATE(Registro!$C659,Registro!$D659)</f>
        <v/>
      </c>
    </row>
    <row r="660" spans="1:13" ht="15.75" customHeight="1">
      <c r="A660" s="22"/>
      <c r="B660" s="22"/>
      <c r="C660" s="23"/>
      <c r="D660" s="24"/>
      <c r="E660" s="25"/>
      <c r="F660" s="23"/>
      <c r="G660" s="26"/>
      <c r="H660" s="27"/>
      <c r="J660" s="28"/>
      <c r="K660" s="23"/>
      <c r="M660" s="16" t="str">
        <f>CONCATENATE(Registro!$C660,Registro!$D660)</f>
        <v/>
      </c>
    </row>
    <row r="661" spans="1:13" ht="15.75" customHeight="1">
      <c r="A661" s="22"/>
      <c r="B661" s="22"/>
      <c r="C661" s="23"/>
      <c r="D661" s="24"/>
      <c r="E661" s="25"/>
      <c r="F661" s="23"/>
      <c r="G661" s="26"/>
      <c r="H661" s="27"/>
      <c r="J661" s="28"/>
      <c r="K661" s="23"/>
      <c r="M661" s="16" t="str">
        <f>CONCATENATE(Registro!$C661,Registro!$D661)</f>
        <v/>
      </c>
    </row>
    <row r="662" spans="1:13" ht="15.75" customHeight="1">
      <c r="A662" s="22"/>
      <c r="B662" s="22"/>
      <c r="C662" s="23"/>
      <c r="D662" s="24"/>
      <c r="E662" s="25"/>
      <c r="F662" s="23"/>
      <c r="G662" s="26"/>
      <c r="H662" s="27"/>
      <c r="J662" s="28"/>
      <c r="K662" s="23"/>
      <c r="M662" s="16" t="str">
        <f>CONCATENATE(Registro!$C662,Registro!$D662)</f>
        <v/>
      </c>
    </row>
    <row r="663" spans="1:13" ht="15.75" customHeight="1">
      <c r="A663" s="22"/>
      <c r="B663" s="22"/>
      <c r="C663" s="23"/>
      <c r="D663" s="24"/>
      <c r="E663" s="25"/>
      <c r="F663" s="23"/>
      <c r="G663" s="26"/>
      <c r="H663" s="27"/>
      <c r="J663" s="28"/>
      <c r="K663" s="23"/>
      <c r="M663" s="16" t="str">
        <f>CONCATENATE(Registro!$C663,Registro!$D663)</f>
        <v/>
      </c>
    </row>
    <row r="664" spans="1:13" ht="15.75" customHeight="1">
      <c r="A664" s="22"/>
      <c r="B664" s="22"/>
      <c r="C664" s="23"/>
      <c r="D664" s="24"/>
      <c r="E664" s="25"/>
      <c r="F664" s="23"/>
      <c r="G664" s="26"/>
      <c r="H664" s="27"/>
      <c r="J664" s="28"/>
      <c r="K664" s="23"/>
      <c r="M664" s="16" t="str">
        <f>CONCATENATE(Registro!$C664,Registro!$D664)</f>
        <v/>
      </c>
    </row>
    <row r="665" spans="1:13" ht="15.75" customHeight="1">
      <c r="A665" s="22"/>
      <c r="B665" s="22"/>
      <c r="C665" s="23"/>
      <c r="D665" s="24"/>
      <c r="E665" s="25"/>
      <c r="F665" s="23"/>
      <c r="G665" s="26"/>
      <c r="H665" s="27"/>
      <c r="J665" s="28"/>
      <c r="K665" s="23"/>
      <c r="M665" s="16" t="str">
        <f>CONCATENATE(Registro!$C665,Registro!$D665)</f>
        <v/>
      </c>
    </row>
    <row r="666" spans="1:13" ht="15.75" customHeight="1">
      <c r="A666" s="22"/>
      <c r="B666" s="22"/>
      <c r="C666" s="23"/>
      <c r="D666" s="24"/>
      <c r="E666" s="25"/>
      <c r="F666" s="23"/>
      <c r="G666" s="26"/>
      <c r="H666" s="27"/>
      <c r="J666" s="28"/>
      <c r="K666" s="23"/>
      <c r="M666" s="16" t="str">
        <f>CONCATENATE(Registro!$C666,Registro!$D666)</f>
        <v/>
      </c>
    </row>
    <row r="667" spans="1:13" ht="15.75" customHeight="1">
      <c r="A667" s="22"/>
      <c r="B667" s="22"/>
      <c r="C667" s="23"/>
      <c r="D667" s="24"/>
      <c r="E667" s="25"/>
      <c r="F667" s="23"/>
      <c r="G667" s="26"/>
      <c r="H667" s="27"/>
      <c r="J667" s="28"/>
      <c r="K667" s="23"/>
      <c r="M667" s="16" t="str">
        <f>CONCATENATE(Registro!$C667,Registro!$D667)</f>
        <v/>
      </c>
    </row>
    <row r="668" spans="1:13" ht="15.75" customHeight="1">
      <c r="A668" s="22"/>
      <c r="B668" s="22"/>
      <c r="C668" s="23"/>
      <c r="D668" s="24"/>
      <c r="E668" s="25"/>
      <c r="F668" s="23"/>
      <c r="G668" s="26"/>
      <c r="H668" s="27"/>
      <c r="J668" s="28"/>
      <c r="K668" s="23"/>
      <c r="M668" s="16" t="str">
        <f>CONCATENATE(Registro!$C668,Registro!$D668)</f>
        <v/>
      </c>
    </row>
    <row r="669" spans="1:13" ht="15.75" customHeight="1">
      <c r="A669" s="22"/>
      <c r="B669" s="22"/>
      <c r="C669" s="23"/>
      <c r="D669" s="24"/>
      <c r="E669" s="25"/>
      <c r="F669" s="23"/>
      <c r="G669" s="26"/>
      <c r="H669" s="27"/>
      <c r="J669" s="28"/>
      <c r="K669" s="23"/>
      <c r="M669" s="16" t="str">
        <f>CONCATENATE(Registro!$C669,Registro!$D669)</f>
        <v/>
      </c>
    </row>
    <row r="670" spans="1:13" ht="15.75" customHeight="1">
      <c r="A670" s="22"/>
      <c r="B670" s="22"/>
      <c r="C670" s="23"/>
      <c r="D670" s="24"/>
      <c r="E670" s="25"/>
      <c r="F670" s="23"/>
      <c r="G670" s="26"/>
      <c r="H670" s="27"/>
      <c r="J670" s="28"/>
      <c r="K670" s="23"/>
      <c r="M670" s="16" t="str">
        <f>CONCATENATE(Registro!$C670,Registro!$D670)</f>
        <v/>
      </c>
    </row>
    <row r="671" spans="1:13" ht="15.75" customHeight="1">
      <c r="A671" s="22"/>
      <c r="B671" s="22"/>
      <c r="C671" s="23"/>
      <c r="D671" s="24"/>
      <c r="E671" s="25"/>
      <c r="F671" s="23"/>
      <c r="G671" s="26"/>
      <c r="H671" s="27"/>
      <c r="J671" s="28"/>
      <c r="K671" s="23"/>
      <c r="M671" s="16" t="str">
        <f>CONCATENATE(Registro!$C671,Registro!$D671)</f>
        <v/>
      </c>
    </row>
    <row r="672" spans="1:13" ht="15.75" customHeight="1">
      <c r="A672" s="22"/>
      <c r="B672" s="22"/>
      <c r="C672" s="23"/>
      <c r="D672" s="24"/>
      <c r="E672" s="25"/>
      <c r="F672" s="23"/>
      <c r="G672" s="26"/>
      <c r="H672" s="27"/>
      <c r="J672" s="28"/>
      <c r="K672" s="23"/>
      <c r="M672" s="16" t="str">
        <f>CONCATENATE(Registro!$C672,Registro!$D672)</f>
        <v/>
      </c>
    </row>
    <row r="673" spans="1:13" ht="15.75" customHeight="1">
      <c r="A673" s="22"/>
      <c r="B673" s="22"/>
      <c r="C673" s="23"/>
      <c r="D673" s="24"/>
      <c r="E673" s="25"/>
      <c r="F673" s="23"/>
      <c r="G673" s="26"/>
      <c r="H673" s="27"/>
      <c r="J673" s="28"/>
      <c r="K673" s="23"/>
      <c r="M673" s="16" t="str">
        <f>CONCATENATE(Registro!$C673,Registro!$D673)</f>
        <v/>
      </c>
    </row>
    <row r="674" spans="1:13" ht="15.75" customHeight="1">
      <c r="A674" s="22"/>
      <c r="B674" s="22"/>
      <c r="C674" s="23"/>
      <c r="D674" s="24"/>
      <c r="E674" s="25"/>
      <c r="F674" s="23"/>
      <c r="G674" s="26"/>
      <c r="H674" s="27"/>
      <c r="J674" s="28"/>
      <c r="K674" s="23"/>
      <c r="M674" s="16" t="str">
        <f>CONCATENATE(Registro!$C674,Registro!$D674)</f>
        <v/>
      </c>
    </row>
    <row r="675" spans="1:13" ht="15.75" customHeight="1">
      <c r="A675" s="22"/>
      <c r="B675" s="22"/>
      <c r="C675" s="23"/>
      <c r="D675" s="24"/>
      <c r="E675" s="25"/>
      <c r="F675" s="23"/>
      <c r="G675" s="26"/>
      <c r="H675" s="27"/>
      <c r="J675" s="28"/>
      <c r="K675" s="23"/>
      <c r="M675" s="16" t="str">
        <f>CONCATENATE(Registro!$C675,Registro!$D675)</f>
        <v/>
      </c>
    </row>
    <row r="676" spans="1:13" ht="15.75" customHeight="1">
      <c r="A676" s="22"/>
      <c r="B676" s="22"/>
      <c r="C676" s="23"/>
      <c r="D676" s="24"/>
      <c r="E676" s="25"/>
      <c r="F676" s="23"/>
      <c r="G676" s="26"/>
      <c r="H676" s="27"/>
      <c r="J676" s="28"/>
      <c r="K676" s="23"/>
      <c r="M676" s="16" t="str">
        <f>CONCATENATE(Registro!$C676,Registro!$D676)</f>
        <v/>
      </c>
    </row>
    <row r="677" spans="1:13" ht="15.75" customHeight="1">
      <c r="A677" s="22"/>
      <c r="B677" s="22"/>
      <c r="C677" s="23"/>
      <c r="D677" s="24"/>
      <c r="E677" s="25"/>
      <c r="F677" s="23"/>
      <c r="G677" s="26"/>
      <c r="H677" s="27"/>
      <c r="J677" s="28"/>
      <c r="K677" s="23"/>
      <c r="M677" s="16" t="str">
        <f>CONCATENATE(Registro!$C677,Registro!$D677)</f>
        <v/>
      </c>
    </row>
    <row r="678" spans="1:13" ht="15.75" customHeight="1">
      <c r="A678" s="22"/>
      <c r="B678" s="22"/>
      <c r="C678" s="23"/>
      <c r="D678" s="24"/>
      <c r="E678" s="25"/>
      <c r="F678" s="23"/>
      <c r="G678" s="26"/>
      <c r="H678" s="27"/>
      <c r="J678" s="28"/>
      <c r="K678" s="23"/>
      <c r="M678" s="16" t="str">
        <f>CONCATENATE(Registro!$C678,Registro!$D678)</f>
        <v/>
      </c>
    </row>
    <row r="679" spans="1:13" ht="15.75" customHeight="1">
      <c r="A679" s="22"/>
      <c r="B679" s="22"/>
      <c r="C679" s="23"/>
      <c r="D679" s="24"/>
      <c r="E679" s="25"/>
      <c r="F679" s="23"/>
      <c r="G679" s="26"/>
      <c r="H679" s="27"/>
      <c r="J679" s="28"/>
      <c r="K679" s="23"/>
      <c r="M679" s="16" t="str">
        <f>CONCATENATE(Registro!$C679,Registro!$D679)</f>
        <v/>
      </c>
    </row>
    <row r="680" spans="1:13" ht="15.75" customHeight="1">
      <c r="A680" s="22"/>
      <c r="B680" s="22"/>
      <c r="C680" s="23"/>
      <c r="D680" s="24"/>
      <c r="E680" s="25"/>
      <c r="F680" s="23"/>
      <c r="G680" s="26"/>
      <c r="H680" s="27"/>
      <c r="J680" s="28"/>
      <c r="K680" s="23"/>
      <c r="M680" s="16" t="str">
        <f>CONCATENATE(Registro!$C680,Registro!$D680)</f>
        <v/>
      </c>
    </row>
    <row r="681" spans="1:13" ht="15.75" customHeight="1">
      <c r="A681" s="22"/>
      <c r="B681" s="22"/>
      <c r="C681" s="23"/>
      <c r="D681" s="24"/>
      <c r="E681" s="25"/>
      <c r="F681" s="23"/>
      <c r="G681" s="26"/>
      <c r="H681" s="27"/>
      <c r="J681" s="28"/>
      <c r="K681" s="23"/>
      <c r="M681" s="16" t="str">
        <f>CONCATENATE(Registro!$C681,Registro!$D681)</f>
        <v/>
      </c>
    </row>
    <row r="682" spans="1:13" ht="15.75" customHeight="1">
      <c r="A682" s="22"/>
      <c r="B682" s="22"/>
      <c r="C682" s="23"/>
      <c r="D682" s="24"/>
      <c r="E682" s="25"/>
      <c r="F682" s="23"/>
      <c r="G682" s="26"/>
      <c r="H682" s="27"/>
      <c r="J682" s="28"/>
      <c r="K682" s="23"/>
      <c r="M682" s="16" t="str">
        <f>CONCATENATE(Registro!$C682,Registro!$D682)</f>
        <v/>
      </c>
    </row>
    <row r="683" spans="1:13" ht="15.75" customHeight="1">
      <c r="A683" s="22"/>
      <c r="B683" s="22"/>
      <c r="C683" s="23"/>
      <c r="D683" s="24"/>
      <c r="E683" s="25"/>
      <c r="F683" s="23"/>
      <c r="G683" s="26"/>
      <c r="H683" s="27"/>
      <c r="J683" s="28"/>
      <c r="K683" s="23"/>
      <c r="M683" s="16" t="str">
        <f>CONCATENATE(Registro!$C683,Registro!$D683)</f>
        <v/>
      </c>
    </row>
    <row r="684" spans="1:13" ht="15.75" customHeight="1">
      <c r="A684" s="22"/>
      <c r="B684" s="22"/>
      <c r="C684" s="23"/>
      <c r="D684" s="24"/>
      <c r="E684" s="25"/>
      <c r="F684" s="23"/>
      <c r="G684" s="26"/>
      <c r="H684" s="27"/>
      <c r="J684" s="28"/>
      <c r="K684" s="23"/>
      <c r="M684" s="16" t="str">
        <f>CONCATENATE(Registro!$C684,Registro!$D684)</f>
        <v/>
      </c>
    </row>
    <row r="685" spans="1:13" ht="15.75" customHeight="1">
      <c r="A685" s="22"/>
      <c r="B685" s="22"/>
      <c r="C685" s="23"/>
      <c r="D685" s="24"/>
      <c r="E685" s="25"/>
      <c r="F685" s="23"/>
      <c r="G685" s="26"/>
      <c r="H685" s="27"/>
      <c r="J685" s="28"/>
      <c r="K685" s="23"/>
      <c r="M685" s="16" t="str">
        <f>CONCATENATE(Registro!$C685,Registro!$D685)</f>
        <v/>
      </c>
    </row>
    <row r="686" spans="1:13" ht="15.75" customHeight="1">
      <c r="A686" s="22"/>
      <c r="B686" s="22"/>
      <c r="C686" s="23"/>
      <c r="D686" s="24"/>
      <c r="E686" s="25"/>
      <c r="F686" s="23"/>
      <c r="G686" s="26"/>
      <c r="H686" s="27"/>
      <c r="J686" s="28"/>
      <c r="K686" s="23"/>
      <c r="M686" s="16" t="str">
        <f>CONCATENATE(Registro!$C686,Registro!$D686)</f>
        <v/>
      </c>
    </row>
    <row r="687" spans="1:13" ht="15.75" customHeight="1">
      <c r="A687" s="22"/>
      <c r="B687" s="22"/>
      <c r="C687" s="23"/>
      <c r="D687" s="24"/>
      <c r="E687" s="25"/>
      <c r="F687" s="23"/>
      <c r="G687" s="26"/>
      <c r="H687" s="27"/>
      <c r="J687" s="28"/>
      <c r="K687" s="23"/>
      <c r="M687" s="16" t="str">
        <f>CONCATENATE(Registro!$C687,Registro!$D687)</f>
        <v/>
      </c>
    </row>
    <row r="688" spans="1:13" ht="15.75" customHeight="1">
      <c r="A688" s="22"/>
      <c r="B688" s="22"/>
      <c r="C688" s="23"/>
      <c r="D688" s="24"/>
      <c r="E688" s="25"/>
      <c r="F688" s="23"/>
      <c r="G688" s="26"/>
      <c r="H688" s="27"/>
      <c r="J688" s="28"/>
      <c r="K688" s="23"/>
      <c r="M688" s="16" t="str">
        <f>CONCATENATE(Registro!$C688,Registro!$D688)</f>
        <v/>
      </c>
    </row>
    <row r="689" spans="1:13" ht="15.75" customHeight="1">
      <c r="A689" s="22"/>
      <c r="B689" s="22"/>
      <c r="C689" s="23"/>
      <c r="D689" s="24"/>
      <c r="E689" s="25"/>
      <c r="F689" s="23"/>
      <c r="G689" s="26"/>
      <c r="H689" s="27"/>
      <c r="J689" s="28"/>
      <c r="K689" s="23"/>
      <c r="M689" s="16" t="str">
        <f>CONCATENATE(Registro!$C689,Registro!$D689)</f>
        <v/>
      </c>
    </row>
    <row r="690" spans="1:13" ht="15.75" customHeight="1">
      <c r="A690" s="22"/>
      <c r="B690" s="22"/>
      <c r="C690" s="23"/>
      <c r="D690" s="24"/>
      <c r="E690" s="25"/>
      <c r="F690" s="23"/>
      <c r="G690" s="26"/>
      <c r="H690" s="27"/>
      <c r="J690" s="28"/>
      <c r="K690" s="23"/>
      <c r="M690" s="16" t="str">
        <f>CONCATENATE(Registro!$C690,Registro!$D690)</f>
        <v/>
      </c>
    </row>
    <row r="691" spans="1:13" ht="15.75" customHeight="1">
      <c r="A691" s="22"/>
      <c r="B691" s="22"/>
      <c r="C691" s="23"/>
      <c r="D691" s="24"/>
      <c r="E691" s="25"/>
      <c r="F691" s="23"/>
      <c r="G691" s="26"/>
      <c r="H691" s="27"/>
      <c r="J691" s="28"/>
      <c r="K691" s="23"/>
      <c r="M691" s="16" t="str">
        <f>CONCATENATE(Registro!$C691,Registro!$D691)</f>
        <v/>
      </c>
    </row>
    <row r="692" spans="1:13" ht="15.75" customHeight="1">
      <c r="A692" s="22"/>
      <c r="B692" s="22"/>
      <c r="C692" s="23"/>
      <c r="D692" s="24"/>
      <c r="E692" s="25"/>
      <c r="F692" s="23"/>
      <c r="G692" s="26"/>
      <c r="H692" s="27"/>
      <c r="J692" s="28"/>
      <c r="K692" s="23"/>
      <c r="M692" s="16" t="str">
        <f>CONCATENATE(Registro!$C692,Registro!$D692)</f>
        <v/>
      </c>
    </row>
    <row r="693" spans="1:13" ht="15.75" customHeight="1">
      <c r="A693" s="22"/>
      <c r="B693" s="22"/>
      <c r="C693" s="23"/>
      <c r="D693" s="24"/>
      <c r="E693" s="25"/>
      <c r="F693" s="23"/>
      <c r="G693" s="26"/>
      <c r="H693" s="27"/>
      <c r="J693" s="28"/>
      <c r="K693" s="23"/>
      <c r="M693" s="16" t="str">
        <f>CONCATENATE(Registro!$C693,Registro!$D693)</f>
        <v/>
      </c>
    </row>
    <row r="694" spans="1:13" ht="15.75" customHeight="1">
      <c r="A694" s="22"/>
      <c r="B694" s="22"/>
      <c r="C694" s="23"/>
      <c r="D694" s="24"/>
      <c r="E694" s="25"/>
      <c r="F694" s="23"/>
      <c r="G694" s="26"/>
      <c r="H694" s="27"/>
      <c r="J694" s="28"/>
      <c r="K694" s="23"/>
      <c r="M694" s="16" t="str">
        <f>CONCATENATE(Registro!$C694,Registro!$D694)</f>
        <v/>
      </c>
    </row>
    <row r="695" spans="1:13" ht="15.75" customHeight="1">
      <c r="A695" s="22"/>
      <c r="B695" s="22"/>
      <c r="C695" s="23"/>
      <c r="D695" s="24"/>
      <c r="E695" s="25"/>
      <c r="F695" s="23"/>
      <c r="G695" s="26"/>
      <c r="H695" s="27"/>
      <c r="J695" s="28"/>
      <c r="K695" s="23"/>
      <c r="M695" s="16" t="str">
        <f>CONCATENATE(Registro!$C695,Registro!$D695)</f>
        <v/>
      </c>
    </row>
    <row r="696" spans="1:13" ht="15.75" customHeight="1">
      <c r="A696" s="22"/>
      <c r="B696" s="22"/>
      <c r="C696" s="23"/>
      <c r="D696" s="24"/>
      <c r="E696" s="25"/>
      <c r="F696" s="23"/>
      <c r="G696" s="26"/>
      <c r="H696" s="27"/>
      <c r="J696" s="28"/>
      <c r="K696" s="23"/>
      <c r="M696" s="16" t="str">
        <f>CONCATENATE(Registro!$C696,Registro!$D696)</f>
        <v/>
      </c>
    </row>
    <row r="697" spans="1:13" ht="15.75" customHeight="1">
      <c r="A697" s="22"/>
      <c r="B697" s="22"/>
      <c r="C697" s="23"/>
      <c r="D697" s="24"/>
      <c r="E697" s="25"/>
      <c r="F697" s="23"/>
      <c r="G697" s="26"/>
      <c r="H697" s="27"/>
      <c r="J697" s="28"/>
      <c r="K697" s="23"/>
      <c r="M697" s="16" t="str">
        <f>CONCATENATE(Registro!$C697,Registro!$D697)</f>
        <v/>
      </c>
    </row>
    <row r="698" spans="1:13" ht="15.75" customHeight="1">
      <c r="A698" s="22"/>
      <c r="B698" s="22"/>
      <c r="C698" s="23"/>
      <c r="D698" s="24"/>
      <c r="E698" s="25"/>
      <c r="F698" s="23"/>
      <c r="G698" s="26"/>
      <c r="H698" s="27"/>
      <c r="J698" s="28"/>
      <c r="K698" s="23"/>
      <c r="M698" s="16" t="str">
        <f>CONCATENATE(Registro!$C698,Registro!$D698)</f>
        <v/>
      </c>
    </row>
    <row r="699" spans="1:13" ht="15.75" customHeight="1">
      <c r="A699" s="22"/>
      <c r="B699" s="22"/>
      <c r="C699" s="23"/>
      <c r="D699" s="24"/>
      <c r="E699" s="25"/>
      <c r="F699" s="23"/>
      <c r="G699" s="26"/>
      <c r="H699" s="27"/>
      <c r="J699" s="28"/>
      <c r="K699" s="23"/>
      <c r="M699" s="16" t="str">
        <f>CONCATENATE(Registro!$C699,Registro!$D699)</f>
        <v/>
      </c>
    </row>
    <row r="700" spans="1:13" ht="15.75" customHeight="1">
      <c r="A700" s="22"/>
      <c r="B700" s="22"/>
      <c r="C700" s="23"/>
      <c r="D700" s="24"/>
      <c r="E700" s="25"/>
      <c r="F700" s="23"/>
      <c r="G700" s="26"/>
      <c r="H700" s="27"/>
      <c r="J700" s="28"/>
      <c r="K700" s="23"/>
      <c r="M700" s="16" t="str">
        <f>CONCATENATE(Registro!$C700,Registro!$D700)</f>
        <v/>
      </c>
    </row>
    <row r="701" spans="1:13" ht="15.75" customHeight="1">
      <c r="A701" s="22"/>
      <c r="B701" s="22"/>
      <c r="C701" s="23"/>
      <c r="D701" s="24"/>
      <c r="E701" s="25"/>
      <c r="F701" s="23"/>
      <c r="G701" s="26"/>
      <c r="H701" s="27"/>
      <c r="J701" s="28"/>
      <c r="K701" s="23"/>
      <c r="M701" s="16" t="str">
        <f>CONCATENATE(Registro!$C701,Registro!$D701)</f>
        <v/>
      </c>
    </row>
    <row r="702" spans="1:13" ht="15.75" customHeight="1">
      <c r="A702" s="22"/>
      <c r="B702" s="22"/>
      <c r="C702" s="23"/>
      <c r="D702" s="24"/>
      <c r="E702" s="25"/>
      <c r="F702" s="23"/>
      <c r="G702" s="26"/>
      <c r="H702" s="27"/>
      <c r="J702" s="28"/>
      <c r="K702" s="23"/>
      <c r="M702" s="16" t="str">
        <f>CONCATENATE(Registro!$C702,Registro!$D702)</f>
        <v/>
      </c>
    </row>
    <row r="703" spans="1:13" ht="15.75" customHeight="1">
      <c r="A703" s="22"/>
      <c r="B703" s="22"/>
      <c r="C703" s="23"/>
      <c r="D703" s="24"/>
      <c r="E703" s="25"/>
      <c r="F703" s="23"/>
      <c r="G703" s="26"/>
      <c r="H703" s="27"/>
      <c r="J703" s="28"/>
      <c r="K703" s="23"/>
      <c r="M703" s="16" t="str">
        <f>CONCATENATE(Registro!$C703,Registro!$D703)</f>
        <v/>
      </c>
    </row>
    <row r="704" spans="1:13" ht="15.75" customHeight="1">
      <c r="A704" s="22"/>
      <c r="B704" s="22"/>
      <c r="C704" s="23"/>
      <c r="D704" s="24"/>
      <c r="E704" s="25"/>
      <c r="F704" s="23"/>
      <c r="G704" s="26"/>
      <c r="H704" s="27"/>
      <c r="J704" s="28"/>
      <c r="K704" s="23"/>
      <c r="M704" s="16" t="str">
        <f>CONCATENATE(Registro!$C704,Registro!$D704)</f>
        <v/>
      </c>
    </row>
    <row r="705" spans="1:13" ht="15.75" customHeight="1">
      <c r="A705" s="22"/>
      <c r="B705" s="22"/>
      <c r="C705" s="23"/>
      <c r="D705" s="24"/>
      <c r="E705" s="25"/>
      <c r="F705" s="23"/>
      <c r="G705" s="26"/>
      <c r="H705" s="27"/>
      <c r="J705" s="28"/>
      <c r="K705" s="23"/>
      <c r="M705" s="16" t="str">
        <f>CONCATENATE(Registro!$C705,Registro!$D705)</f>
        <v/>
      </c>
    </row>
    <row r="706" spans="1:13" ht="15.75" customHeight="1">
      <c r="A706" s="22"/>
      <c r="B706" s="22"/>
      <c r="C706" s="23"/>
      <c r="D706" s="24"/>
      <c r="E706" s="25"/>
      <c r="F706" s="23"/>
      <c r="G706" s="26"/>
      <c r="H706" s="27"/>
      <c r="J706" s="28"/>
      <c r="K706" s="23"/>
      <c r="M706" s="16" t="str">
        <f>CONCATENATE(Registro!$C706,Registro!$D706)</f>
        <v/>
      </c>
    </row>
    <row r="707" spans="1:13" ht="15.75" customHeight="1">
      <c r="A707" s="22"/>
      <c r="B707" s="22"/>
      <c r="C707" s="23"/>
      <c r="D707" s="24"/>
      <c r="E707" s="25"/>
      <c r="F707" s="23"/>
      <c r="G707" s="26"/>
      <c r="H707" s="27"/>
      <c r="J707" s="28"/>
      <c r="K707" s="23"/>
      <c r="M707" s="16" t="str">
        <f>CONCATENATE(Registro!$C707,Registro!$D707)</f>
        <v/>
      </c>
    </row>
    <row r="708" spans="1:13" ht="15.75" customHeight="1">
      <c r="A708" s="22"/>
      <c r="B708" s="22"/>
      <c r="C708" s="23"/>
      <c r="D708" s="24"/>
      <c r="E708" s="25"/>
      <c r="F708" s="23"/>
      <c r="G708" s="26"/>
      <c r="H708" s="27"/>
      <c r="J708" s="28"/>
      <c r="K708" s="23"/>
      <c r="M708" s="16" t="str">
        <f>CONCATENATE(Registro!$C708,Registro!$D708)</f>
        <v/>
      </c>
    </row>
    <row r="709" spans="1:13" ht="15.75" customHeight="1">
      <c r="A709" s="22"/>
      <c r="B709" s="22"/>
      <c r="C709" s="23"/>
      <c r="D709" s="24"/>
      <c r="E709" s="25"/>
      <c r="F709" s="23"/>
      <c r="G709" s="26"/>
      <c r="H709" s="27"/>
      <c r="J709" s="28"/>
      <c r="K709" s="23"/>
      <c r="M709" s="16" t="str">
        <f>CONCATENATE(Registro!$C709,Registro!$D709)</f>
        <v/>
      </c>
    </row>
    <row r="710" spans="1:13" ht="15.75" customHeight="1">
      <c r="A710" s="22"/>
      <c r="B710" s="22"/>
      <c r="C710" s="23"/>
      <c r="D710" s="24"/>
      <c r="E710" s="25"/>
      <c r="F710" s="23"/>
      <c r="G710" s="26"/>
      <c r="H710" s="27"/>
      <c r="J710" s="28"/>
      <c r="K710" s="23"/>
      <c r="M710" s="16" t="str">
        <f>CONCATENATE(Registro!$C710,Registro!$D710)</f>
        <v/>
      </c>
    </row>
    <row r="711" spans="1:13" ht="15.75" customHeight="1">
      <c r="A711" s="22"/>
      <c r="B711" s="22"/>
      <c r="C711" s="23"/>
      <c r="D711" s="24"/>
      <c r="E711" s="25"/>
      <c r="F711" s="23"/>
      <c r="G711" s="26"/>
      <c r="H711" s="27"/>
      <c r="J711" s="28"/>
      <c r="K711" s="23"/>
      <c r="M711" s="16" t="str">
        <f>CONCATENATE(Registro!$C711,Registro!$D711)</f>
        <v/>
      </c>
    </row>
    <row r="712" spans="1:13" ht="15.75" customHeight="1">
      <c r="A712" s="22"/>
      <c r="B712" s="22"/>
      <c r="C712" s="23"/>
      <c r="D712" s="24"/>
      <c r="E712" s="25"/>
      <c r="F712" s="23"/>
      <c r="G712" s="26"/>
      <c r="H712" s="27"/>
      <c r="J712" s="28"/>
      <c r="K712" s="23"/>
      <c r="M712" s="16" t="str">
        <f>CONCATENATE(Registro!$C712,Registro!$D712)</f>
        <v/>
      </c>
    </row>
    <row r="713" spans="1:13" ht="15.75" customHeight="1">
      <c r="A713" s="22"/>
      <c r="B713" s="22"/>
      <c r="C713" s="23"/>
      <c r="D713" s="24"/>
      <c r="E713" s="25"/>
      <c r="F713" s="23"/>
      <c r="G713" s="26"/>
      <c r="H713" s="27"/>
      <c r="J713" s="28"/>
      <c r="K713" s="23"/>
      <c r="M713" s="16" t="str">
        <f>CONCATENATE(Registro!$C713,Registro!$D713)</f>
        <v/>
      </c>
    </row>
    <row r="714" spans="1:13" ht="15.75" customHeight="1">
      <c r="A714" s="22"/>
      <c r="B714" s="22"/>
      <c r="C714" s="23"/>
      <c r="D714" s="24"/>
      <c r="E714" s="25"/>
      <c r="F714" s="23"/>
      <c r="G714" s="26"/>
      <c r="H714" s="27"/>
      <c r="J714" s="28"/>
      <c r="K714" s="23"/>
    </row>
    <row r="715" spans="1:13" ht="15.75" customHeight="1">
      <c r="A715" s="22"/>
      <c r="B715" s="22"/>
      <c r="C715" s="23"/>
      <c r="D715" s="24"/>
      <c r="E715" s="25"/>
      <c r="F715" s="23"/>
      <c r="G715" s="26"/>
      <c r="H715" s="27"/>
      <c r="J715" s="28"/>
      <c r="K715" s="23"/>
    </row>
    <row r="716" spans="1:13" ht="15.75" customHeight="1">
      <c r="A716" s="22"/>
      <c r="B716" s="22"/>
      <c r="C716" s="23"/>
      <c r="D716" s="24"/>
      <c r="E716" s="25"/>
      <c r="F716" s="23"/>
      <c r="G716" s="26"/>
      <c r="H716" s="27"/>
      <c r="J716" s="28"/>
      <c r="K716" s="23"/>
    </row>
    <row r="717" spans="1:13" ht="15.75" customHeight="1">
      <c r="A717" s="22"/>
      <c r="B717" s="22"/>
      <c r="C717" s="23"/>
      <c r="D717" s="24"/>
      <c r="E717" s="25"/>
      <c r="F717" s="23"/>
      <c r="G717" s="26"/>
      <c r="H717" s="27"/>
      <c r="J717" s="28"/>
      <c r="K717" s="23"/>
    </row>
    <row r="718" spans="1:13" ht="15.75" customHeight="1">
      <c r="A718" s="22"/>
      <c r="B718" s="22"/>
      <c r="C718" s="23"/>
      <c r="D718" s="24"/>
      <c r="E718" s="25"/>
      <c r="F718" s="23"/>
      <c r="G718" s="26"/>
      <c r="H718" s="27"/>
      <c r="J718" s="28"/>
      <c r="K718" s="23"/>
    </row>
    <row r="719" spans="1:13" ht="15.75" customHeight="1">
      <c r="A719" s="22"/>
      <c r="B719" s="22"/>
      <c r="C719" s="23"/>
      <c r="D719" s="24"/>
      <c r="E719" s="25"/>
      <c r="F719" s="23"/>
      <c r="G719" s="26"/>
      <c r="H719" s="27"/>
      <c r="J719" s="28"/>
      <c r="K719" s="23"/>
    </row>
    <row r="720" spans="1:13" ht="15.75" customHeight="1">
      <c r="A720" s="22"/>
      <c r="B720" s="22"/>
      <c r="C720" s="23"/>
      <c r="D720" s="24"/>
      <c r="E720" s="25"/>
      <c r="F720" s="23"/>
      <c r="G720" s="26"/>
      <c r="H720" s="27"/>
      <c r="J720" s="28"/>
      <c r="K720" s="23"/>
    </row>
    <row r="721" spans="1:11" ht="15.75" customHeight="1">
      <c r="A721" s="22"/>
      <c r="B721" s="22"/>
      <c r="C721" s="23"/>
      <c r="D721" s="24"/>
      <c r="E721" s="25"/>
      <c r="F721" s="23"/>
      <c r="G721" s="26"/>
      <c r="H721" s="27"/>
      <c r="J721" s="28"/>
      <c r="K721" s="23"/>
    </row>
    <row r="722" spans="1:11" ht="15.75" customHeight="1">
      <c r="A722" s="22"/>
      <c r="B722" s="22"/>
      <c r="C722" s="23"/>
      <c r="D722" s="24"/>
      <c r="E722" s="25"/>
      <c r="F722" s="23"/>
      <c r="G722" s="26"/>
      <c r="H722" s="27"/>
      <c r="J722" s="28"/>
      <c r="K722" s="23"/>
    </row>
    <row r="723" spans="1:11" ht="15.75" customHeight="1">
      <c r="A723" s="22"/>
      <c r="B723" s="22"/>
      <c r="C723" s="23"/>
      <c r="D723" s="24"/>
      <c r="E723" s="25"/>
      <c r="F723" s="23"/>
      <c r="G723" s="26"/>
      <c r="H723" s="27"/>
      <c r="J723" s="28"/>
      <c r="K723" s="23"/>
    </row>
    <row r="724" spans="1:11" ht="15.75" customHeight="1">
      <c r="A724" s="22"/>
      <c r="B724" s="22"/>
      <c r="C724" s="23"/>
      <c r="D724" s="24"/>
      <c r="E724" s="25"/>
      <c r="F724" s="23"/>
      <c r="G724" s="26"/>
      <c r="H724" s="27"/>
      <c r="J724" s="28"/>
      <c r="K724" s="23"/>
    </row>
    <row r="725" spans="1:11" ht="15.75" customHeight="1">
      <c r="A725" s="22"/>
      <c r="B725" s="22"/>
      <c r="C725" s="23"/>
      <c r="D725" s="24"/>
      <c r="E725" s="25"/>
      <c r="F725" s="23"/>
      <c r="G725" s="26"/>
      <c r="H725" s="27"/>
      <c r="J725" s="28"/>
      <c r="K725" s="23"/>
    </row>
    <row r="726" spans="1:11" ht="15.75" customHeight="1">
      <c r="A726" s="22"/>
      <c r="B726" s="22"/>
      <c r="C726" s="23"/>
      <c r="D726" s="24"/>
      <c r="E726" s="25"/>
      <c r="F726" s="23"/>
      <c r="G726" s="26"/>
      <c r="H726" s="27"/>
      <c r="J726" s="28"/>
      <c r="K726" s="23"/>
    </row>
    <row r="727" spans="1:11" ht="15.75" customHeight="1">
      <c r="A727" s="22"/>
      <c r="B727" s="22"/>
      <c r="C727" s="23"/>
      <c r="D727" s="24"/>
      <c r="E727" s="25"/>
      <c r="F727" s="23"/>
      <c r="G727" s="26"/>
      <c r="H727" s="27"/>
      <c r="J727" s="28"/>
      <c r="K727" s="23"/>
    </row>
    <row r="728" spans="1:11" ht="15.75" customHeight="1">
      <c r="A728" s="22"/>
      <c r="B728" s="22"/>
      <c r="C728" s="23"/>
      <c r="D728" s="24"/>
      <c r="E728" s="25"/>
      <c r="F728" s="23"/>
      <c r="G728" s="26"/>
      <c r="H728" s="27"/>
      <c r="J728" s="28"/>
      <c r="K728" s="23"/>
    </row>
    <row r="729" spans="1:11" ht="15.75" customHeight="1">
      <c r="A729" s="22"/>
      <c r="B729" s="22"/>
      <c r="C729" s="23"/>
      <c r="D729" s="24"/>
      <c r="E729" s="25"/>
      <c r="F729" s="23"/>
      <c r="G729" s="26"/>
      <c r="H729" s="27"/>
      <c r="J729" s="28"/>
      <c r="K729" s="23"/>
    </row>
    <row r="730" spans="1:11" ht="15.75" customHeight="1">
      <c r="A730" s="22"/>
      <c r="B730" s="22"/>
      <c r="C730" s="23"/>
      <c r="D730" s="24"/>
      <c r="E730" s="25"/>
      <c r="F730" s="23"/>
      <c r="G730" s="26"/>
      <c r="H730" s="27"/>
      <c r="J730" s="28"/>
      <c r="K730" s="23"/>
    </row>
    <row r="731" spans="1:11" ht="15.75" customHeight="1">
      <c r="A731" s="22"/>
      <c r="B731" s="22"/>
      <c r="C731" s="23"/>
      <c r="D731" s="24"/>
      <c r="E731" s="25"/>
      <c r="F731" s="23"/>
      <c r="G731" s="26"/>
      <c r="H731" s="27"/>
      <c r="J731" s="28"/>
      <c r="K731" s="23"/>
    </row>
    <row r="732" spans="1:11" ht="15.75" customHeight="1">
      <c r="A732" s="22"/>
      <c r="B732" s="22"/>
      <c r="C732" s="23"/>
      <c r="D732" s="24"/>
      <c r="E732" s="25"/>
      <c r="F732" s="23"/>
      <c r="G732" s="26"/>
      <c r="H732" s="27"/>
      <c r="J732" s="28"/>
      <c r="K732" s="23"/>
    </row>
    <row r="733" spans="1:11" ht="15.75" customHeight="1">
      <c r="A733" s="22"/>
      <c r="B733" s="22"/>
      <c r="C733" s="23"/>
      <c r="D733" s="24"/>
      <c r="E733" s="25"/>
      <c r="F733" s="23"/>
      <c r="G733" s="26"/>
      <c r="H733" s="27"/>
      <c r="J733" s="28"/>
      <c r="K733" s="23"/>
    </row>
    <row r="734" spans="1:11" ht="15.75" customHeight="1">
      <c r="A734" s="22"/>
      <c r="B734" s="22"/>
      <c r="C734" s="23"/>
      <c r="D734" s="24"/>
      <c r="E734" s="25"/>
      <c r="F734" s="23"/>
      <c r="G734" s="26"/>
      <c r="H734" s="27"/>
      <c r="J734" s="28"/>
      <c r="K734" s="23"/>
    </row>
    <row r="735" spans="1:11" ht="15.75" customHeight="1">
      <c r="A735" s="22"/>
      <c r="B735" s="22"/>
      <c r="C735" s="23"/>
      <c r="D735" s="24"/>
      <c r="E735" s="25"/>
      <c r="F735" s="23"/>
      <c r="G735" s="26"/>
      <c r="H735" s="27"/>
      <c r="J735" s="28"/>
      <c r="K735" s="23"/>
    </row>
    <row r="736" spans="1:11" ht="15.75" customHeight="1">
      <c r="A736" s="22"/>
      <c r="B736" s="22"/>
      <c r="C736" s="23"/>
      <c r="D736" s="24"/>
      <c r="E736" s="25"/>
      <c r="F736" s="23"/>
      <c r="G736" s="26"/>
      <c r="H736" s="27"/>
      <c r="J736" s="28"/>
      <c r="K736" s="23"/>
    </row>
    <row r="737" spans="1:11" ht="15.75" customHeight="1">
      <c r="A737" s="22"/>
      <c r="B737" s="22"/>
      <c r="C737" s="23"/>
      <c r="D737" s="24"/>
      <c r="E737" s="25"/>
      <c r="F737" s="23"/>
      <c r="G737" s="26"/>
      <c r="H737" s="27"/>
      <c r="J737" s="28"/>
      <c r="K737" s="23"/>
    </row>
    <row r="738" spans="1:11" ht="15.75" customHeight="1">
      <c r="A738" s="22"/>
      <c r="B738" s="22"/>
      <c r="C738" s="23"/>
      <c r="D738" s="24"/>
      <c r="E738" s="25"/>
      <c r="F738" s="23"/>
      <c r="G738" s="26"/>
      <c r="H738" s="27"/>
      <c r="J738" s="28"/>
      <c r="K738" s="23"/>
    </row>
    <row r="739" spans="1:11" ht="15.75" customHeight="1">
      <c r="A739" s="22"/>
      <c r="B739" s="22"/>
      <c r="C739" s="23"/>
      <c r="D739" s="24"/>
      <c r="E739" s="25"/>
      <c r="F739" s="23"/>
      <c r="G739" s="26"/>
      <c r="H739" s="27"/>
      <c r="J739" s="28"/>
      <c r="K739" s="23"/>
    </row>
    <row r="740" spans="1:11" ht="15.75" customHeight="1">
      <c r="A740" s="22"/>
      <c r="B740" s="22"/>
      <c r="C740" s="23"/>
      <c r="D740" s="24"/>
      <c r="E740" s="25"/>
      <c r="F740" s="23"/>
      <c r="G740" s="26"/>
      <c r="H740" s="27"/>
      <c r="J740" s="28"/>
      <c r="K740" s="23"/>
    </row>
    <row r="741" spans="1:11" ht="15.75" customHeight="1">
      <c r="A741" s="22"/>
      <c r="B741" s="22"/>
      <c r="C741" s="23"/>
      <c r="D741" s="24"/>
      <c r="E741" s="25"/>
      <c r="F741" s="23"/>
      <c r="G741" s="26"/>
      <c r="H741" s="27"/>
      <c r="J741" s="28"/>
      <c r="K741" s="23"/>
    </row>
    <row r="742" spans="1:11" ht="15.75" customHeight="1">
      <c r="A742" s="22"/>
      <c r="B742" s="22"/>
      <c r="C742" s="23"/>
      <c r="D742" s="24"/>
      <c r="E742" s="25"/>
      <c r="F742" s="23"/>
      <c r="G742" s="26"/>
      <c r="H742" s="27"/>
      <c r="J742" s="28"/>
      <c r="K742" s="23"/>
    </row>
    <row r="743" spans="1:11" ht="15.75" customHeight="1">
      <c r="A743" s="22"/>
      <c r="B743" s="22"/>
      <c r="C743" s="23"/>
      <c r="D743" s="24"/>
      <c r="E743" s="25"/>
      <c r="F743" s="23"/>
      <c r="G743" s="26"/>
      <c r="H743" s="27"/>
      <c r="J743" s="28"/>
      <c r="K743" s="23"/>
    </row>
    <row r="744" spans="1:11" ht="15.75" customHeight="1">
      <c r="A744" s="22"/>
      <c r="B744" s="22"/>
      <c r="C744" s="23"/>
      <c r="D744" s="24"/>
      <c r="E744" s="25"/>
      <c r="F744" s="23"/>
      <c r="G744" s="26"/>
      <c r="H744" s="27"/>
      <c r="J744" s="28"/>
      <c r="K744" s="23"/>
    </row>
    <row r="745" spans="1:11" ht="15.75" customHeight="1">
      <c r="A745" s="22"/>
      <c r="B745" s="22"/>
      <c r="C745" s="23"/>
      <c r="D745" s="24"/>
      <c r="E745" s="25"/>
      <c r="F745" s="23"/>
      <c r="G745" s="26"/>
      <c r="H745" s="27"/>
      <c r="J745" s="28"/>
      <c r="K745" s="23"/>
    </row>
    <row r="746" spans="1:11" ht="15.75" customHeight="1">
      <c r="A746" s="22"/>
      <c r="B746" s="22"/>
      <c r="C746" s="23"/>
      <c r="D746" s="24"/>
      <c r="E746" s="25"/>
      <c r="F746" s="23"/>
      <c r="G746" s="26"/>
      <c r="H746" s="27"/>
      <c r="J746" s="28"/>
      <c r="K746" s="23"/>
    </row>
    <row r="747" spans="1:11" ht="15.75" customHeight="1">
      <c r="A747" s="22"/>
      <c r="B747" s="22"/>
      <c r="C747" s="23"/>
      <c r="D747" s="24"/>
      <c r="E747" s="25"/>
      <c r="F747" s="23"/>
      <c r="G747" s="26"/>
      <c r="H747" s="27"/>
      <c r="J747" s="28"/>
      <c r="K747" s="23"/>
    </row>
    <row r="748" spans="1:11" ht="15.75" customHeight="1">
      <c r="A748" s="22"/>
      <c r="B748" s="22"/>
      <c r="C748" s="23"/>
      <c r="D748" s="24"/>
      <c r="E748" s="25"/>
      <c r="F748" s="23"/>
      <c r="G748" s="26"/>
      <c r="H748" s="27"/>
      <c r="J748" s="28"/>
      <c r="K748" s="23"/>
    </row>
    <row r="749" spans="1:11" ht="15.75" customHeight="1">
      <c r="A749" s="22"/>
      <c r="B749" s="22"/>
      <c r="C749" s="23"/>
      <c r="D749" s="24"/>
      <c r="E749" s="25"/>
      <c r="F749" s="23"/>
      <c r="G749" s="26"/>
      <c r="H749" s="27"/>
      <c r="J749" s="28"/>
      <c r="K749" s="23"/>
    </row>
    <row r="750" spans="1:11" ht="15.75" customHeight="1">
      <c r="A750" s="22"/>
      <c r="B750" s="22"/>
      <c r="C750" s="23"/>
      <c r="D750" s="24"/>
      <c r="E750" s="25"/>
      <c r="F750" s="23"/>
      <c r="G750" s="26"/>
      <c r="H750" s="27"/>
      <c r="J750" s="28"/>
      <c r="K750" s="23"/>
    </row>
    <row r="751" spans="1:11" ht="15.75" customHeight="1">
      <c r="A751" s="22"/>
      <c r="B751" s="22"/>
      <c r="C751" s="23"/>
      <c r="D751" s="24"/>
      <c r="E751" s="25"/>
      <c r="F751" s="23"/>
      <c r="G751" s="26"/>
      <c r="H751" s="27"/>
      <c r="J751" s="28"/>
      <c r="K751" s="23"/>
    </row>
    <row r="752" spans="1:11" ht="15.75" customHeight="1">
      <c r="A752" s="22"/>
      <c r="B752" s="22"/>
      <c r="C752" s="23"/>
      <c r="D752" s="24"/>
      <c r="E752" s="25"/>
      <c r="F752" s="23"/>
      <c r="G752" s="26"/>
      <c r="H752" s="27"/>
      <c r="J752" s="28"/>
      <c r="K752" s="23"/>
    </row>
    <row r="753" spans="1:11" ht="15.75" customHeight="1">
      <c r="A753" s="22"/>
      <c r="B753" s="22"/>
      <c r="C753" s="23"/>
      <c r="D753" s="24"/>
      <c r="E753" s="25"/>
      <c r="F753" s="23"/>
      <c r="G753" s="26"/>
      <c r="H753" s="27"/>
      <c r="J753" s="28"/>
      <c r="K753" s="23"/>
    </row>
    <row r="754" spans="1:11" ht="15.75" customHeight="1">
      <c r="A754" s="22"/>
      <c r="B754" s="22"/>
      <c r="C754" s="23"/>
      <c r="D754" s="24"/>
      <c r="E754" s="25"/>
      <c r="F754" s="23"/>
      <c r="G754" s="26"/>
      <c r="H754" s="27"/>
      <c r="J754" s="28"/>
      <c r="K754" s="23"/>
    </row>
    <row r="755" spans="1:11" ht="15.75" customHeight="1">
      <c r="A755" s="22"/>
      <c r="B755" s="22"/>
      <c r="C755" s="23"/>
      <c r="D755" s="24"/>
      <c r="E755" s="25"/>
      <c r="F755" s="23"/>
      <c r="G755" s="26"/>
      <c r="H755" s="27"/>
      <c r="J755" s="28"/>
      <c r="K755" s="23"/>
    </row>
    <row r="756" spans="1:11" ht="15.75" customHeight="1">
      <c r="A756" s="22"/>
      <c r="B756" s="22"/>
      <c r="C756" s="23"/>
      <c r="D756" s="24"/>
      <c r="E756" s="25"/>
      <c r="F756" s="23"/>
      <c r="G756" s="26"/>
      <c r="H756" s="27"/>
      <c r="J756" s="28"/>
      <c r="K756" s="23"/>
    </row>
    <row r="757" spans="1:11" ht="15.75" customHeight="1">
      <c r="A757" s="22"/>
      <c r="B757" s="22"/>
      <c r="C757" s="23"/>
      <c r="D757" s="24"/>
      <c r="E757" s="25"/>
      <c r="F757" s="23"/>
      <c r="G757" s="26"/>
      <c r="H757" s="27"/>
      <c r="J757" s="28"/>
      <c r="K757" s="23"/>
    </row>
    <row r="758" spans="1:11" ht="15.75" customHeight="1">
      <c r="A758" s="22"/>
      <c r="B758" s="22"/>
      <c r="C758" s="23"/>
      <c r="D758" s="24"/>
      <c r="E758" s="25"/>
      <c r="F758" s="23"/>
      <c r="G758" s="26"/>
      <c r="H758" s="27"/>
      <c r="J758" s="28"/>
      <c r="K758" s="23"/>
    </row>
    <row r="759" spans="1:11" ht="15.75" customHeight="1">
      <c r="A759" s="22"/>
      <c r="B759" s="22"/>
      <c r="C759" s="23"/>
      <c r="D759" s="24"/>
      <c r="E759" s="25"/>
      <c r="F759" s="23"/>
      <c r="G759" s="26"/>
      <c r="H759" s="27"/>
      <c r="J759" s="28"/>
      <c r="K759" s="23"/>
    </row>
    <row r="760" spans="1:11" ht="15.75" customHeight="1">
      <c r="A760" s="22"/>
      <c r="B760" s="22"/>
      <c r="C760" s="23"/>
      <c r="D760" s="24"/>
      <c r="E760" s="25"/>
      <c r="F760" s="23"/>
      <c r="G760" s="26"/>
      <c r="H760" s="27"/>
      <c r="J760" s="28"/>
      <c r="K760" s="23"/>
    </row>
    <row r="761" spans="1:11" ht="15.75" customHeight="1">
      <c r="A761" s="22"/>
      <c r="B761" s="22"/>
      <c r="C761" s="23"/>
      <c r="D761" s="24"/>
      <c r="E761" s="25"/>
      <c r="F761" s="23"/>
      <c r="G761" s="26"/>
      <c r="H761" s="27"/>
      <c r="J761" s="28"/>
      <c r="K761" s="23"/>
    </row>
    <row r="762" spans="1:11" ht="15.75" customHeight="1">
      <c r="A762" s="22"/>
      <c r="B762" s="22"/>
      <c r="C762" s="23"/>
      <c r="D762" s="24"/>
      <c r="E762" s="25"/>
      <c r="F762" s="23"/>
      <c r="G762" s="26"/>
      <c r="H762" s="27"/>
      <c r="J762" s="28"/>
      <c r="K762" s="23"/>
    </row>
    <row r="763" spans="1:11" ht="15.75" customHeight="1">
      <c r="A763" s="22"/>
      <c r="B763" s="22"/>
      <c r="C763" s="23"/>
      <c r="D763" s="24"/>
      <c r="E763" s="25"/>
      <c r="F763" s="23"/>
      <c r="G763" s="26"/>
      <c r="H763" s="27"/>
      <c r="J763" s="28"/>
      <c r="K763" s="23"/>
    </row>
    <row r="764" spans="1:11" ht="15.75" customHeight="1">
      <c r="A764" s="22"/>
      <c r="B764" s="22"/>
      <c r="C764" s="23"/>
      <c r="D764" s="24"/>
      <c r="E764" s="25"/>
      <c r="F764" s="23"/>
      <c r="G764" s="26"/>
      <c r="H764" s="27"/>
      <c r="J764" s="28"/>
      <c r="K764" s="23"/>
    </row>
    <row r="765" spans="1:11" ht="15.75" customHeight="1">
      <c r="A765" s="22"/>
      <c r="B765" s="22"/>
      <c r="C765" s="23"/>
      <c r="D765" s="24"/>
      <c r="E765" s="25"/>
      <c r="F765" s="23"/>
      <c r="G765" s="26"/>
      <c r="H765" s="27"/>
      <c r="J765" s="28"/>
      <c r="K765" s="23"/>
    </row>
    <row r="766" spans="1:11" ht="15.75" customHeight="1">
      <c r="A766" s="22"/>
      <c r="B766" s="22"/>
      <c r="C766" s="23"/>
      <c r="D766" s="24"/>
      <c r="E766" s="25"/>
      <c r="F766" s="23"/>
      <c r="G766" s="26"/>
      <c r="H766" s="27"/>
      <c r="J766" s="28"/>
      <c r="K766" s="23"/>
    </row>
    <row r="767" spans="1:11" ht="15.75" customHeight="1">
      <c r="A767" s="22"/>
      <c r="B767" s="22"/>
      <c r="C767" s="23"/>
      <c r="D767" s="24"/>
      <c r="E767" s="25"/>
      <c r="F767" s="23"/>
      <c r="G767" s="26"/>
      <c r="H767" s="27"/>
      <c r="J767" s="28"/>
      <c r="K767" s="23"/>
    </row>
    <row r="768" spans="1:11" ht="15.75" customHeight="1">
      <c r="A768" s="22"/>
      <c r="B768" s="22"/>
      <c r="C768" s="23"/>
      <c r="D768" s="24"/>
      <c r="E768" s="25"/>
      <c r="F768" s="23"/>
      <c r="G768" s="26"/>
      <c r="H768" s="27"/>
      <c r="J768" s="28"/>
      <c r="K768" s="23"/>
    </row>
    <row r="769" spans="1:11" ht="15.75" customHeight="1">
      <c r="A769" s="22"/>
      <c r="B769" s="22"/>
      <c r="C769" s="23"/>
      <c r="D769" s="24"/>
      <c r="E769" s="25"/>
      <c r="F769" s="23"/>
      <c r="G769" s="26"/>
      <c r="H769" s="27"/>
      <c r="J769" s="28"/>
      <c r="K769" s="23"/>
    </row>
    <row r="770" spans="1:11" ht="15.75" customHeight="1">
      <c r="A770" s="22"/>
      <c r="B770" s="22"/>
      <c r="C770" s="23"/>
      <c r="D770" s="24"/>
      <c r="E770" s="25"/>
      <c r="F770" s="23"/>
      <c r="G770" s="26"/>
      <c r="H770" s="27"/>
      <c r="J770" s="28"/>
      <c r="K770" s="23"/>
    </row>
    <row r="771" spans="1:11" ht="15.75" customHeight="1">
      <c r="A771" s="22"/>
      <c r="B771" s="22"/>
      <c r="C771" s="23"/>
      <c r="D771" s="24"/>
      <c r="E771" s="25"/>
      <c r="F771" s="23"/>
      <c r="G771" s="26"/>
      <c r="H771" s="27"/>
      <c r="J771" s="28"/>
      <c r="K771" s="23"/>
    </row>
    <row r="772" spans="1:11" ht="15.75" customHeight="1">
      <c r="A772" s="22"/>
      <c r="B772" s="22"/>
      <c r="C772" s="23"/>
      <c r="D772" s="24"/>
      <c r="E772" s="25"/>
      <c r="F772" s="23"/>
      <c r="G772" s="26"/>
      <c r="H772" s="27"/>
      <c r="J772" s="28"/>
      <c r="K772" s="23"/>
    </row>
    <row r="773" spans="1:11" ht="15.75" customHeight="1">
      <c r="A773" s="22"/>
      <c r="B773" s="22"/>
      <c r="C773" s="23"/>
      <c r="D773" s="24"/>
      <c r="E773" s="25"/>
      <c r="F773" s="23"/>
      <c r="G773" s="26"/>
      <c r="H773" s="27"/>
      <c r="J773" s="28"/>
      <c r="K773" s="23"/>
    </row>
    <row r="774" spans="1:11" ht="15.75" customHeight="1">
      <c r="A774" s="22"/>
      <c r="B774" s="22"/>
      <c r="C774" s="23"/>
      <c r="D774" s="24"/>
      <c r="E774" s="25"/>
      <c r="F774" s="23"/>
      <c r="G774" s="26"/>
      <c r="H774" s="27"/>
      <c r="J774" s="28"/>
      <c r="K774" s="23"/>
    </row>
    <row r="775" spans="1:11" ht="15.75" customHeight="1">
      <c r="A775" s="22"/>
      <c r="B775" s="22"/>
      <c r="C775" s="23"/>
      <c r="D775" s="24"/>
      <c r="E775" s="25"/>
      <c r="F775" s="23"/>
      <c r="G775" s="26"/>
      <c r="H775" s="27"/>
      <c r="J775" s="28"/>
      <c r="K775" s="23"/>
    </row>
    <row r="776" spans="1:11" ht="15.75" customHeight="1">
      <c r="A776" s="22"/>
      <c r="B776" s="22"/>
      <c r="C776" s="23"/>
      <c r="D776" s="24"/>
      <c r="E776" s="25"/>
      <c r="F776" s="23"/>
      <c r="G776" s="26"/>
      <c r="H776" s="27"/>
      <c r="J776" s="28"/>
      <c r="K776" s="23"/>
    </row>
    <row r="777" spans="1:11" ht="15.75" customHeight="1">
      <c r="A777" s="22"/>
      <c r="B777" s="22"/>
      <c r="C777" s="23"/>
      <c r="D777" s="24"/>
      <c r="E777" s="25"/>
      <c r="F777" s="23"/>
      <c r="G777" s="26"/>
      <c r="H777" s="27"/>
      <c r="J777" s="28"/>
      <c r="K777" s="23"/>
    </row>
    <row r="778" spans="1:11" ht="15.75" customHeight="1">
      <c r="A778" s="22"/>
      <c r="B778" s="22"/>
      <c r="C778" s="23"/>
      <c r="D778" s="24"/>
      <c r="E778" s="25"/>
      <c r="F778" s="23"/>
      <c r="G778" s="26"/>
      <c r="H778" s="27"/>
      <c r="J778" s="28"/>
      <c r="K778" s="23"/>
    </row>
    <row r="779" spans="1:11" ht="15.75" customHeight="1">
      <c r="A779" s="22"/>
      <c r="B779" s="22"/>
      <c r="C779" s="23"/>
      <c r="D779" s="24"/>
      <c r="E779" s="25"/>
      <c r="F779" s="23"/>
      <c r="G779" s="26"/>
      <c r="H779" s="27"/>
      <c r="J779" s="28"/>
      <c r="K779" s="23"/>
    </row>
    <row r="780" spans="1:11" ht="15.75" customHeight="1">
      <c r="A780" s="22"/>
      <c r="B780" s="22"/>
      <c r="C780" s="23"/>
      <c r="D780" s="24"/>
      <c r="E780" s="25"/>
      <c r="F780" s="23"/>
      <c r="G780" s="26"/>
      <c r="H780" s="27"/>
      <c r="J780" s="28"/>
      <c r="K780" s="23"/>
    </row>
    <row r="781" spans="1:11" ht="15.75" customHeight="1">
      <c r="A781" s="22"/>
      <c r="B781" s="22"/>
      <c r="C781" s="23"/>
      <c r="D781" s="24"/>
      <c r="E781" s="25"/>
      <c r="F781" s="23"/>
      <c r="G781" s="26"/>
      <c r="H781" s="27"/>
      <c r="J781" s="28"/>
      <c r="K781" s="23"/>
    </row>
    <row r="782" spans="1:11" ht="15.75" customHeight="1">
      <c r="A782" s="22"/>
      <c r="B782" s="22"/>
      <c r="C782" s="23"/>
      <c r="D782" s="24"/>
      <c r="E782" s="25"/>
      <c r="F782" s="23"/>
      <c r="G782" s="26"/>
      <c r="H782" s="27"/>
      <c r="J782" s="28"/>
      <c r="K782" s="23"/>
    </row>
    <row r="783" spans="1:11" ht="15.75" customHeight="1">
      <c r="A783" s="22"/>
      <c r="B783" s="22"/>
      <c r="C783" s="23"/>
      <c r="D783" s="24"/>
      <c r="E783" s="25"/>
      <c r="F783" s="23"/>
      <c r="G783" s="26"/>
      <c r="H783" s="27"/>
      <c r="J783" s="28"/>
      <c r="K783" s="23"/>
    </row>
    <row r="784" spans="1:11" ht="15.75" customHeight="1">
      <c r="A784" s="22"/>
      <c r="B784" s="22"/>
      <c r="C784" s="23"/>
      <c r="D784" s="24"/>
      <c r="E784" s="25"/>
      <c r="F784" s="23"/>
      <c r="G784" s="26"/>
      <c r="H784" s="27"/>
      <c r="J784" s="28"/>
      <c r="K784" s="23"/>
    </row>
    <row r="785" spans="1:11" ht="15.75" customHeight="1">
      <c r="A785" s="22"/>
      <c r="B785" s="22"/>
      <c r="C785" s="23"/>
      <c r="D785" s="24"/>
      <c r="E785" s="25"/>
      <c r="F785" s="23"/>
      <c r="G785" s="26"/>
      <c r="H785" s="27"/>
      <c r="J785" s="28"/>
      <c r="K785" s="23"/>
    </row>
    <row r="786" spans="1:11" ht="15.75" customHeight="1">
      <c r="A786" s="22"/>
      <c r="B786" s="22"/>
      <c r="C786" s="23"/>
      <c r="D786" s="24"/>
      <c r="E786" s="25"/>
      <c r="F786" s="23"/>
      <c r="G786" s="26"/>
      <c r="H786" s="27"/>
      <c r="J786" s="28"/>
      <c r="K786" s="23"/>
    </row>
    <row r="787" spans="1:11" ht="15.75" customHeight="1">
      <c r="A787" s="22"/>
      <c r="B787" s="22"/>
      <c r="C787" s="23"/>
      <c r="D787" s="24"/>
      <c r="E787" s="25"/>
      <c r="F787" s="23"/>
      <c r="G787" s="26"/>
      <c r="H787" s="27"/>
      <c r="J787" s="28"/>
      <c r="K787" s="23"/>
    </row>
    <row r="788" spans="1:11" ht="15.75" customHeight="1">
      <c r="A788" s="22"/>
      <c r="B788" s="22"/>
      <c r="C788" s="23"/>
      <c r="D788" s="24"/>
      <c r="E788" s="25"/>
      <c r="F788" s="23"/>
      <c r="G788" s="26"/>
      <c r="H788" s="27"/>
      <c r="J788" s="28"/>
      <c r="K788" s="23"/>
    </row>
    <row r="789" spans="1:11" ht="15.75" customHeight="1">
      <c r="A789" s="22"/>
      <c r="B789" s="22"/>
      <c r="C789" s="23"/>
      <c r="D789" s="24"/>
      <c r="E789" s="25"/>
      <c r="F789" s="23"/>
      <c r="G789" s="26"/>
      <c r="H789" s="27"/>
      <c r="J789" s="28"/>
      <c r="K789" s="23"/>
    </row>
    <row r="790" spans="1:11" ht="15.75" customHeight="1">
      <c r="A790" s="22"/>
      <c r="B790" s="22"/>
      <c r="C790" s="23"/>
      <c r="D790" s="24"/>
      <c r="E790" s="25"/>
      <c r="F790" s="23"/>
      <c r="G790" s="26"/>
      <c r="H790" s="27"/>
      <c r="J790" s="28"/>
      <c r="K790" s="23"/>
    </row>
    <row r="791" spans="1:11" ht="15.75" customHeight="1">
      <c r="A791" s="22"/>
      <c r="B791" s="22"/>
      <c r="C791" s="23"/>
      <c r="D791" s="24"/>
      <c r="E791" s="25"/>
      <c r="F791" s="23"/>
      <c r="G791" s="26"/>
      <c r="H791" s="27"/>
      <c r="J791" s="28"/>
      <c r="K791" s="23"/>
    </row>
    <row r="792" spans="1:11" ht="15.75" customHeight="1">
      <c r="A792" s="22"/>
      <c r="B792" s="22"/>
      <c r="C792" s="23"/>
      <c r="D792" s="24"/>
      <c r="E792" s="25"/>
      <c r="F792" s="23"/>
      <c r="G792" s="26"/>
      <c r="H792" s="27"/>
      <c r="J792" s="28"/>
      <c r="K792" s="23"/>
    </row>
    <row r="793" spans="1:11" ht="15.75" customHeight="1">
      <c r="A793" s="22"/>
      <c r="B793" s="22"/>
      <c r="C793" s="23"/>
      <c r="D793" s="24"/>
      <c r="E793" s="25"/>
      <c r="F793" s="23"/>
      <c r="G793" s="26"/>
      <c r="H793" s="27"/>
      <c r="J793" s="28"/>
      <c r="K793" s="23"/>
    </row>
    <row r="794" spans="1:11" ht="15.75" customHeight="1">
      <c r="A794" s="22"/>
      <c r="B794" s="22"/>
      <c r="C794" s="23"/>
      <c r="D794" s="24"/>
      <c r="E794" s="25"/>
      <c r="F794" s="23"/>
      <c r="G794" s="26"/>
      <c r="H794" s="27"/>
      <c r="J794" s="28"/>
      <c r="K794" s="23"/>
    </row>
    <row r="795" spans="1:11" ht="15.75" customHeight="1">
      <c r="A795" s="22"/>
      <c r="B795" s="22"/>
      <c r="C795" s="23"/>
      <c r="D795" s="24"/>
      <c r="E795" s="25"/>
      <c r="F795" s="23"/>
      <c r="G795" s="26"/>
      <c r="H795" s="27"/>
      <c r="J795" s="28"/>
      <c r="K795" s="23"/>
    </row>
    <row r="796" spans="1:11" ht="15.75" customHeight="1">
      <c r="A796" s="22"/>
      <c r="B796" s="22"/>
      <c r="C796" s="23"/>
      <c r="D796" s="24"/>
      <c r="E796" s="25"/>
      <c r="F796" s="23"/>
      <c r="G796" s="26"/>
      <c r="H796" s="27"/>
      <c r="J796" s="28"/>
      <c r="K796" s="23"/>
    </row>
    <row r="797" spans="1:11" ht="15.75" customHeight="1">
      <c r="A797" s="22"/>
      <c r="B797" s="22"/>
      <c r="C797" s="23"/>
      <c r="D797" s="24"/>
      <c r="E797" s="25"/>
      <c r="F797" s="23"/>
      <c r="G797" s="26"/>
      <c r="H797" s="27"/>
      <c r="J797" s="28"/>
      <c r="K797" s="23"/>
    </row>
    <row r="798" spans="1:11" ht="15.75" customHeight="1">
      <c r="A798" s="22"/>
      <c r="B798" s="22"/>
      <c r="C798" s="23"/>
      <c r="D798" s="24"/>
      <c r="E798" s="25"/>
      <c r="F798" s="23"/>
      <c r="G798" s="26"/>
      <c r="H798" s="27"/>
      <c r="J798" s="28"/>
      <c r="K798" s="23"/>
    </row>
    <row r="799" spans="1:11" ht="15.75" customHeight="1">
      <c r="A799" s="22"/>
      <c r="B799" s="22"/>
      <c r="C799" s="23"/>
      <c r="D799" s="24"/>
      <c r="E799" s="25"/>
      <c r="F799" s="23"/>
      <c r="G799" s="26"/>
      <c r="H799" s="27"/>
      <c r="J799" s="28"/>
      <c r="K799" s="23"/>
    </row>
    <row r="800" spans="1:11" ht="15.75" customHeight="1">
      <c r="A800" s="22"/>
      <c r="B800" s="22"/>
      <c r="C800" s="23"/>
      <c r="D800" s="24"/>
      <c r="E800" s="25"/>
      <c r="F800" s="23"/>
      <c r="G800" s="26"/>
      <c r="H800" s="27"/>
      <c r="J800" s="28"/>
      <c r="K800" s="23"/>
    </row>
    <row r="801" spans="1:11" ht="15.75" customHeight="1">
      <c r="A801" s="22"/>
      <c r="B801" s="22"/>
      <c r="C801" s="23"/>
      <c r="D801" s="24"/>
      <c r="E801" s="25"/>
      <c r="F801" s="23"/>
      <c r="G801" s="26"/>
      <c r="H801" s="27"/>
      <c r="J801" s="28"/>
      <c r="K801" s="23"/>
    </row>
    <row r="802" spans="1:11" ht="15.75" customHeight="1">
      <c r="A802" s="22"/>
      <c r="B802" s="22"/>
      <c r="C802" s="23"/>
      <c r="D802" s="24"/>
      <c r="E802" s="25"/>
      <c r="F802" s="23"/>
      <c r="G802" s="26"/>
      <c r="H802" s="27"/>
      <c r="J802" s="28"/>
      <c r="K802" s="23"/>
    </row>
    <row r="803" spans="1:11" ht="15.75" customHeight="1">
      <c r="A803" s="22"/>
      <c r="B803" s="22"/>
      <c r="C803" s="23"/>
      <c r="D803" s="24"/>
      <c r="E803" s="25"/>
      <c r="F803" s="23"/>
      <c r="G803" s="26"/>
      <c r="H803" s="27"/>
      <c r="J803" s="28"/>
      <c r="K803" s="23"/>
    </row>
    <row r="804" spans="1:11" ht="15.75" customHeight="1">
      <c r="A804" s="22"/>
      <c r="B804" s="22"/>
      <c r="C804" s="23"/>
      <c r="D804" s="24"/>
      <c r="E804" s="25"/>
      <c r="F804" s="23"/>
      <c r="G804" s="26"/>
      <c r="H804" s="27"/>
      <c r="J804" s="28"/>
      <c r="K804" s="23"/>
    </row>
    <row r="805" spans="1:11" ht="15.75" customHeight="1">
      <c r="A805" s="22"/>
      <c r="B805" s="22"/>
      <c r="C805" s="23"/>
      <c r="D805" s="24"/>
      <c r="E805" s="25"/>
      <c r="F805" s="23"/>
      <c r="G805" s="26"/>
      <c r="H805" s="27"/>
      <c r="J805" s="28"/>
      <c r="K805" s="23"/>
    </row>
    <row r="806" spans="1:11" ht="15.75" customHeight="1">
      <c r="A806" s="22"/>
      <c r="B806" s="22"/>
      <c r="C806" s="23"/>
      <c r="D806" s="24"/>
      <c r="E806" s="25"/>
      <c r="F806" s="23"/>
      <c r="G806" s="26"/>
      <c r="H806" s="27"/>
      <c r="J806" s="28"/>
      <c r="K806" s="23"/>
    </row>
    <row r="807" spans="1:11" ht="15.75" customHeight="1">
      <c r="A807" s="22"/>
      <c r="B807" s="22"/>
      <c r="C807" s="23"/>
      <c r="D807" s="24"/>
      <c r="E807" s="25"/>
      <c r="F807" s="23"/>
      <c r="G807" s="26"/>
      <c r="H807" s="27"/>
      <c r="J807" s="28"/>
      <c r="K807" s="23"/>
    </row>
    <row r="808" spans="1:11" ht="15.75" customHeight="1">
      <c r="A808" s="22"/>
      <c r="B808" s="22"/>
      <c r="C808" s="23"/>
      <c r="D808" s="24"/>
      <c r="E808" s="25"/>
      <c r="F808" s="23"/>
      <c r="G808" s="26"/>
      <c r="H808" s="27"/>
      <c r="J808" s="28"/>
      <c r="K808" s="23"/>
    </row>
    <row r="809" spans="1:11" ht="15.75" customHeight="1">
      <c r="A809" s="22"/>
      <c r="B809" s="22"/>
      <c r="C809" s="23"/>
      <c r="D809" s="24"/>
      <c r="E809" s="25"/>
      <c r="F809" s="23"/>
      <c r="G809" s="26"/>
      <c r="H809" s="27"/>
      <c r="J809" s="28"/>
      <c r="K809" s="23"/>
    </row>
    <row r="810" spans="1:11" ht="15.75" customHeight="1">
      <c r="A810" s="22"/>
      <c r="B810" s="22"/>
      <c r="C810" s="23"/>
      <c r="D810" s="24"/>
      <c r="E810" s="25"/>
      <c r="F810" s="23"/>
      <c r="G810" s="26"/>
      <c r="H810" s="27"/>
      <c r="J810" s="28"/>
      <c r="K810" s="23"/>
    </row>
    <row r="811" spans="1:11" ht="15.75" customHeight="1">
      <c r="A811" s="22"/>
      <c r="B811" s="22"/>
      <c r="C811" s="23"/>
      <c r="D811" s="24"/>
      <c r="E811" s="25"/>
      <c r="F811" s="23"/>
      <c r="G811" s="26"/>
      <c r="H811" s="27"/>
      <c r="J811" s="28"/>
      <c r="K811" s="23"/>
    </row>
    <row r="812" spans="1:11" ht="15.75" customHeight="1">
      <c r="A812" s="22"/>
      <c r="B812" s="22"/>
      <c r="C812" s="23"/>
      <c r="D812" s="24"/>
      <c r="E812" s="25"/>
      <c r="F812" s="23"/>
      <c r="G812" s="26"/>
      <c r="H812" s="27"/>
      <c r="J812" s="28"/>
      <c r="K812" s="23"/>
    </row>
    <row r="813" spans="1:11" ht="15.75" customHeight="1">
      <c r="A813" s="22"/>
      <c r="B813" s="22"/>
      <c r="C813" s="23"/>
      <c r="D813" s="24"/>
      <c r="E813" s="25"/>
      <c r="F813" s="23"/>
      <c r="G813" s="26"/>
      <c r="H813" s="27"/>
      <c r="J813" s="28"/>
      <c r="K813" s="23"/>
    </row>
    <row r="814" spans="1:11" ht="15.75" customHeight="1">
      <c r="A814" s="22"/>
      <c r="B814" s="22"/>
      <c r="C814" s="23"/>
      <c r="D814" s="24"/>
      <c r="E814" s="25"/>
      <c r="F814" s="23"/>
      <c r="G814" s="26"/>
      <c r="H814" s="27"/>
      <c r="J814" s="28"/>
      <c r="K814" s="23"/>
    </row>
    <row r="815" spans="1:11" ht="15.75" customHeight="1">
      <c r="A815" s="22"/>
      <c r="B815" s="22"/>
      <c r="C815" s="23"/>
      <c r="D815" s="24"/>
      <c r="E815" s="25"/>
      <c r="F815" s="23"/>
      <c r="G815" s="26"/>
      <c r="H815" s="27"/>
      <c r="J815" s="28"/>
      <c r="K815" s="23"/>
    </row>
    <row r="816" spans="1:11" ht="15.75" customHeight="1">
      <c r="A816" s="22"/>
      <c r="B816" s="22"/>
      <c r="C816" s="23"/>
      <c r="D816" s="24"/>
      <c r="E816" s="25"/>
      <c r="F816" s="23"/>
      <c r="G816" s="26"/>
      <c r="H816" s="27"/>
      <c r="J816" s="28"/>
      <c r="K816" s="23"/>
    </row>
    <row r="817" spans="1:11" ht="15.75" customHeight="1">
      <c r="A817" s="22"/>
      <c r="B817" s="22"/>
      <c r="C817" s="23"/>
      <c r="D817" s="24"/>
      <c r="E817" s="25"/>
      <c r="F817" s="23"/>
      <c r="G817" s="26"/>
      <c r="H817" s="27"/>
      <c r="J817" s="28"/>
      <c r="K817" s="23"/>
    </row>
    <row r="818" spans="1:11" ht="15.75" customHeight="1">
      <c r="A818" s="22"/>
      <c r="B818" s="22"/>
      <c r="C818" s="23"/>
      <c r="D818" s="24"/>
      <c r="E818" s="25"/>
      <c r="F818" s="23"/>
      <c r="G818" s="26"/>
      <c r="H818" s="27"/>
      <c r="J818" s="28"/>
      <c r="K818" s="23"/>
    </row>
    <row r="819" spans="1:11" ht="15.75" customHeight="1">
      <c r="A819" s="22"/>
      <c r="B819" s="22"/>
      <c r="C819" s="23"/>
      <c r="D819" s="24"/>
      <c r="E819" s="25"/>
      <c r="F819" s="23"/>
      <c r="G819" s="26"/>
      <c r="H819" s="27"/>
      <c r="J819" s="28"/>
      <c r="K819" s="23"/>
    </row>
    <row r="820" spans="1:11" ht="15.75" customHeight="1">
      <c r="A820" s="22"/>
      <c r="B820" s="22"/>
      <c r="C820" s="23"/>
      <c r="D820" s="24"/>
      <c r="E820" s="25"/>
      <c r="F820" s="23"/>
      <c r="G820" s="26"/>
      <c r="H820" s="27"/>
      <c r="J820" s="28"/>
      <c r="K820" s="23"/>
    </row>
    <row r="821" spans="1:11" ht="15.75" customHeight="1">
      <c r="A821" s="22"/>
      <c r="B821" s="22"/>
      <c r="C821" s="23"/>
      <c r="D821" s="24"/>
      <c r="E821" s="25"/>
      <c r="F821" s="23"/>
      <c r="G821" s="26"/>
      <c r="H821" s="27"/>
      <c r="J821" s="28"/>
      <c r="K821" s="23"/>
    </row>
    <row r="822" spans="1:11" ht="15.75" customHeight="1">
      <c r="A822" s="22"/>
      <c r="B822" s="22"/>
      <c r="C822" s="23"/>
      <c r="D822" s="24"/>
      <c r="E822" s="25"/>
      <c r="F822" s="23"/>
      <c r="G822" s="26"/>
      <c r="H822" s="27"/>
      <c r="J822" s="28"/>
      <c r="K822" s="23"/>
    </row>
    <row r="823" spans="1:11" ht="15.75" customHeight="1">
      <c r="A823" s="22"/>
      <c r="B823" s="22"/>
      <c r="C823" s="23"/>
      <c r="D823" s="24"/>
      <c r="E823" s="25"/>
      <c r="F823" s="23"/>
      <c r="G823" s="26"/>
      <c r="H823" s="27"/>
      <c r="J823" s="28"/>
      <c r="K823" s="23"/>
    </row>
    <row r="824" spans="1:11" ht="15.75" customHeight="1">
      <c r="A824" s="22"/>
      <c r="B824" s="22"/>
      <c r="C824" s="23"/>
      <c r="D824" s="24"/>
      <c r="E824" s="25"/>
      <c r="F824" s="23"/>
      <c r="G824" s="26"/>
      <c r="H824" s="27"/>
      <c r="J824" s="28"/>
      <c r="K824" s="23"/>
    </row>
    <row r="825" spans="1:11" ht="15.75" customHeight="1">
      <c r="A825" s="22"/>
      <c r="B825" s="22"/>
      <c r="C825" s="23"/>
      <c r="D825" s="24"/>
      <c r="E825" s="25"/>
      <c r="F825" s="23"/>
      <c r="G825" s="26"/>
      <c r="H825" s="27"/>
      <c r="J825" s="28"/>
      <c r="K825" s="23"/>
    </row>
    <row r="826" spans="1:11" ht="15.75" customHeight="1">
      <c r="A826" s="22"/>
      <c r="B826" s="22"/>
      <c r="C826" s="23"/>
      <c r="D826" s="24"/>
      <c r="E826" s="25"/>
      <c r="F826" s="23"/>
      <c r="G826" s="26"/>
      <c r="H826" s="27"/>
      <c r="J826" s="28"/>
      <c r="K826" s="23"/>
    </row>
    <row r="827" spans="1:11" ht="15.75" customHeight="1">
      <c r="A827" s="22"/>
      <c r="B827" s="22"/>
      <c r="C827" s="23"/>
      <c r="D827" s="24"/>
      <c r="E827" s="25"/>
      <c r="F827" s="23"/>
      <c r="G827" s="26"/>
      <c r="H827" s="27"/>
      <c r="J827" s="28"/>
      <c r="K827" s="23"/>
    </row>
    <row r="828" spans="1:11" ht="15.75" customHeight="1">
      <c r="A828" s="22"/>
      <c r="B828" s="22"/>
      <c r="C828" s="23"/>
      <c r="D828" s="24"/>
      <c r="E828" s="25"/>
      <c r="F828" s="23"/>
      <c r="G828" s="26"/>
      <c r="H828" s="27"/>
      <c r="J828" s="28"/>
      <c r="K828" s="23"/>
    </row>
    <row r="829" spans="1:11" ht="15.75" customHeight="1">
      <c r="A829" s="22"/>
      <c r="B829" s="22"/>
      <c r="C829" s="23"/>
      <c r="D829" s="24"/>
      <c r="E829" s="25"/>
      <c r="F829" s="23"/>
      <c r="G829" s="26"/>
      <c r="H829" s="27"/>
      <c r="J829" s="28"/>
      <c r="K829" s="23"/>
    </row>
    <row r="830" spans="1:11" ht="15.75" customHeight="1">
      <c r="A830" s="22"/>
      <c r="B830" s="22"/>
      <c r="C830" s="23"/>
      <c r="D830" s="24"/>
      <c r="E830" s="25"/>
      <c r="F830" s="23"/>
      <c r="G830" s="26"/>
      <c r="H830" s="27"/>
      <c r="J830" s="28"/>
      <c r="K830" s="23"/>
    </row>
    <row r="831" spans="1:11" ht="15.75" customHeight="1">
      <c r="A831" s="22"/>
      <c r="B831" s="22"/>
      <c r="C831" s="23"/>
      <c r="D831" s="24"/>
      <c r="E831" s="25"/>
      <c r="F831" s="23"/>
      <c r="G831" s="26"/>
      <c r="H831" s="27"/>
      <c r="J831" s="28"/>
      <c r="K831" s="23"/>
    </row>
    <row r="832" spans="1:11" ht="15.75" customHeight="1">
      <c r="A832" s="22"/>
      <c r="B832" s="22"/>
      <c r="C832" s="23"/>
      <c r="D832" s="24"/>
      <c r="E832" s="25"/>
      <c r="F832" s="23"/>
      <c r="G832" s="26"/>
      <c r="H832" s="27"/>
      <c r="J832" s="28"/>
      <c r="K832" s="23"/>
    </row>
    <row r="833" spans="1:11" ht="15.75" customHeight="1">
      <c r="A833" s="22"/>
      <c r="B833" s="22"/>
      <c r="C833" s="23"/>
      <c r="D833" s="24"/>
      <c r="E833" s="25"/>
      <c r="F833" s="23"/>
      <c r="G833" s="26"/>
      <c r="H833" s="27"/>
      <c r="J833" s="28"/>
      <c r="K833" s="23"/>
    </row>
    <row r="834" spans="1:11" ht="15.75" customHeight="1">
      <c r="A834" s="22"/>
      <c r="B834" s="22"/>
      <c r="C834" s="23"/>
      <c r="D834" s="24"/>
      <c r="E834" s="25"/>
      <c r="F834" s="23"/>
      <c r="G834" s="26"/>
      <c r="H834" s="27"/>
      <c r="J834" s="28"/>
      <c r="K834" s="23"/>
    </row>
    <row r="835" spans="1:11" ht="15.75" customHeight="1">
      <c r="A835" s="22"/>
      <c r="B835" s="22"/>
      <c r="C835" s="23"/>
      <c r="D835" s="24"/>
      <c r="E835" s="25"/>
      <c r="F835" s="23"/>
      <c r="G835" s="26"/>
      <c r="H835" s="27"/>
      <c r="J835" s="28"/>
      <c r="K835" s="23"/>
    </row>
    <row r="836" spans="1:11" ht="15.75" customHeight="1">
      <c r="A836" s="22"/>
      <c r="B836" s="22"/>
      <c r="C836" s="23"/>
      <c r="D836" s="24"/>
      <c r="E836" s="25"/>
      <c r="F836" s="23"/>
      <c r="G836" s="26"/>
      <c r="H836" s="27"/>
      <c r="J836" s="28"/>
      <c r="K836" s="23"/>
    </row>
    <row r="837" spans="1:11" ht="15.75" customHeight="1">
      <c r="A837" s="22"/>
      <c r="B837" s="22"/>
      <c r="C837" s="23"/>
      <c r="D837" s="24"/>
      <c r="E837" s="25"/>
      <c r="F837" s="23"/>
      <c r="G837" s="26"/>
      <c r="H837" s="27"/>
      <c r="J837" s="28"/>
      <c r="K837" s="23"/>
    </row>
    <row r="838" spans="1:11" ht="15.75" customHeight="1">
      <c r="A838" s="22"/>
      <c r="B838" s="22"/>
      <c r="C838" s="23"/>
      <c r="D838" s="24"/>
      <c r="E838" s="25"/>
      <c r="F838" s="23"/>
      <c r="G838" s="26"/>
      <c r="H838" s="27"/>
      <c r="J838" s="28"/>
      <c r="K838" s="23"/>
    </row>
    <row r="839" spans="1:11" ht="15.75" customHeight="1">
      <c r="A839" s="22"/>
      <c r="B839" s="22"/>
      <c r="C839" s="23"/>
      <c r="D839" s="24"/>
      <c r="E839" s="25"/>
      <c r="F839" s="23"/>
      <c r="G839" s="26"/>
      <c r="H839" s="27"/>
      <c r="J839" s="28"/>
      <c r="K839" s="23"/>
    </row>
    <row r="840" spans="1:11" ht="15.75" customHeight="1">
      <c r="A840" s="22"/>
      <c r="B840" s="22"/>
      <c r="C840" s="23"/>
      <c r="D840" s="24"/>
      <c r="E840" s="25"/>
      <c r="F840" s="23"/>
      <c r="G840" s="26"/>
      <c r="H840" s="27"/>
      <c r="J840" s="28"/>
      <c r="K840" s="23"/>
    </row>
    <row r="841" spans="1:11" ht="15.75" customHeight="1">
      <c r="A841" s="22"/>
      <c r="B841" s="22"/>
      <c r="C841" s="23"/>
      <c r="D841" s="24"/>
      <c r="E841" s="25"/>
      <c r="F841" s="23"/>
      <c r="G841" s="26"/>
      <c r="H841" s="27"/>
      <c r="J841" s="28"/>
      <c r="K841" s="23"/>
    </row>
    <row r="842" spans="1:11" ht="15.75" customHeight="1">
      <c r="A842" s="22"/>
      <c r="B842" s="22"/>
      <c r="C842" s="23"/>
      <c r="D842" s="24"/>
      <c r="E842" s="25"/>
      <c r="F842" s="23"/>
      <c r="G842" s="26"/>
      <c r="H842" s="27"/>
      <c r="J842" s="28"/>
      <c r="K842" s="23"/>
    </row>
    <row r="843" spans="1:11" ht="15.75" customHeight="1">
      <c r="A843" s="22"/>
      <c r="B843" s="22"/>
      <c r="C843" s="23"/>
      <c r="D843" s="24"/>
      <c r="E843" s="25"/>
      <c r="F843" s="23"/>
      <c r="G843" s="26"/>
      <c r="H843" s="27"/>
      <c r="J843" s="28"/>
      <c r="K843" s="23"/>
    </row>
    <row r="844" spans="1:11" ht="15.75" customHeight="1">
      <c r="A844" s="22"/>
      <c r="B844" s="22"/>
      <c r="C844" s="23"/>
      <c r="D844" s="24"/>
      <c r="E844" s="25"/>
      <c r="F844" s="23"/>
      <c r="G844" s="26"/>
      <c r="H844" s="27"/>
      <c r="J844" s="28"/>
      <c r="K844" s="23"/>
    </row>
    <row r="845" spans="1:11" ht="15.75" customHeight="1">
      <c r="A845" s="22"/>
      <c r="B845" s="22"/>
      <c r="C845" s="23"/>
      <c r="D845" s="24"/>
      <c r="E845" s="25"/>
      <c r="F845" s="23"/>
      <c r="G845" s="26"/>
      <c r="H845" s="27"/>
      <c r="J845" s="28"/>
      <c r="K845" s="23"/>
    </row>
    <row r="846" spans="1:11" ht="15.75" customHeight="1">
      <c r="A846" s="22"/>
      <c r="B846" s="22"/>
      <c r="C846" s="23"/>
      <c r="D846" s="24"/>
      <c r="E846" s="25"/>
      <c r="F846" s="23"/>
      <c r="G846" s="26"/>
      <c r="H846" s="27"/>
      <c r="J846" s="28"/>
      <c r="K846" s="23"/>
    </row>
    <row r="847" spans="1:11" ht="15.75" customHeight="1">
      <c r="A847" s="22"/>
      <c r="B847" s="22"/>
      <c r="C847" s="23"/>
      <c r="D847" s="24"/>
      <c r="E847" s="25"/>
      <c r="F847" s="23"/>
      <c r="G847" s="26"/>
      <c r="H847" s="27"/>
      <c r="J847" s="28"/>
      <c r="K847" s="23"/>
    </row>
    <row r="848" spans="1:11" ht="15.75" customHeight="1">
      <c r="A848" s="22"/>
      <c r="B848" s="22"/>
      <c r="C848" s="23"/>
      <c r="D848" s="24"/>
      <c r="E848" s="25"/>
      <c r="F848" s="23"/>
      <c r="G848" s="26"/>
      <c r="H848" s="27"/>
      <c r="J848" s="28"/>
      <c r="K848" s="23"/>
    </row>
    <row r="849" spans="1:11" ht="15.75" customHeight="1">
      <c r="A849" s="22"/>
      <c r="B849" s="22"/>
      <c r="C849" s="23"/>
      <c r="D849" s="24"/>
      <c r="E849" s="25"/>
      <c r="F849" s="23"/>
      <c r="G849" s="26"/>
      <c r="H849" s="27"/>
      <c r="J849" s="28"/>
      <c r="K849" s="23"/>
    </row>
    <row r="850" spans="1:11" ht="15.75" customHeight="1">
      <c r="A850" s="22"/>
      <c r="B850" s="22"/>
      <c r="C850" s="23"/>
      <c r="D850" s="24"/>
      <c r="E850" s="25"/>
      <c r="F850" s="23"/>
      <c r="G850" s="26"/>
      <c r="H850" s="27"/>
      <c r="J850" s="28"/>
      <c r="K850" s="23"/>
    </row>
    <row r="851" spans="1:11" ht="15.75" customHeight="1">
      <c r="A851" s="22"/>
      <c r="B851" s="22"/>
      <c r="C851" s="23"/>
      <c r="D851" s="24"/>
      <c r="E851" s="25"/>
      <c r="F851" s="23"/>
      <c r="G851" s="26"/>
      <c r="H851" s="27"/>
      <c r="J851" s="28"/>
      <c r="K851" s="23"/>
    </row>
    <row r="852" spans="1:11" ht="15.75" customHeight="1">
      <c r="A852" s="22"/>
      <c r="B852" s="22"/>
      <c r="C852" s="23"/>
      <c r="D852" s="24"/>
      <c r="E852" s="25"/>
      <c r="F852" s="23"/>
      <c r="G852" s="26"/>
      <c r="H852" s="27"/>
      <c r="J852" s="28"/>
      <c r="K852" s="23"/>
    </row>
    <row r="853" spans="1:11" ht="15.75" customHeight="1">
      <c r="A853" s="22"/>
      <c r="B853" s="22"/>
      <c r="C853" s="23"/>
      <c r="D853" s="24"/>
      <c r="E853" s="25"/>
      <c r="F853" s="23"/>
      <c r="G853" s="26"/>
      <c r="H853" s="27"/>
      <c r="J853" s="28"/>
      <c r="K853" s="23"/>
    </row>
    <row r="854" spans="1:11" ht="15.75" customHeight="1">
      <c r="A854" s="22"/>
      <c r="B854" s="22"/>
      <c r="C854" s="23"/>
      <c r="D854" s="24"/>
      <c r="E854" s="25"/>
      <c r="F854" s="23"/>
      <c r="G854" s="26"/>
      <c r="H854" s="27"/>
      <c r="J854" s="28"/>
      <c r="K854" s="23"/>
    </row>
    <row r="855" spans="1:11" ht="15.75" customHeight="1">
      <c r="A855" s="22"/>
      <c r="B855" s="22"/>
      <c r="C855" s="23"/>
      <c r="D855" s="24"/>
      <c r="E855" s="25"/>
      <c r="F855" s="23"/>
      <c r="G855" s="26"/>
      <c r="H855" s="27"/>
      <c r="J855" s="28"/>
      <c r="K855" s="23"/>
    </row>
    <row r="856" spans="1:11" ht="15.75" customHeight="1">
      <c r="A856" s="22"/>
      <c r="B856" s="22"/>
      <c r="C856" s="23"/>
      <c r="D856" s="24"/>
      <c r="E856" s="25"/>
      <c r="F856" s="23"/>
      <c r="G856" s="26"/>
      <c r="H856" s="27"/>
      <c r="J856" s="28"/>
      <c r="K856" s="23"/>
    </row>
    <row r="857" spans="1:11" ht="15.75" customHeight="1">
      <c r="A857" s="22"/>
      <c r="B857" s="22"/>
      <c r="C857" s="23"/>
      <c r="D857" s="24"/>
      <c r="E857" s="25"/>
      <c r="F857" s="23"/>
      <c r="G857" s="26"/>
      <c r="H857" s="27"/>
      <c r="J857" s="28"/>
      <c r="K857" s="23"/>
    </row>
    <row r="858" spans="1:11" ht="15.75" customHeight="1">
      <c r="A858" s="22"/>
      <c r="B858" s="22"/>
      <c r="C858" s="23"/>
      <c r="D858" s="24"/>
      <c r="E858" s="25"/>
      <c r="F858" s="23"/>
      <c r="G858" s="26"/>
      <c r="H858" s="27"/>
      <c r="J858" s="28"/>
      <c r="K858" s="23"/>
    </row>
    <row r="859" spans="1:11" ht="15.75" customHeight="1">
      <c r="A859" s="22"/>
      <c r="B859" s="22"/>
      <c r="C859" s="23"/>
      <c r="D859" s="24"/>
      <c r="E859" s="25"/>
      <c r="F859" s="23"/>
      <c r="G859" s="26"/>
      <c r="H859" s="27"/>
      <c r="J859" s="28"/>
      <c r="K859" s="23"/>
    </row>
    <row r="860" spans="1:11" ht="15.75" customHeight="1">
      <c r="A860" s="22"/>
      <c r="B860" s="22"/>
      <c r="C860" s="23"/>
      <c r="D860" s="24"/>
      <c r="E860" s="25"/>
      <c r="F860" s="23"/>
      <c r="G860" s="26"/>
      <c r="H860" s="27"/>
      <c r="J860" s="28"/>
      <c r="K860" s="23"/>
    </row>
    <row r="861" spans="1:11" ht="15.75" customHeight="1">
      <c r="A861" s="22"/>
      <c r="B861" s="22"/>
      <c r="C861" s="23"/>
      <c r="D861" s="24"/>
      <c r="E861" s="25"/>
      <c r="F861" s="23"/>
      <c r="G861" s="26"/>
      <c r="H861" s="27"/>
      <c r="J861" s="28"/>
      <c r="K861" s="23"/>
    </row>
    <row r="862" spans="1:11" ht="15.75" customHeight="1">
      <c r="A862" s="22"/>
      <c r="B862" s="22"/>
      <c r="C862" s="23"/>
      <c r="D862" s="24"/>
      <c r="E862" s="25"/>
      <c r="F862" s="23"/>
      <c r="G862" s="26"/>
      <c r="H862" s="27"/>
      <c r="J862" s="28"/>
      <c r="K862" s="23"/>
    </row>
    <row r="863" spans="1:11" ht="15.75" customHeight="1">
      <c r="A863" s="22"/>
      <c r="B863" s="22"/>
      <c r="C863" s="23"/>
      <c r="D863" s="24"/>
      <c r="E863" s="25"/>
      <c r="F863" s="23"/>
      <c r="G863" s="26"/>
      <c r="H863" s="27"/>
      <c r="J863" s="28"/>
      <c r="K863" s="23"/>
    </row>
    <row r="864" spans="1:11" ht="15.75" customHeight="1">
      <c r="A864" s="22"/>
      <c r="B864" s="22"/>
      <c r="C864" s="23"/>
      <c r="D864" s="24"/>
      <c r="E864" s="25"/>
      <c r="F864" s="23"/>
      <c r="G864" s="26"/>
      <c r="H864" s="27"/>
      <c r="J864" s="28"/>
      <c r="K864" s="23"/>
    </row>
    <row r="865" spans="1:11" ht="15.75" customHeight="1">
      <c r="A865" s="22"/>
      <c r="B865" s="22"/>
      <c r="C865" s="23"/>
      <c r="D865" s="24"/>
      <c r="E865" s="25"/>
      <c r="F865" s="23"/>
      <c r="G865" s="26"/>
      <c r="H865" s="27"/>
      <c r="J865" s="28"/>
      <c r="K865" s="23"/>
    </row>
    <row r="866" spans="1:11" ht="15.75" customHeight="1">
      <c r="A866" s="22"/>
      <c r="B866" s="22"/>
      <c r="C866" s="23"/>
      <c r="D866" s="24"/>
      <c r="E866" s="25"/>
      <c r="F866" s="23"/>
      <c r="G866" s="26"/>
      <c r="H866" s="27"/>
      <c r="J866" s="28"/>
      <c r="K866" s="23"/>
    </row>
    <row r="867" spans="1:11" ht="15.75" customHeight="1">
      <c r="A867" s="22"/>
      <c r="B867" s="22"/>
      <c r="C867" s="23"/>
      <c r="D867" s="24"/>
      <c r="E867" s="25"/>
      <c r="F867" s="23"/>
      <c r="G867" s="26"/>
      <c r="H867" s="27"/>
      <c r="J867" s="28"/>
      <c r="K867" s="23"/>
    </row>
    <row r="868" spans="1:11" ht="15.75" customHeight="1">
      <c r="A868" s="22"/>
      <c r="B868" s="22"/>
      <c r="C868" s="23"/>
      <c r="D868" s="24"/>
      <c r="E868" s="25"/>
      <c r="F868" s="23"/>
      <c r="G868" s="26"/>
      <c r="H868" s="27"/>
      <c r="J868" s="28"/>
      <c r="K868" s="23"/>
    </row>
    <row r="869" spans="1:11" ht="15.75" customHeight="1">
      <c r="A869" s="22"/>
      <c r="B869" s="22"/>
      <c r="C869" s="23"/>
      <c r="D869" s="24"/>
      <c r="E869" s="25"/>
      <c r="F869" s="23"/>
      <c r="G869" s="26"/>
      <c r="H869" s="27"/>
      <c r="J869" s="28"/>
      <c r="K869" s="23"/>
    </row>
    <row r="870" spans="1:11" ht="15.75" customHeight="1">
      <c r="A870" s="22"/>
      <c r="B870" s="22"/>
      <c r="C870" s="23"/>
      <c r="D870" s="24"/>
      <c r="E870" s="25"/>
      <c r="F870" s="23"/>
      <c r="G870" s="26"/>
      <c r="H870" s="27"/>
      <c r="J870" s="28"/>
      <c r="K870" s="23"/>
    </row>
    <row r="871" spans="1:11" ht="15.75" customHeight="1">
      <c r="A871" s="22"/>
      <c r="B871" s="22"/>
      <c r="C871" s="23"/>
      <c r="D871" s="24"/>
      <c r="E871" s="25"/>
      <c r="F871" s="23"/>
      <c r="G871" s="26"/>
      <c r="H871" s="27"/>
      <c r="J871" s="28"/>
      <c r="K871" s="23"/>
    </row>
    <row r="872" spans="1:11" ht="15.75" customHeight="1">
      <c r="A872" s="22"/>
      <c r="B872" s="22"/>
      <c r="C872" s="23"/>
      <c r="D872" s="24"/>
      <c r="E872" s="25"/>
      <c r="F872" s="23"/>
      <c r="G872" s="26"/>
      <c r="H872" s="27"/>
      <c r="J872" s="28"/>
      <c r="K872" s="23"/>
    </row>
    <row r="873" spans="1:11" ht="15.75" customHeight="1">
      <c r="A873" s="22"/>
      <c r="B873" s="22"/>
      <c r="C873" s="23"/>
      <c r="D873" s="24"/>
      <c r="E873" s="25"/>
      <c r="F873" s="23"/>
      <c r="G873" s="26"/>
      <c r="H873" s="27"/>
      <c r="J873" s="28"/>
      <c r="K873" s="23"/>
    </row>
    <row r="874" spans="1:11" ht="15.75" customHeight="1">
      <c r="A874" s="22"/>
      <c r="B874" s="22"/>
      <c r="C874" s="23"/>
      <c r="D874" s="24"/>
      <c r="E874" s="25"/>
      <c r="F874" s="23"/>
      <c r="G874" s="26"/>
      <c r="H874" s="27"/>
      <c r="J874" s="28"/>
      <c r="K874" s="23"/>
    </row>
    <row r="875" spans="1:11" ht="15.75" customHeight="1">
      <c r="A875" s="22"/>
      <c r="B875" s="22"/>
      <c r="C875" s="23"/>
      <c r="D875" s="24"/>
      <c r="E875" s="25"/>
      <c r="F875" s="23"/>
      <c r="G875" s="26"/>
      <c r="H875" s="27"/>
      <c r="J875" s="28"/>
      <c r="K875" s="23"/>
    </row>
    <row r="876" spans="1:11" ht="15.75" customHeight="1">
      <c r="A876" s="22"/>
      <c r="B876" s="22"/>
      <c r="C876" s="23"/>
      <c r="D876" s="24"/>
      <c r="E876" s="25"/>
      <c r="F876" s="23"/>
      <c r="G876" s="26"/>
      <c r="H876" s="27"/>
      <c r="J876" s="28"/>
      <c r="K876" s="23"/>
    </row>
    <row r="877" spans="1:11" ht="15.75" customHeight="1">
      <c r="A877" s="22"/>
      <c r="B877" s="22"/>
      <c r="C877" s="23"/>
      <c r="D877" s="24"/>
      <c r="E877" s="25"/>
      <c r="F877" s="23"/>
      <c r="G877" s="26"/>
      <c r="H877" s="27"/>
      <c r="J877" s="28"/>
      <c r="K877" s="23"/>
    </row>
    <row r="878" spans="1:11" ht="15.75" customHeight="1">
      <c r="A878" s="22"/>
      <c r="B878" s="22"/>
      <c r="C878" s="23"/>
      <c r="D878" s="24"/>
      <c r="E878" s="25"/>
      <c r="F878" s="23"/>
      <c r="G878" s="26"/>
      <c r="H878" s="27"/>
      <c r="J878" s="28"/>
      <c r="K878" s="23"/>
    </row>
    <row r="879" spans="1:11" ht="15.75" customHeight="1">
      <c r="A879" s="22"/>
      <c r="B879" s="22"/>
      <c r="C879" s="23"/>
      <c r="D879" s="24"/>
      <c r="E879" s="25"/>
      <c r="F879" s="23"/>
      <c r="G879" s="26"/>
      <c r="H879" s="27"/>
      <c r="J879" s="28"/>
      <c r="K879" s="23"/>
    </row>
    <row r="880" spans="1:11" ht="15.75" customHeight="1">
      <c r="A880" s="22"/>
      <c r="B880" s="22"/>
      <c r="C880" s="23"/>
      <c r="D880" s="24"/>
      <c r="E880" s="25"/>
      <c r="F880" s="23"/>
      <c r="G880" s="26"/>
      <c r="H880" s="27"/>
      <c r="J880" s="28"/>
      <c r="K880" s="23"/>
    </row>
    <row r="881" spans="1:11" ht="15.75" customHeight="1">
      <c r="A881" s="22"/>
      <c r="B881" s="22"/>
      <c r="C881" s="23"/>
      <c r="D881" s="24"/>
      <c r="E881" s="25"/>
      <c r="F881" s="23"/>
      <c r="G881" s="26"/>
      <c r="H881" s="27"/>
      <c r="J881" s="28"/>
      <c r="K881" s="23"/>
    </row>
    <row r="882" spans="1:11" ht="15.75" customHeight="1">
      <c r="A882" s="22"/>
      <c r="B882" s="22"/>
      <c r="C882" s="23"/>
      <c r="D882" s="24"/>
      <c r="E882" s="25"/>
      <c r="F882" s="23"/>
      <c r="G882" s="26"/>
      <c r="H882" s="27"/>
      <c r="J882" s="28"/>
      <c r="K882" s="23"/>
    </row>
    <row r="883" spans="1:11" ht="15.75" customHeight="1">
      <c r="A883" s="22"/>
      <c r="B883" s="22"/>
      <c r="C883" s="23"/>
      <c r="D883" s="24"/>
      <c r="E883" s="25"/>
      <c r="F883" s="23"/>
      <c r="G883" s="26"/>
      <c r="H883" s="27"/>
      <c r="J883" s="28"/>
      <c r="K883" s="23"/>
    </row>
    <row r="884" spans="1:11" ht="15.75" customHeight="1">
      <c r="A884" s="22"/>
      <c r="B884" s="22"/>
      <c r="C884" s="23"/>
      <c r="D884" s="24"/>
      <c r="E884" s="25"/>
      <c r="F884" s="23"/>
      <c r="G884" s="26"/>
      <c r="H884" s="27"/>
      <c r="J884" s="28"/>
      <c r="K884" s="23"/>
    </row>
    <row r="885" spans="1:11" ht="15.75" customHeight="1">
      <c r="A885" s="22"/>
      <c r="B885" s="22"/>
      <c r="C885" s="23"/>
      <c r="D885" s="24"/>
      <c r="E885" s="25"/>
      <c r="F885" s="23"/>
      <c r="G885" s="26"/>
      <c r="H885" s="27"/>
      <c r="J885" s="28"/>
      <c r="K885" s="23"/>
    </row>
    <row r="886" spans="1:11" ht="15.75" customHeight="1">
      <c r="A886" s="22"/>
      <c r="B886" s="22"/>
      <c r="C886" s="23"/>
      <c r="D886" s="24"/>
      <c r="E886" s="25"/>
      <c r="F886" s="23"/>
      <c r="G886" s="26"/>
      <c r="H886" s="27"/>
      <c r="J886" s="28"/>
      <c r="K886" s="23"/>
    </row>
    <row r="887" spans="1:11" ht="15.75" customHeight="1">
      <c r="A887" s="22"/>
      <c r="B887" s="22"/>
      <c r="C887" s="23"/>
      <c r="D887" s="24"/>
      <c r="E887" s="25"/>
      <c r="F887" s="23"/>
      <c r="G887" s="26"/>
      <c r="H887" s="27"/>
      <c r="J887" s="28"/>
      <c r="K887" s="23"/>
    </row>
    <row r="888" spans="1:11" ht="15.75" customHeight="1">
      <c r="A888" s="22"/>
      <c r="B888" s="22"/>
      <c r="C888" s="23"/>
      <c r="D888" s="24"/>
      <c r="E888" s="25"/>
      <c r="F888" s="23"/>
      <c r="G888" s="26"/>
      <c r="H888" s="27"/>
      <c r="J888" s="28"/>
      <c r="K888" s="23"/>
    </row>
    <row r="889" spans="1:11" ht="15.75" customHeight="1">
      <c r="A889" s="22"/>
      <c r="B889" s="22"/>
      <c r="C889" s="23"/>
      <c r="D889" s="24"/>
      <c r="E889" s="25"/>
      <c r="F889" s="23"/>
      <c r="G889" s="26"/>
      <c r="H889" s="27"/>
      <c r="J889" s="28"/>
      <c r="K889" s="23"/>
    </row>
    <row r="890" spans="1:11" ht="15.75" customHeight="1">
      <c r="A890" s="22"/>
      <c r="B890" s="22"/>
      <c r="C890" s="23"/>
      <c r="D890" s="24"/>
      <c r="E890" s="25"/>
      <c r="F890" s="23"/>
      <c r="G890" s="26"/>
      <c r="H890" s="27"/>
      <c r="J890" s="28"/>
      <c r="K890" s="23"/>
    </row>
    <row r="891" spans="1:11" ht="15.75" customHeight="1">
      <c r="A891" s="22"/>
      <c r="B891" s="22"/>
      <c r="C891" s="23"/>
      <c r="D891" s="24"/>
      <c r="E891" s="25"/>
      <c r="F891" s="23"/>
      <c r="G891" s="26"/>
      <c r="H891" s="27"/>
      <c r="J891" s="28"/>
      <c r="K891" s="23"/>
    </row>
    <row r="892" spans="1:11" ht="15.75" customHeight="1">
      <c r="A892" s="22"/>
      <c r="B892" s="22"/>
      <c r="C892" s="23"/>
      <c r="D892" s="24"/>
      <c r="E892" s="25"/>
      <c r="F892" s="23"/>
      <c r="G892" s="26"/>
      <c r="H892" s="27"/>
      <c r="J892" s="28"/>
      <c r="K892" s="23"/>
    </row>
    <row r="893" spans="1:11" ht="15.75" customHeight="1">
      <c r="A893" s="22"/>
      <c r="B893" s="22"/>
      <c r="C893" s="23"/>
      <c r="D893" s="24"/>
      <c r="E893" s="25"/>
      <c r="F893" s="23"/>
      <c r="G893" s="26"/>
      <c r="H893" s="27"/>
      <c r="J893" s="28"/>
      <c r="K893" s="23"/>
    </row>
    <row r="894" spans="1:11" ht="15.75" customHeight="1">
      <c r="A894" s="22"/>
      <c r="B894" s="22"/>
      <c r="C894" s="23"/>
      <c r="D894" s="24"/>
      <c r="E894" s="25"/>
      <c r="F894" s="23"/>
      <c r="G894" s="26"/>
      <c r="H894" s="27"/>
      <c r="J894" s="28"/>
      <c r="K894" s="23"/>
    </row>
    <row r="895" spans="1:11" ht="15.75" customHeight="1">
      <c r="A895" s="22"/>
      <c r="B895" s="22"/>
      <c r="C895" s="23"/>
      <c r="D895" s="24"/>
      <c r="E895" s="25"/>
      <c r="F895" s="23"/>
      <c r="G895" s="26"/>
      <c r="H895" s="27"/>
      <c r="J895" s="28"/>
      <c r="K895" s="23"/>
    </row>
    <row r="896" spans="1:11" ht="15.75" customHeight="1">
      <c r="A896" s="22"/>
      <c r="B896" s="22"/>
      <c r="C896" s="23"/>
      <c r="D896" s="24"/>
      <c r="E896" s="25"/>
      <c r="F896" s="23"/>
      <c r="G896" s="26"/>
      <c r="H896" s="27"/>
      <c r="J896" s="28"/>
      <c r="K896" s="23"/>
    </row>
    <row r="897" spans="1:11" ht="15.75" customHeight="1">
      <c r="A897" s="22"/>
      <c r="B897" s="22"/>
      <c r="C897" s="23"/>
      <c r="D897" s="24"/>
      <c r="E897" s="25"/>
      <c r="F897" s="23"/>
      <c r="G897" s="26"/>
      <c r="H897" s="27"/>
      <c r="J897" s="28"/>
      <c r="K897" s="23"/>
    </row>
    <row r="898" spans="1:11" ht="15.75" customHeight="1">
      <c r="A898" s="22"/>
      <c r="B898" s="22"/>
      <c r="C898" s="23"/>
      <c r="D898" s="24"/>
      <c r="E898" s="25"/>
      <c r="F898" s="23"/>
      <c r="G898" s="26"/>
      <c r="H898" s="27"/>
      <c r="J898" s="28"/>
      <c r="K898" s="23"/>
    </row>
    <row r="899" spans="1:11" ht="15.75" customHeight="1">
      <c r="A899" s="22"/>
      <c r="B899" s="22"/>
      <c r="C899" s="23"/>
      <c r="D899" s="24"/>
      <c r="E899" s="25"/>
      <c r="F899" s="23"/>
      <c r="G899" s="26"/>
      <c r="H899" s="27"/>
      <c r="J899" s="28"/>
      <c r="K899" s="23"/>
    </row>
    <row r="900" spans="1:11" ht="15.75" customHeight="1">
      <c r="A900" s="22"/>
      <c r="B900" s="22"/>
      <c r="C900" s="23"/>
      <c r="D900" s="24"/>
      <c r="E900" s="25"/>
      <c r="F900" s="23"/>
      <c r="G900" s="26"/>
      <c r="H900" s="27"/>
      <c r="J900" s="28"/>
      <c r="K900" s="23"/>
    </row>
    <row r="901" spans="1:11" ht="15.75" customHeight="1">
      <c r="A901" s="22"/>
      <c r="B901" s="22"/>
      <c r="C901" s="23"/>
      <c r="D901" s="24"/>
      <c r="E901" s="25"/>
      <c r="F901" s="23"/>
      <c r="G901" s="26"/>
      <c r="H901" s="27"/>
      <c r="J901" s="28"/>
      <c r="K901" s="23"/>
    </row>
    <row r="902" spans="1:11" ht="15.75" customHeight="1">
      <c r="A902" s="22"/>
      <c r="B902" s="22"/>
      <c r="C902" s="23"/>
      <c r="D902" s="24"/>
      <c r="E902" s="25"/>
      <c r="F902" s="23"/>
      <c r="G902" s="26"/>
      <c r="H902" s="27"/>
      <c r="J902" s="28"/>
      <c r="K902" s="23"/>
    </row>
    <row r="903" spans="1:11" ht="15.75" customHeight="1">
      <c r="A903" s="22"/>
      <c r="B903" s="22"/>
      <c r="C903" s="23"/>
      <c r="D903" s="24"/>
      <c r="E903" s="25"/>
      <c r="F903" s="23"/>
      <c r="G903" s="26"/>
      <c r="H903" s="27"/>
      <c r="J903" s="28"/>
      <c r="K903" s="23"/>
    </row>
    <row r="904" spans="1:11" ht="15.75" customHeight="1">
      <c r="A904" s="22"/>
      <c r="B904" s="22"/>
      <c r="C904" s="23"/>
      <c r="D904" s="24"/>
      <c r="E904" s="25"/>
      <c r="F904" s="23"/>
      <c r="G904" s="26"/>
      <c r="H904" s="27"/>
      <c r="J904" s="28"/>
      <c r="K904" s="23"/>
    </row>
    <row r="905" spans="1:11" ht="15.75" customHeight="1">
      <c r="A905" s="22"/>
      <c r="B905" s="22"/>
      <c r="C905" s="23"/>
      <c r="D905" s="24"/>
      <c r="E905" s="25"/>
      <c r="F905" s="23"/>
      <c r="G905" s="26"/>
      <c r="H905" s="27"/>
      <c r="J905" s="28"/>
      <c r="K905" s="23"/>
    </row>
    <row r="906" spans="1:11" ht="15.75" customHeight="1">
      <c r="A906" s="22"/>
      <c r="B906" s="22"/>
      <c r="C906" s="23"/>
      <c r="D906" s="24"/>
      <c r="E906" s="25"/>
      <c r="F906" s="23"/>
      <c r="G906" s="26"/>
      <c r="H906" s="27"/>
      <c r="J906" s="28"/>
      <c r="K906" s="23"/>
    </row>
    <row r="907" spans="1:11" ht="15.75" customHeight="1">
      <c r="A907" s="22"/>
      <c r="B907" s="22"/>
      <c r="C907" s="23"/>
      <c r="D907" s="24"/>
      <c r="E907" s="25"/>
      <c r="F907" s="23"/>
      <c r="G907" s="26"/>
      <c r="H907" s="27"/>
      <c r="J907" s="28"/>
      <c r="K907" s="23"/>
    </row>
    <row r="908" spans="1:11" ht="15.75" customHeight="1">
      <c r="A908" s="22"/>
      <c r="B908" s="22"/>
      <c r="C908" s="23"/>
      <c r="D908" s="24"/>
      <c r="E908" s="25"/>
      <c r="F908" s="23"/>
      <c r="G908" s="26"/>
      <c r="H908" s="27"/>
      <c r="J908" s="28"/>
      <c r="K908" s="23"/>
    </row>
    <row r="909" spans="1:11" ht="15.75" customHeight="1">
      <c r="A909" s="22"/>
      <c r="B909" s="22"/>
      <c r="C909" s="23"/>
      <c r="D909" s="24"/>
      <c r="E909" s="25"/>
      <c r="F909" s="23"/>
      <c r="G909" s="26"/>
      <c r="H909" s="27"/>
      <c r="J909" s="28"/>
      <c r="K909" s="23"/>
    </row>
    <row r="910" spans="1:11" ht="15.75" customHeight="1">
      <c r="A910" s="22"/>
      <c r="B910" s="22"/>
      <c r="C910" s="23"/>
      <c r="D910" s="24"/>
      <c r="E910" s="25"/>
      <c r="F910" s="23"/>
      <c r="G910" s="26"/>
      <c r="H910" s="27"/>
      <c r="J910" s="28"/>
      <c r="K910" s="23"/>
    </row>
    <row r="911" spans="1:11" ht="15.75" customHeight="1">
      <c r="A911" s="22"/>
      <c r="B911" s="22"/>
      <c r="C911" s="23"/>
      <c r="D911" s="24"/>
      <c r="E911" s="25"/>
      <c r="F911" s="23"/>
      <c r="G911" s="26"/>
      <c r="H911" s="27"/>
      <c r="J911" s="28"/>
      <c r="K911" s="23"/>
    </row>
    <row r="912" spans="1:11" ht="15.75" customHeight="1">
      <c r="A912" s="22"/>
      <c r="B912" s="22"/>
      <c r="C912" s="23"/>
      <c r="D912" s="24"/>
      <c r="E912" s="25"/>
      <c r="F912" s="23"/>
      <c r="G912" s="26"/>
      <c r="H912" s="27"/>
      <c r="J912" s="28"/>
      <c r="K912" s="23"/>
    </row>
    <row r="913" spans="1:11" ht="15.75" customHeight="1">
      <c r="A913" s="22"/>
      <c r="B913" s="22"/>
      <c r="C913" s="23"/>
      <c r="D913" s="24"/>
      <c r="E913" s="25"/>
      <c r="F913" s="23"/>
      <c r="G913" s="26"/>
      <c r="H913" s="27"/>
      <c r="J913" s="28"/>
      <c r="K913" s="23"/>
    </row>
    <row r="914" spans="1:11" ht="15.75" customHeight="1">
      <c r="A914" s="22"/>
      <c r="B914" s="22"/>
      <c r="C914" s="23"/>
      <c r="D914" s="24"/>
      <c r="E914" s="25"/>
      <c r="F914" s="23"/>
      <c r="G914" s="26"/>
      <c r="H914" s="27"/>
      <c r="J914" s="28"/>
      <c r="K914" s="23"/>
    </row>
    <row r="915" spans="1:11" ht="15.75" customHeight="1">
      <c r="A915" s="22"/>
      <c r="B915" s="22"/>
      <c r="C915" s="23"/>
      <c r="D915" s="24"/>
      <c r="E915" s="25"/>
      <c r="F915" s="23"/>
      <c r="G915" s="26"/>
      <c r="H915" s="27"/>
      <c r="J915" s="28"/>
      <c r="K915" s="23"/>
    </row>
    <row r="916" spans="1:11" ht="15.75" customHeight="1">
      <c r="A916" s="22"/>
      <c r="B916" s="22"/>
      <c r="C916" s="23"/>
      <c r="D916" s="24"/>
      <c r="E916" s="25"/>
      <c r="F916" s="23"/>
      <c r="G916" s="26"/>
      <c r="H916" s="27"/>
      <c r="J916" s="28"/>
      <c r="K916" s="23"/>
    </row>
    <row r="917" spans="1:11" ht="15.75" customHeight="1">
      <c r="A917" s="22"/>
      <c r="B917" s="22"/>
      <c r="C917" s="23"/>
      <c r="D917" s="24"/>
      <c r="E917" s="25"/>
      <c r="F917" s="23"/>
      <c r="G917" s="26"/>
      <c r="H917" s="27"/>
      <c r="J917" s="28"/>
      <c r="K917" s="23"/>
    </row>
    <row r="918" spans="1:11" ht="15.75" customHeight="1">
      <c r="A918" s="22"/>
      <c r="B918" s="22"/>
      <c r="C918" s="23"/>
      <c r="D918" s="24"/>
      <c r="E918" s="25"/>
      <c r="F918" s="23"/>
      <c r="G918" s="26"/>
      <c r="H918" s="27"/>
      <c r="J918" s="28"/>
      <c r="K918" s="23"/>
    </row>
    <row r="919" spans="1:11" ht="15.75" customHeight="1">
      <c r="A919" s="22"/>
      <c r="B919" s="22"/>
      <c r="C919" s="23"/>
      <c r="D919" s="24"/>
      <c r="E919" s="25"/>
      <c r="F919" s="23"/>
      <c r="G919" s="26"/>
      <c r="H919" s="27"/>
      <c r="J919" s="28"/>
      <c r="K919" s="23"/>
    </row>
    <row r="920" spans="1:11" ht="15.75" customHeight="1">
      <c r="A920" s="22"/>
      <c r="B920" s="22"/>
      <c r="C920" s="23"/>
      <c r="D920" s="24"/>
      <c r="E920" s="25"/>
      <c r="F920" s="23"/>
      <c r="G920" s="26"/>
      <c r="H920" s="27"/>
      <c r="J920" s="28"/>
      <c r="K920" s="23"/>
    </row>
    <row r="921" spans="1:11" ht="15.75" customHeight="1">
      <c r="A921" s="22"/>
      <c r="B921" s="22"/>
      <c r="C921" s="23"/>
      <c r="D921" s="24"/>
      <c r="E921" s="25"/>
      <c r="F921" s="23"/>
      <c r="G921" s="26"/>
      <c r="H921" s="27"/>
      <c r="J921" s="28"/>
      <c r="K921" s="23"/>
    </row>
    <row r="922" spans="1:11" ht="15.75" customHeight="1">
      <c r="A922" s="22"/>
      <c r="B922" s="22"/>
      <c r="C922" s="23"/>
      <c r="D922" s="24"/>
      <c r="E922" s="25"/>
      <c r="F922" s="23"/>
      <c r="G922" s="26"/>
      <c r="H922" s="27"/>
      <c r="J922" s="28"/>
      <c r="K922" s="23"/>
    </row>
    <row r="923" spans="1:11" ht="15.75" customHeight="1">
      <c r="A923" s="22"/>
      <c r="B923" s="22"/>
      <c r="C923" s="23"/>
      <c r="D923" s="24"/>
      <c r="E923" s="25"/>
      <c r="F923" s="23"/>
      <c r="G923" s="26"/>
      <c r="H923" s="27"/>
      <c r="J923" s="28"/>
      <c r="K923" s="23"/>
    </row>
    <row r="924" spans="1:11" ht="15.75" customHeight="1">
      <c r="A924" s="22"/>
      <c r="B924" s="22"/>
      <c r="C924" s="23"/>
      <c r="D924" s="24"/>
      <c r="E924" s="25"/>
      <c r="F924" s="23"/>
      <c r="G924" s="26"/>
      <c r="H924" s="27"/>
      <c r="J924" s="28"/>
      <c r="K924" s="23"/>
    </row>
    <row r="925" spans="1:11" ht="15.75" customHeight="1">
      <c r="A925" s="22"/>
      <c r="B925" s="22"/>
      <c r="C925" s="23"/>
      <c r="D925" s="24"/>
      <c r="E925" s="25"/>
      <c r="F925" s="23"/>
      <c r="G925" s="26"/>
      <c r="H925" s="27"/>
      <c r="J925" s="28"/>
      <c r="K925" s="23"/>
    </row>
    <row r="926" spans="1:11" ht="15.75" customHeight="1">
      <c r="A926" s="22"/>
      <c r="B926" s="22"/>
      <c r="C926" s="23"/>
      <c r="D926" s="24"/>
      <c r="E926" s="25"/>
      <c r="F926" s="23"/>
      <c r="G926" s="26"/>
      <c r="H926" s="27"/>
      <c r="J926" s="28"/>
      <c r="K926" s="23"/>
    </row>
    <row r="927" spans="1:11" ht="15.75" customHeight="1">
      <c r="A927" s="22"/>
      <c r="B927" s="22"/>
      <c r="C927" s="23"/>
      <c r="D927" s="24"/>
      <c r="E927" s="25"/>
      <c r="F927" s="23"/>
      <c r="G927" s="26"/>
      <c r="H927" s="27"/>
      <c r="J927" s="28"/>
      <c r="K927" s="23"/>
    </row>
    <row r="928" spans="1:11" ht="15.75" customHeight="1">
      <c r="A928" s="22"/>
      <c r="B928" s="22"/>
      <c r="C928" s="23"/>
      <c r="D928" s="24"/>
      <c r="E928" s="25"/>
      <c r="F928" s="23"/>
      <c r="G928" s="26"/>
      <c r="H928" s="27"/>
      <c r="J928" s="28"/>
      <c r="K928" s="23"/>
    </row>
    <row r="929" spans="1:11" ht="15.75" customHeight="1">
      <c r="A929" s="22"/>
      <c r="B929" s="22"/>
      <c r="C929" s="23"/>
      <c r="D929" s="24"/>
      <c r="E929" s="25"/>
      <c r="F929" s="23"/>
      <c r="G929" s="26"/>
      <c r="H929" s="27"/>
      <c r="J929" s="28"/>
      <c r="K929" s="23"/>
    </row>
    <row r="930" spans="1:11" ht="15.75" customHeight="1">
      <c r="A930" s="22"/>
      <c r="B930" s="22"/>
      <c r="C930" s="23"/>
      <c r="D930" s="24"/>
      <c r="E930" s="25"/>
      <c r="F930" s="23"/>
      <c r="G930" s="26"/>
      <c r="H930" s="27"/>
      <c r="J930" s="28"/>
      <c r="K930" s="23"/>
    </row>
    <row r="931" spans="1:11" ht="15.75" customHeight="1">
      <c r="A931" s="22"/>
      <c r="B931" s="22"/>
      <c r="C931" s="23"/>
      <c r="D931" s="24"/>
      <c r="E931" s="25"/>
      <c r="F931" s="23"/>
      <c r="G931" s="26"/>
      <c r="H931" s="27"/>
      <c r="J931" s="28"/>
      <c r="K931" s="23"/>
    </row>
    <row r="932" spans="1:11" ht="15.75" customHeight="1">
      <c r="A932" s="22"/>
      <c r="B932" s="22"/>
      <c r="C932" s="23"/>
      <c r="D932" s="24"/>
      <c r="E932" s="25"/>
      <c r="F932" s="23"/>
      <c r="G932" s="26"/>
      <c r="H932" s="27"/>
      <c r="J932" s="28"/>
      <c r="K932" s="23"/>
    </row>
    <row r="933" spans="1:11" ht="15.75" customHeight="1">
      <c r="A933" s="22"/>
      <c r="B933" s="22"/>
      <c r="C933" s="23"/>
      <c r="D933" s="24"/>
      <c r="E933" s="25"/>
      <c r="F933" s="23"/>
      <c r="G933" s="26"/>
      <c r="H933" s="27"/>
      <c r="J933" s="28"/>
      <c r="K933" s="23"/>
    </row>
    <row r="934" spans="1:11" ht="15.75" customHeight="1">
      <c r="A934" s="22"/>
      <c r="B934" s="22"/>
      <c r="C934" s="23"/>
      <c r="D934" s="24"/>
      <c r="E934" s="25"/>
      <c r="F934" s="23"/>
      <c r="G934" s="26"/>
      <c r="H934" s="27"/>
      <c r="J934" s="28"/>
      <c r="K934" s="23"/>
    </row>
    <row r="935" spans="1:11" ht="15.75" customHeight="1">
      <c r="A935" s="22"/>
      <c r="B935" s="22"/>
      <c r="C935" s="23"/>
      <c r="D935" s="24"/>
      <c r="E935" s="25"/>
      <c r="F935" s="23"/>
      <c r="G935" s="26"/>
      <c r="H935" s="27"/>
      <c r="J935" s="28"/>
      <c r="K935" s="23"/>
    </row>
    <row r="936" spans="1:11" ht="15.75" customHeight="1">
      <c r="A936" s="22"/>
      <c r="B936" s="22"/>
      <c r="C936" s="23"/>
      <c r="D936" s="24"/>
      <c r="E936" s="25"/>
      <c r="F936" s="23"/>
      <c r="G936" s="26"/>
      <c r="H936" s="27"/>
      <c r="J936" s="28"/>
      <c r="K936" s="23"/>
    </row>
    <row r="937" spans="1:11" ht="15.75" customHeight="1">
      <c r="A937" s="22"/>
      <c r="B937" s="22"/>
      <c r="C937" s="23"/>
      <c r="D937" s="24"/>
      <c r="E937" s="25"/>
      <c r="F937" s="23"/>
      <c r="G937" s="26"/>
      <c r="H937" s="27"/>
      <c r="J937" s="28"/>
      <c r="K937" s="23"/>
    </row>
    <row r="938" spans="1:11" ht="15.75" customHeight="1">
      <c r="A938" s="22"/>
      <c r="B938" s="22"/>
      <c r="C938" s="23"/>
      <c r="D938" s="24"/>
      <c r="E938" s="25"/>
      <c r="F938" s="23"/>
      <c r="G938" s="26"/>
      <c r="H938" s="27"/>
      <c r="J938" s="28"/>
      <c r="K938" s="23"/>
    </row>
    <row r="939" spans="1:11" ht="15.75" customHeight="1">
      <c r="A939" s="22"/>
      <c r="B939" s="22"/>
      <c r="C939" s="23"/>
      <c r="D939" s="24"/>
      <c r="E939" s="25"/>
      <c r="F939" s="23"/>
      <c r="G939" s="26"/>
      <c r="H939" s="27"/>
      <c r="J939" s="28"/>
      <c r="K939" s="23"/>
    </row>
    <row r="940" spans="1:11" ht="15.75" customHeight="1">
      <c r="A940" s="22"/>
      <c r="B940" s="22"/>
      <c r="C940" s="23"/>
      <c r="D940" s="24"/>
      <c r="E940" s="25"/>
      <c r="F940" s="23"/>
      <c r="G940" s="26"/>
      <c r="H940" s="27"/>
      <c r="J940" s="28"/>
      <c r="K940" s="23"/>
    </row>
    <row r="941" spans="1:11" ht="15.75" customHeight="1">
      <c r="A941" s="22"/>
      <c r="B941" s="22"/>
      <c r="C941" s="23"/>
      <c r="D941" s="24"/>
      <c r="E941" s="25"/>
      <c r="F941" s="23"/>
      <c r="G941" s="26"/>
      <c r="H941" s="27"/>
      <c r="J941" s="28"/>
      <c r="K941" s="23"/>
    </row>
    <row r="942" spans="1:11" ht="15.75" customHeight="1">
      <c r="A942" s="22"/>
      <c r="B942" s="22"/>
      <c r="C942" s="23"/>
      <c r="D942" s="24"/>
      <c r="E942" s="25"/>
      <c r="F942" s="23"/>
      <c r="G942" s="26"/>
      <c r="H942" s="27"/>
      <c r="J942" s="28"/>
      <c r="K942" s="23"/>
    </row>
    <row r="943" spans="1:11" ht="15.75" customHeight="1">
      <c r="A943" s="22"/>
      <c r="B943" s="22"/>
      <c r="C943" s="23"/>
      <c r="D943" s="24"/>
      <c r="E943" s="25"/>
      <c r="F943" s="23"/>
      <c r="G943" s="26"/>
      <c r="H943" s="27"/>
      <c r="J943" s="28"/>
      <c r="K943" s="23"/>
    </row>
    <row r="944" spans="1:11" ht="15.75" customHeight="1">
      <c r="A944" s="22"/>
      <c r="B944" s="22"/>
      <c r="C944" s="23"/>
      <c r="D944" s="24"/>
      <c r="E944" s="25"/>
      <c r="F944" s="23"/>
      <c r="G944" s="26"/>
      <c r="H944" s="27"/>
      <c r="J944" s="28"/>
      <c r="K944" s="23"/>
    </row>
    <row r="945" spans="1:11" ht="15.75" customHeight="1">
      <c r="A945" s="22"/>
      <c r="B945" s="22"/>
      <c r="C945" s="23"/>
      <c r="D945" s="24"/>
      <c r="E945" s="25"/>
      <c r="F945" s="23"/>
      <c r="G945" s="26"/>
      <c r="H945" s="27"/>
      <c r="J945" s="28"/>
      <c r="K945" s="23"/>
    </row>
    <row r="946" spans="1:11" ht="15.75" customHeight="1">
      <c r="A946" s="22"/>
      <c r="B946" s="22"/>
      <c r="C946" s="23"/>
      <c r="D946" s="24"/>
      <c r="E946" s="25"/>
      <c r="F946" s="23"/>
      <c r="G946" s="26"/>
      <c r="H946" s="27"/>
      <c r="J946" s="28"/>
      <c r="K946" s="23"/>
    </row>
    <row r="947" spans="1:11" ht="15.75" customHeight="1">
      <c r="A947" s="22"/>
      <c r="B947" s="22"/>
      <c r="C947" s="23"/>
      <c r="D947" s="24"/>
      <c r="E947" s="25"/>
      <c r="F947" s="23"/>
      <c r="G947" s="26"/>
      <c r="H947" s="27"/>
      <c r="J947" s="28"/>
      <c r="K947" s="23"/>
    </row>
    <row r="948" spans="1:11" ht="15.75" customHeight="1">
      <c r="A948" s="22"/>
      <c r="B948" s="22"/>
      <c r="C948" s="23"/>
      <c r="D948" s="24"/>
      <c r="E948" s="25"/>
      <c r="F948" s="23"/>
      <c r="G948" s="26"/>
      <c r="H948" s="27"/>
      <c r="J948" s="28"/>
      <c r="K948" s="23"/>
    </row>
    <row r="949" spans="1:11" ht="15.75" customHeight="1">
      <c r="A949" s="22"/>
      <c r="B949" s="22"/>
      <c r="C949" s="23"/>
      <c r="D949" s="24"/>
      <c r="E949" s="25"/>
      <c r="F949" s="23"/>
      <c r="G949" s="26"/>
      <c r="H949" s="27"/>
      <c r="J949" s="28"/>
      <c r="K949" s="23"/>
    </row>
    <row r="950" spans="1:11" ht="15.75" customHeight="1">
      <c r="A950" s="22"/>
      <c r="B950" s="22"/>
      <c r="C950" s="23"/>
      <c r="D950" s="24"/>
      <c r="E950" s="25"/>
      <c r="F950" s="23"/>
      <c r="G950" s="26"/>
      <c r="H950" s="27"/>
      <c r="J950" s="28"/>
      <c r="K950" s="23"/>
    </row>
    <row r="951" spans="1:11" ht="15.75" customHeight="1">
      <c r="A951" s="22"/>
      <c r="B951" s="22"/>
      <c r="C951" s="23"/>
      <c r="D951" s="24"/>
      <c r="E951" s="25"/>
      <c r="F951" s="23"/>
      <c r="G951" s="26"/>
      <c r="H951" s="27"/>
      <c r="J951" s="28"/>
      <c r="K951" s="23"/>
    </row>
    <row r="952" spans="1:11" ht="15.75" customHeight="1">
      <c r="A952" s="22"/>
      <c r="B952" s="22"/>
      <c r="C952" s="23"/>
      <c r="D952" s="24"/>
      <c r="E952" s="25"/>
      <c r="F952" s="23"/>
      <c r="G952" s="26"/>
      <c r="H952" s="27"/>
      <c r="J952" s="28"/>
      <c r="K952" s="23"/>
    </row>
    <row r="953" spans="1:11" ht="15.75" customHeight="1">
      <c r="A953" s="22"/>
      <c r="B953" s="22"/>
      <c r="C953" s="23"/>
      <c r="D953" s="24"/>
      <c r="E953" s="25"/>
      <c r="F953" s="23"/>
      <c r="G953" s="26"/>
      <c r="H953" s="27"/>
      <c r="J953" s="28"/>
      <c r="K953" s="23"/>
    </row>
    <row r="954" spans="1:11" ht="15.75" customHeight="1">
      <c r="A954" s="22"/>
      <c r="B954" s="22"/>
      <c r="C954" s="23"/>
      <c r="D954" s="24"/>
      <c r="E954" s="25"/>
      <c r="F954" s="23"/>
      <c r="G954" s="26"/>
      <c r="H954" s="27"/>
      <c r="J954" s="28"/>
      <c r="K954" s="23"/>
    </row>
    <row r="955" spans="1:11" ht="15.75" customHeight="1">
      <c r="A955" s="22"/>
      <c r="B955" s="22"/>
      <c r="C955" s="23"/>
      <c r="D955" s="24"/>
      <c r="E955" s="25"/>
      <c r="F955" s="23"/>
      <c r="G955" s="26"/>
      <c r="H955" s="27"/>
      <c r="J955" s="28"/>
      <c r="K955" s="23"/>
    </row>
    <row r="956" spans="1:11" ht="15.75" customHeight="1">
      <c r="A956" s="22"/>
      <c r="B956" s="22"/>
      <c r="C956" s="23"/>
      <c r="D956" s="24"/>
      <c r="E956" s="25"/>
      <c r="F956" s="23"/>
      <c r="G956" s="26"/>
      <c r="H956" s="27"/>
      <c r="J956" s="28"/>
      <c r="K956" s="23"/>
    </row>
    <row r="957" spans="1:11" ht="15.75" customHeight="1">
      <c r="A957" s="22"/>
      <c r="B957" s="22"/>
      <c r="C957" s="23"/>
      <c r="D957" s="24"/>
      <c r="E957" s="25"/>
      <c r="F957" s="23"/>
      <c r="G957" s="26"/>
      <c r="H957" s="27"/>
      <c r="J957" s="28"/>
      <c r="K957" s="23"/>
    </row>
    <row r="958" spans="1:11" ht="15.75" customHeight="1">
      <c r="A958" s="22"/>
      <c r="B958" s="22"/>
      <c r="C958" s="23"/>
      <c r="D958" s="24"/>
      <c r="E958" s="25"/>
      <c r="F958" s="23"/>
      <c r="G958" s="26"/>
      <c r="H958" s="27"/>
      <c r="J958" s="28"/>
      <c r="K958" s="23"/>
    </row>
    <row r="959" spans="1:11" ht="15.75" customHeight="1">
      <c r="A959" s="22"/>
      <c r="B959" s="22"/>
      <c r="C959" s="23"/>
      <c r="D959" s="24"/>
      <c r="E959" s="25"/>
      <c r="F959" s="23"/>
      <c r="G959" s="26"/>
      <c r="H959" s="27"/>
      <c r="J959" s="28"/>
      <c r="K959" s="23"/>
    </row>
    <row r="960" spans="1:11" ht="15.75" customHeight="1">
      <c r="A960" s="22"/>
      <c r="B960" s="22"/>
      <c r="C960" s="23"/>
      <c r="D960" s="24"/>
      <c r="E960" s="25"/>
      <c r="F960" s="23"/>
      <c r="G960" s="26"/>
      <c r="H960" s="27"/>
      <c r="J960" s="28"/>
      <c r="K960" s="23"/>
    </row>
    <row r="961" spans="1:11" ht="15.75" customHeight="1">
      <c r="A961" s="22"/>
      <c r="B961" s="22"/>
      <c r="C961" s="23"/>
      <c r="D961" s="24"/>
      <c r="E961" s="25"/>
      <c r="F961" s="23"/>
      <c r="G961" s="26"/>
      <c r="H961" s="27"/>
      <c r="J961" s="28"/>
      <c r="K961" s="23"/>
    </row>
    <row r="962" spans="1:11" ht="15.75" customHeight="1">
      <c r="A962" s="22"/>
      <c r="B962" s="22"/>
      <c r="C962" s="23"/>
      <c r="D962" s="24"/>
      <c r="E962" s="25"/>
      <c r="F962" s="23"/>
      <c r="G962" s="26"/>
      <c r="H962" s="27"/>
      <c r="J962" s="28"/>
      <c r="K962" s="23"/>
    </row>
    <row r="963" spans="1:11" ht="15.75" customHeight="1">
      <c r="A963" s="22"/>
      <c r="B963" s="22"/>
      <c r="C963" s="23"/>
      <c r="D963" s="24"/>
      <c r="E963" s="25"/>
      <c r="F963" s="23"/>
      <c r="G963" s="26"/>
      <c r="H963" s="27"/>
      <c r="J963" s="28"/>
      <c r="K963" s="23"/>
    </row>
    <row r="964" spans="1:11" ht="15.75" customHeight="1">
      <c r="A964" s="22"/>
      <c r="B964" s="22"/>
      <c r="C964" s="23"/>
      <c r="D964" s="24"/>
      <c r="E964" s="25"/>
      <c r="F964" s="23"/>
      <c r="G964" s="26"/>
      <c r="H964" s="27"/>
      <c r="J964" s="28"/>
      <c r="K964" s="23"/>
    </row>
    <row r="965" spans="1:11" ht="15.75" customHeight="1">
      <c r="A965" s="22"/>
      <c r="B965" s="22"/>
      <c r="C965" s="23"/>
      <c r="D965" s="24"/>
      <c r="E965" s="25"/>
      <c r="F965" s="23"/>
      <c r="G965" s="26"/>
      <c r="H965" s="27"/>
      <c r="J965" s="28"/>
      <c r="K965" s="23"/>
    </row>
    <row r="966" spans="1:11" ht="15.75" customHeight="1">
      <c r="A966" s="22"/>
      <c r="B966" s="22"/>
      <c r="C966" s="23"/>
      <c r="D966" s="24"/>
      <c r="E966" s="25"/>
      <c r="F966" s="23"/>
      <c r="G966" s="26"/>
      <c r="H966" s="27"/>
      <c r="J966" s="28"/>
      <c r="K966" s="23"/>
    </row>
    <row r="967" spans="1:11" ht="15.75" customHeight="1">
      <c r="A967" s="22"/>
      <c r="B967" s="22"/>
      <c r="C967" s="23"/>
      <c r="D967" s="24"/>
      <c r="E967" s="25"/>
      <c r="F967" s="23"/>
      <c r="G967" s="26"/>
      <c r="H967" s="27"/>
      <c r="J967" s="28"/>
      <c r="K967" s="23"/>
    </row>
    <row r="968" spans="1:11" ht="15.75" customHeight="1">
      <c r="A968" s="22"/>
      <c r="B968" s="22"/>
      <c r="C968" s="23"/>
      <c r="D968" s="24"/>
      <c r="E968" s="25"/>
      <c r="F968" s="23"/>
      <c r="G968" s="26"/>
      <c r="H968" s="27"/>
      <c r="J968" s="28"/>
      <c r="K968" s="23"/>
    </row>
    <row r="969" spans="1:11" ht="15.75" customHeight="1">
      <c r="A969" s="22"/>
      <c r="B969" s="22"/>
      <c r="C969" s="23"/>
      <c r="D969" s="24"/>
      <c r="E969" s="25"/>
      <c r="F969" s="23"/>
      <c r="G969" s="26"/>
      <c r="H969" s="27"/>
      <c r="J969" s="28"/>
      <c r="K969" s="23"/>
    </row>
    <row r="970" spans="1:11" ht="15.75" customHeight="1">
      <c r="A970" s="22"/>
      <c r="B970" s="22"/>
      <c r="C970" s="23"/>
      <c r="D970" s="24"/>
      <c r="E970" s="25"/>
      <c r="F970" s="23"/>
      <c r="G970" s="26"/>
      <c r="H970" s="27"/>
      <c r="J970" s="28"/>
      <c r="K970" s="23"/>
    </row>
    <row r="971" spans="1:11" ht="15.75" customHeight="1">
      <c r="A971" s="22"/>
      <c r="B971" s="22"/>
      <c r="C971" s="23"/>
      <c r="D971" s="24"/>
      <c r="E971" s="25"/>
      <c r="F971" s="23"/>
      <c r="G971" s="26"/>
      <c r="H971" s="27"/>
      <c r="J971" s="28"/>
      <c r="K971" s="23"/>
    </row>
    <row r="972" spans="1:11" ht="15.75" customHeight="1">
      <c r="A972" s="22"/>
      <c r="B972" s="22"/>
      <c r="C972" s="23"/>
      <c r="D972" s="24"/>
      <c r="E972" s="25"/>
      <c r="F972" s="23"/>
      <c r="G972" s="26"/>
      <c r="H972" s="27"/>
      <c r="J972" s="28"/>
      <c r="K972" s="23"/>
    </row>
    <row r="973" spans="1:11" ht="15.75" customHeight="1">
      <c r="A973" s="22"/>
      <c r="B973" s="22"/>
      <c r="C973" s="23"/>
      <c r="D973" s="24"/>
      <c r="E973" s="25"/>
      <c r="F973" s="23"/>
      <c r="G973" s="26"/>
      <c r="H973" s="27"/>
      <c r="J973" s="28"/>
      <c r="K973" s="23"/>
    </row>
    <row r="974" spans="1:11" ht="15.75" customHeight="1">
      <c r="A974" s="22"/>
      <c r="B974" s="22"/>
      <c r="C974" s="23"/>
      <c r="D974" s="24"/>
      <c r="E974" s="25"/>
      <c r="F974" s="23"/>
      <c r="G974" s="26"/>
      <c r="H974" s="27"/>
      <c r="J974" s="28"/>
      <c r="K974" s="23"/>
    </row>
    <row r="975" spans="1:11" ht="15.75" customHeight="1">
      <c r="A975" s="22"/>
      <c r="B975" s="22"/>
      <c r="C975" s="23"/>
      <c r="D975" s="24"/>
      <c r="E975" s="25"/>
      <c r="F975" s="23"/>
      <c r="G975" s="26"/>
      <c r="H975" s="27"/>
      <c r="J975" s="28"/>
      <c r="K975" s="23"/>
    </row>
    <row r="976" spans="1:11" ht="15.75" customHeight="1">
      <c r="A976" s="22"/>
      <c r="B976" s="22"/>
      <c r="C976" s="23"/>
      <c r="D976" s="24"/>
      <c r="E976" s="25"/>
      <c r="F976" s="23"/>
      <c r="G976" s="26"/>
      <c r="H976" s="27"/>
      <c r="J976" s="28"/>
      <c r="K976" s="23"/>
    </row>
    <row r="977" spans="1:11" ht="15.75" customHeight="1">
      <c r="A977" s="22"/>
      <c r="B977" s="22"/>
      <c r="C977" s="23"/>
      <c r="D977" s="24"/>
      <c r="E977" s="25"/>
      <c r="F977" s="23"/>
      <c r="G977" s="26"/>
      <c r="H977" s="27"/>
      <c r="J977" s="28"/>
      <c r="K977" s="23"/>
    </row>
    <row r="978" spans="1:11" ht="15.75" customHeight="1">
      <c r="A978" s="22"/>
      <c r="B978" s="22"/>
      <c r="C978" s="23"/>
      <c r="D978" s="24"/>
      <c r="E978" s="25"/>
      <c r="F978" s="23"/>
      <c r="G978" s="26"/>
      <c r="H978" s="27"/>
      <c r="J978" s="28"/>
      <c r="K978" s="23"/>
    </row>
    <row r="979" spans="1:11" ht="15.75" customHeight="1">
      <c r="A979" s="22"/>
      <c r="B979" s="22"/>
      <c r="C979" s="23"/>
      <c r="D979" s="24"/>
      <c r="E979" s="25"/>
      <c r="F979" s="23"/>
      <c r="G979" s="26"/>
      <c r="H979" s="27"/>
      <c r="J979" s="28"/>
      <c r="K979" s="23"/>
    </row>
    <row r="980" spans="1:11" ht="15.75" customHeight="1">
      <c r="A980" s="22"/>
      <c r="B980" s="22"/>
      <c r="C980" s="23"/>
      <c r="D980" s="24"/>
      <c r="E980" s="25"/>
      <c r="F980" s="23"/>
      <c r="G980" s="26"/>
      <c r="H980" s="27"/>
      <c r="J980" s="28"/>
      <c r="K980" s="23"/>
    </row>
    <row r="981" spans="1:11" ht="15.75" customHeight="1">
      <c r="A981" s="22"/>
      <c r="B981" s="22"/>
      <c r="C981" s="23"/>
      <c r="D981" s="24"/>
      <c r="E981" s="25"/>
      <c r="F981" s="23"/>
      <c r="G981" s="26"/>
      <c r="H981" s="27"/>
      <c r="J981" s="28"/>
      <c r="K981" s="23"/>
    </row>
    <row r="982" spans="1:11" ht="15.75" customHeight="1">
      <c r="A982" s="22"/>
      <c r="B982" s="22"/>
      <c r="C982" s="23"/>
      <c r="D982" s="24"/>
      <c r="E982" s="25"/>
      <c r="F982" s="23"/>
      <c r="G982" s="26"/>
      <c r="H982" s="27"/>
      <c r="J982" s="28"/>
      <c r="K982" s="23"/>
    </row>
    <row r="983" spans="1:11" ht="15.75" customHeight="1">
      <c r="A983" s="22"/>
      <c r="B983" s="22"/>
      <c r="C983" s="23"/>
      <c r="D983" s="24"/>
      <c r="E983" s="25"/>
      <c r="F983" s="23"/>
      <c r="G983" s="26"/>
      <c r="H983" s="27"/>
      <c r="J983" s="28"/>
      <c r="K983" s="23"/>
    </row>
    <row r="984" spans="1:11" ht="15.75" customHeight="1">
      <c r="A984" s="22"/>
      <c r="B984" s="22"/>
      <c r="C984" s="23"/>
      <c r="D984" s="24"/>
      <c r="E984" s="25"/>
      <c r="F984" s="23"/>
      <c r="G984" s="26"/>
      <c r="H984" s="27"/>
      <c r="J984" s="28"/>
      <c r="K984" s="23"/>
    </row>
    <row r="985" spans="1:11" ht="15.75" customHeight="1">
      <c r="A985" s="22"/>
      <c r="B985" s="22"/>
      <c r="C985" s="23"/>
      <c r="D985" s="24"/>
      <c r="E985" s="25"/>
      <c r="F985" s="23"/>
      <c r="G985" s="26"/>
      <c r="H985" s="27"/>
      <c r="J985" s="28"/>
      <c r="K985" s="23"/>
    </row>
    <row r="986" spans="1:11" ht="15.75" customHeight="1">
      <c r="A986" s="22"/>
      <c r="B986" s="22"/>
      <c r="C986" s="23"/>
      <c r="D986" s="24"/>
      <c r="E986" s="25"/>
      <c r="F986" s="23"/>
      <c r="G986" s="26"/>
      <c r="H986" s="27"/>
      <c r="J986" s="28"/>
      <c r="K986" s="23"/>
    </row>
    <row r="987" spans="1:11" ht="15.75" customHeight="1">
      <c r="A987" s="22"/>
      <c r="B987" s="22"/>
      <c r="C987" s="23"/>
      <c r="D987" s="24"/>
      <c r="E987" s="25"/>
      <c r="F987" s="23"/>
      <c r="G987" s="26"/>
      <c r="H987" s="27"/>
      <c r="J987" s="28"/>
      <c r="K987" s="23"/>
    </row>
    <row r="988" spans="1:11" ht="15.75" customHeight="1">
      <c r="A988" s="22"/>
      <c r="B988" s="22"/>
      <c r="C988" s="23"/>
      <c r="D988" s="24"/>
      <c r="E988" s="25"/>
      <c r="F988" s="23"/>
      <c r="G988" s="26"/>
      <c r="H988" s="27"/>
      <c r="J988" s="28"/>
      <c r="K988" s="23"/>
    </row>
    <row r="989" spans="1:11" ht="15.75" customHeight="1">
      <c r="A989" s="22"/>
      <c r="B989" s="22"/>
      <c r="C989" s="23"/>
      <c r="D989" s="24"/>
      <c r="E989" s="25"/>
      <c r="F989" s="23"/>
      <c r="G989" s="26"/>
      <c r="H989" s="27"/>
      <c r="J989" s="28"/>
      <c r="K989" s="23"/>
    </row>
    <row r="990" spans="1:11" ht="15.75" customHeight="1">
      <c r="A990" s="22"/>
      <c r="B990" s="22"/>
      <c r="C990" s="23"/>
      <c r="D990" s="24"/>
      <c r="E990" s="25"/>
      <c r="F990" s="23"/>
      <c r="G990" s="26"/>
      <c r="H990" s="27"/>
      <c r="J990" s="28"/>
      <c r="K990" s="23"/>
    </row>
    <row r="991" spans="1:11" ht="15.75" customHeight="1">
      <c r="A991" s="22"/>
      <c r="B991" s="22"/>
      <c r="C991" s="23"/>
      <c r="D991" s="24"/>
      <c r="E991" s="25"/>
      <c r="F991" s="23"/>
      <c r="G991" s="26"/>
      <c r="H991" s="27"/>
      <c r="J991" s="28"/>
      <c r="K991" s="23"/>
    </row>
    <row r="992" spans="1:11" ht="15.75" customHeight="1">
      <c r="A992" s="22"/>
      <c r="B992" s="22"/>
      <c r="C992" s="23"/>
      <c r="D992" s="24"/>
      <c r="E992" s="25"/>
      <c r="F992" s="23"/>
      <c r="G992" s="26"/>
      <c r="H992" s="27"/>
      <c r="J992" s="28"/>
      <c r="K992" s="23"/>
    </row>
    <row r="993" spans="1:11" ht="15.75" customHeight="1">
      <c r="A993" s="22"/>
      <c r="B993" s="22"/>
      <c r="C993" s="23"/>
      <c r="D993" s="24"/>
      <c r="E993" s="25"/>
      <c r="F993" s="23"/>
      <c r="G993" s="26"/>
      <c r="H993" s="27"/>
      <c r="J993" s="28"/>
      <c r="K993" s="23"/>
    </row>
    <row r="994" spans="1:11" ht="15.75" customHeight="1">
      <c r="A994" s="22"/>
      <c r="B994" s="22"/>
      <c r="C994" s="23"/>
      <c r="D994" s="24"/>
      <c r="E994" s="25"/>
      <c r="F994" s="23"/>
      <c r="G994" s="26"/>
      <c r="H994" s="27"/>
      <c r="J994" s="28"/>
      <c r="K994" s="23"/>
    </row>
    <row r="995" spans="1:11" ht="15.75" customHeight="1">
      <c r="A995" s="22"/>
      <c r="B995" s="22"/>
      <c r="C995" s="23"/>
      <c r="D995" s="24"/>
      <c r="E995" s="25"/>
      <c r="F995" s="23"/>
      <c r="G995" s="26"/>
      <c r="H995" s="27"/>
      <c r="J995" s="28"/>
      <c r="K995" s="23"/>
    </row>
    <row r="996" spans="1:11" ht="15.75" customHeight="1">
      <c r="A996" s="22"/>
      <c r="B996" s="22"/>
      <c r="C996" s="23"/>
      <c r="D996" s="24"/>
      <c r="E996" s="25"/>
      <c r="F996" s="23"/>
      <c r="G996" s="26"/>
      <c r="H996" s="27"/>
      <c r="J996" s="28"/>
      <c r="K996" s="23"/>
    </row>
    <row r="997" spans="1:11" ht="15.75" customHeight="1">
      <c r="A997" s="22"/>
      <c r="B997" s="22"/>
      <c r="C997" s="23"/>
      <c r="D997" s="24"/>
      <c r="E997" s="25"/>
      <c r="F997" s="23"/>
      <c r="G997" s="26"/>
      <c r="H997" s="27"/>
      <c r="J997" s="28"/>
      <c r="K997" s="23"/>
    </row>
    <row r="998" spans="1:11" ht="15.75" customHeight="1">
      <c r="A998" s="22"/>
      <c r="B998" s="22"/>
      <c r="C998" s="23"/>
      <c r="D998" s="24"/>
      <c r="E998" s="25"/>
      <c r="F998" s="23"/>
      <c r="G998" s="26"/>
      <c r="H998" s="27"/>
      <c r="J998" s="28"/>
      <c r="K998" s="23"/>
    </row>
    <row r="999" spans="1:11" ht="15.75" customHeight="1">
      <c r="A999" s="22"/>
      <c r="B999" s="22"/>
      <c r="C999" s="23"/>
      <c r="D999" s="24"/>
      <c r="E999" s="25"/>
      <c r="F999" s="23"/>
      <c r="G999" s="26"/>
      <c r="H999" s="27"/>
      <c r="J999" s="28"/>
      <c r="K999" s="23"/>
    </row>
    <row r="1000" spans="1:11" ht="15.75" customHeight="1">
      <c r="A1000" s="22"/>
      <c r="B1000" s="22"/>
      <c r="C1000" s="23"/>
      <c r="D1000" s="24"/>
      <c r="E1000" s="25"/>
      <c r="F1000" s="23"/>
      <c r="G1000" s="26"/>
      <c r="H1000" s="27"/>
      <c r="J1000" s="28"/>
      <c r="K1000" s="23"/>
    </row>
    <row r="1001" spans="1:11" ht="15.75" customHeight="1">
      <c r="A1001" s="22"/>
      <c r="B1001" s="22"/>
      <c r="C1001" s="23"/>
      <c r="D1001" s="24"/>
      <c r="E1001" s="25"/>
      <c r="F1001" s="23"/>
      <c r="G1001" s="26"/>
      <c r="H1001" s="27"/>
      <c r="J1001" s="28"/>
      <c r="K1001" s="23"/>
    </row>
    <row r="1002" spans="1:11" ht="15.75" customHeight="1">
      <c r="A1002" s="22"/>
      <c r="B1002" s="22"/>
      <c r="C1002" s="23"/>
      <c r="D1002" s="24"/>
      <c r="E1002" s="25"/>
      <c r="F1002" s="23"/>
      <c r="G1002" s="26"/>
      <c r="H1002" s="27"/>
      <c r="J1002" s="28"/>
      <c r="K1002" s="23"/>
    </row>
    <row r="1003" spans="1:11" ht="15.75" customHeight="1">
      <c r="A1003" s="22"/>
      <c r="B1003" s="22"/>
      <c r="C1003" s="23"/>
      <c r="D1003" s="24"/>
      <c r="E1003" s="25"/>
      <c r="F1003" s="23"/>
      <c r="G1003" s="26"/>
      <c r="H1003" s="27"/>
      <c r="J1003" s="28"/>
      <c r="K1003" s="23"/>
    </row>
    <row r="1004" spans="1:11" ht="15.75" customHeight="1">
      <c r="A1004" s="22"/>
      <c r="B1004" s="22"/>
      <c r="C1004" s="23"/>
      <c r="D1004" s="24"/>
      <c r="E1004" s="25"/>
      <c r="F1004" s="23"/>
      <c r="G1004" s="26"/>
      <c r="H1004" s="27"/>
      <c r="J1004" s="28"/>
      <c r="K1004" s="23"/>
    </row>
    <row r="1005" spans="1:11" ht="15.75" customHeight="1">
      <c r="A1005" s="22"/>
      <c r="B1005" s="22"/>
      <c r="C1005" s="23"/>
      <c r="D1005" s="24"/>
      <c r="E1005" s="25"/>
      <c r="F1005" s="23"/>
      <c r="G1005" s="26"/>
      <c r="H1005" s="27"/>
      <c r="J1005" s="28"/>
      <c r="K1005" s="23"/>
    </row>
    <row r="1006" spans="1:11" ht="15.75" customHeight="1">
      <c r="A1006" s="22"/>
      <c r="B1006" s="22"/>
      <c r="C1006" s="23"/>
      <c r="D1006" s="24"/>
      <c r="E1006" s="25"/>
      <c r="F1006" s="23"/>
      <c r="G1006" s="26"/>
      <c r="H1006" s="27"/>
      <c r="J1006" s="28"/>
      <c r="K1006" s="23"/>
    </row>
    <row r="1007" spans="1:11" ht="15.75" customHeight="1">
      <c r="A1007" s="22"/>
      <c r="B1007" s="22"/>
      <c r="C1007" s="23"/>
      <c r="D1007" s="24"/>
      <c r="E1007" s="25"/>
      <c r="F1007" s="23"/>
      <c r="G1007" s="26"/>
      <c r="H1007" s="27"/>
      <c r="J1007" s="28"/>
      <c r="K1007" s="23"/>
    </row>
    <row r="1008" spans="1:11" ht="15.75" customHeight="1">
      <c r="A1008" s="22"/>
      <c r="B1008" s="22"/>
      <c r="C1008" s="23"/>
      <c r="D1008" s="24"/>
      <c r="E1008" s="25"/>
      <c r="F1008" s="23"/>
      <c r="G1008" s="26"/>
      <c r="H1008" s="27"/>
      <c r="J1008" s="28"/>
      <c r="K1008" s="23"/>
    </row>
    <row r="1009" spans="1:11" ht="15.75" customHeight="1">
      <c r="A1009" s="22"/>
      <c r="B1009" s="22"/>
      <c r="C1009" s="23"/>
      <c r="D1009" s="24"/>
      <c r="E1009" s="25"/>
      <c r="F1009" s="23"/>
      <c r="G1009" s="26"/>
      <c r="H1009" s="27"/>
      <c r="J1009" s="28"/>
      <c r="K1009" s="23"/>
    </row>
    <row r="1010" spans="1:11" ht="15.75" customHeight="1">
      <c r="A1010" s="22"/>
      <c r="B1010" s="22"/>
      <c r="C1010" s="23"/>
      <c r="D1010" s="24"/>
      <c r="E1010" s="25"/>
      <c r="F1010" s="23"/>
      <c r="G1010" s="26"/>
      <c r="H1010" s="27"/>
      <c r="J1010" s="28"/>
      <c r="K1010" s="23"/>
    </row>
    <row r="1011" spans="1:11" ht="15.75" customHeight="1">
      <c r="A1011" s="22"/>
      <c r="B1011" s="22"/>
      <c r="C1011" s="23"/>
      <c r="D1011" s="24"/>
      <c r="E1011" s="25"/>
      <c r="F1011" s="23"/>
      <c r="G1011" s="26"/>
      <c r="H1011" s="27"/>
      <c r="J1011" s="28"/>
      <c r="K1011" s="23"/>
    </row>
    <row r="1012" spans="1:11" ht="15.75" customHeight="1">
      <c r="A1012" s="22"/>
      <c r="B1012" s="22"/>
      <c r="C1012" s="23"/>
      <c r="D1012" s="24"/>
      <c r="E1012" s="25"/>
      <c r="F1012" s="23"/>
      <c r="G1012" s="26"/>
      <c r="H1012" s="27"/>
      <c r="J1012" s="28"/>
      <c r="K1012" s="23"/>
    </row>
    <row r="1013" spans="1:11" ht="15.75" customHeight="1">
      <c r="A1013" s="22"/>
      <c r="B1013" s="22"/>
      <c r="C1013" s="23"/>
      <c r="D1013" s="24"/>
      <c r="E1013" s="25"/>
      <c r="F1013" s="23"/>
      <c r="G1013" s="26"/>
      <c r="H1013" s="27"/>
      <c r="J1013" s="28"/>
      <c r="K1013" s="23"/>
    </row>
    <row r="1014" spans="1:11" ht="15.75" customHeight="1">
      <c r="A1014" s="22"/>
      <c r="B1014" s="22"/>
      <c r="C1014" s="23"/>
      <c r="D1014" s="24"/>
      <c r="E1014" s="25"/>
      <c r="F1014" s="23"/>
      <c r="G1014" s="26"/>
      <c r="H1014" s="27"/>
      <c r="J1014" s="28"/>
      <c r="K1014" s="23"/>
    </row>
    <row r="1015" spans="1:11" ht="15.75" customHeight="1">
      <c r="A1015" s="22"/>
      <c r="B1015" s="22"/>
      <c r="C1015" s="23"/>
      <c r="D1015" s="24"/>
      <c r="E1015" s="25"/>
      <c r="F1015" s="23"/>
      <c r="G1015" s="26"/>
      <c r="H1015" s="27"/>
      <c r="J1015" s="28"/>
      <c r="K1015" s="23"/>
    </row>
    <row r="1016" spans="1:11" ht="15.75" customHeight="1">
      <c r="A1016" s="22"/>
      <c r="B1016" s="22"/>
      <c r="C1016" s="23"/>
      <c r="D1016" s="24"/>
      <c r="E1016" s="25"/>
      <c r="F1016" s="23"/>
      <c r="G1016" s="26"/>
      <c r="H1016" s="27"/>
      <c r="J1016" s="28"/>
      <c r="K1016" s="23"/>
    </row>
    <row r="1017" spans="1:11" ht="15.75" customHeight="1">
      <c r="A1017" s="22"/>
      <c r="B1017" s="22"/>
      <c r="C1017" s="23"/>
      <c r="D1017" s="24"/>
      <c r="E1017" s="25"/>
      <c r="F1017" s="23"/>
      <c r="G1017" s="26"/>
      <c r="H1017" s="27"/>
      <c r="J1017" s="28"/>
      <c r="K1017" s="23"/>
    </row>
    <row r="1018" spans="1:11" ht="15.75" customHeight="1">
      <c r="A1018" s="22"/>
      <c r="B1018" s="22"/>
      <c r="C1018" s="23"/>
      <c r="D1018" s="24"/>
      <c r="E1018" s="25"/>
      <c r="F1018" s="23"/>
      <c r="G1018" s="26"/>
      <c r="H1018" s="27"/>
      <c r="J1018" s="28"/>
      <c r="K1018" s="23"/>
    </row>
    <row r="1019" spans="1:11" ht="15.75" customHeight="1">
      <c r="A1019" s="22"/>
      <c r="B1019" s="22"/>
      <c r="C1019" s="23"/>
      <c r="D1019" s="24"/>
      <c r="E1019" s="25"/>
      <c r="F1019" s="23"/>
      <c r="G1019" s="26"/>
      <c r="H1019" s="27"/>
      <c r="J1019" s="28"/>
      <c r="K1019" s="23"/>
    </row>
    <row r="1020" spans="1:11" ht="15.75" customHeight="1">
      <c r="A1020" s="22"/>
      <c r="B1020" s="22"/>
      <c r="C1020" s="23"/>
      <c r="D1020" s="24"/>
      <c r="E1020" s="25"/>
      <c r="F1020" s="23"/>
      <c r="G1020" s="26"/>
      <c r="H1020" s="27"/>
      <c r="J1020" s="28"/>
      <c r="K1020" s="23"/>
    </row>
    <row r="1021" spans="1:11" ht="15.75" customHeight="1">
      <c r="A1021" s="22"/>
      <c r="B1021" s="22"/>
      <c r="C1021" s="23"/>
      <c r="D1021" s="24"/>
      <c r="E1021" s="25"/>
      <c r="F1021" s="23"/>
      <c r="G1021" s="26"/>
      <c r="H1021" s="27"/>
      <c r="J1021" s="28"/>
      <c r="K1021" s="23"/>
    </row>
    <row r="1022" spans="1:11" ht="15.75" customHeight="1">
      <c r="A1022" s="22"/>
      <c r="B1022" s="22"/>
      <c r="C1022" s="23"/>
      <c r="D1022" s="24"/>
      <c r="E1022" s="25"/>
      <c r="F1022" s="23"/>
      <c r="G1022" s="26"/>
      <c r="H1022" s="27"/>
      <c r="J1022" s="28"/>
      <c r="K1022" s="23"/>
    </row>
    <row r="1023" spans="1:11" ht="15.75" customHeight="1">
      <c r="A1023" s="22"/>
      <c r="B1023" s="22"/>
      <c r="C1023" s="23"/>
      <c r="D1023" s="24"/>
      <c r="E1023" s="25"/>
      <c r="F1023" s="23"/>
      <c r="G1023" s="26"/>
      <c r="H1023" s="27"/>
      <c r="J1023" s="28"/>
      <c r="K1023" s="23"/>
    </row>
    <row r="1024" spans="1:11" ht="15.75" customHeight="1">
      <c r="A1024" s="22"/>
      <c r="B1024" s="22"/>
      <c r="C1024" s="23"/>
      <c r="D1024" s="24"/>
      <c r="E1024" s="25"/>
      <c r="F1024" s="23"/>
      <c r="G1024" s="26"/>
      <c r="H1024" s="27"/>
      <c r="J1024" s="28"/>
      <c r="K1024" s="23"/>
    </row>
    <row r="1025" spans="1:11" ht="15.75" customHeight="1">
      <c r="A1025" s="22"/>
      <c r="B1025" s="22"/>
      <c r="C1025" s="23"/>
      <c r="D1025" s="24"/>
      <c r="E1025" s="25"/>
      <c r="F1025" s="23"/>
      <c r="G1025" s="26"/>
      <c r="H1025" s="27"/>
      <c r="J1025" s="28"/>
      <c r="K1025" s="23"/>
    </row>
    <row r="1026" spans="1:11" ht="15.75" customHeight="1">
      <c r="A1026" s="22"/>
      <c r="B1026" s="22"/>
      <c r="C1026" s="23"/>
      <c r="D1026" s="24"/>
      <c r="E1026" s="25"/>
      <c r="F1026" s="23"/>
      <c r="G1026" s="26"/>
      <c r="H1026" s="27"/>
      <c r="J1026" s="28"/>
      <c r="K1026" s="23"/>
    </row>
    <row r="1027" spans="1:11" ht="15.75" customHeight="1">
      <c r="A1027" s="22"/>
      <c r="B1027" s="22"/>
      <c r="C1027" s="23"/>
      <c r="D1027" s="24"/>
      <c r="E1027" s="25"/>
      <c r="F1027" s="23"/>
      <c r="G1027" s="26"/>
      <c r="H1027" s="27"/>
      <c r="J1027" s="28"/>
      <c r="K1027" s="23"/>
    </row>
    <row r="1028" spans="1:11" ht="15.75" customHeight="1">
      <c r="A1028" s="22"/>
      <c r="B1028" s="22"/>
      <c r="C1028" s="23"/>
      <c r="D1028" s="24"/>
      <c r="E1028" s="25"/>
      <c r="F1028" s="23"/>
      <c r="G1028" s="26"/>
      <c r="H1028" s="27"/>
      <c r="J1028" s="28"/>
      <c r="K1028" s="23"/>
    </row>
    <row r="1029" spans="1:11" ht="15.75" customHeight="1">
      <c r="A1029" s="22"/>
      <c r="B1029" s="22"/>
      <c r="C1029" s="23"/>
      <c r="D1029" s="24"/>
      <c r="E1029" s="25"/>
      <c r="F1029" s="23"/>
      <c r="G1029" s="26"/>
      <c r="H1029" s="27"/>
      <c r="J1029" s="28"/>
      <c r="K1029" s="23"/>
    </row>
    <row r="1030" spans="1:11" ht="15.75" customHeight="1">
      <c r="A1030" s="22"/>
      <c r="B1030" s="22"/>
      <c r="C1030" s="23"/>
      <c r="D1030" s="24"/>
      <c r="E1030" s="25"/>
      <c r="F1030" s="23"/>
      <c r="G1030" s="26"/>
      <c r="H1030" s="27"/>
      <c r="J1030" s="28"/>
      <c r="K1030" s="23"/>
    </row>
    <row r="1031" spans="1:11" ht="15.75" customHeight="1">
      <c r="A1031" s="22"/>
      <c r="B1031" s="22"/>
      <c r="C1031" s="23"/>
      <c r="D1031" s="24"/>
      <c r="E1031" s="25"/>
      <c r="F1031" s="23"/>
      <c r="G1031" s="26"/>
      <c r="H1031" s="27"/>
      <c r="J1031" s="28"/>
      <c r="K1031" s="23"/>
    </row>
    <row r="1032" spans="1:11" ht="15.75" customHeight="1">
      <c r="A1032" s="22"/>
      <c r="B1032" s="22"/>
      <c r="C1032" s="23"/>
      <c r="D1032" s="24"/>
      <c r="E1032" s="25"/>
      <c r="F1032" s="23"/>
      <c r="G1032" s="26"/>
      <c r="H1032" s="27"/>
      <c r="J1032" s="28"/>
      <c r="K1032" s="23"/>
    </row>
    <row r="1033" spans="1:11" ht="15.75" customHeight="1">
      <c r="A1033" s="22"/>
      <c r="B1033" s="22"/>
      <c r="C1033" s="23"/>
      <c r="D1033" s="24"/>
      <c r="E1033" s="25"/>
      <c r="F1033" s="23"/>
      <c r="G1033" s="26"/>
      <c r="H1033" s="27"/>
      <c r="J1033" s="28"/>
      <c r="K1033" s="23"/>
    </row>
    <row r="1034" spans="1:11" ht="15.75" customHeight="1">
      <c r="A1034" s="22"/>
      <c r="B1034" s="22"/>
      <c r="C1034" s="23"/>
      <c r="D1034" s="24"/>
      <c r="E1034" s="25"/>
      <c r="F1034" s="23"/>
      <c r="G1034" s="26"/>
      <c r="H1034" s="27"/>
      <c r="J1034" s="28"/>
      <c r="K1034" s="23"/>
    </row>
    <row r="1035" spans="1:11" ht="15.75" customHeight="1">
      <c r="A1035" s="22"/>
      <c r="B1035" s="22"/>
      <c r="C1035" s="23"/>
      <c r="D1035" s="24"/>
      <c r="E1035" s="25"/>
      <c r="F1035" s="23"/>
      <c r="G1035" s="26"/>
      <c r="H1035" s="27"/>
      <c r="J1035" s="28"/>
      <c r="K1035" s="23"/>
    </row>
    <row r="1036" spans="1:11" ht="15.75" customHeight="1">
      <c r="A1036" s="22"/>
      <c r="B1036" s="22"/>
      <c r="C1036" s="23"/>
      <c r="D1036" s="24"/>
      <c r="E1036" s="25"/>
      <c r="F1036" s="23"/>
      <c r="G1036" s="26"/>
      <c r="H1036" s="27"/>
      <c r="J1036" s="28"/>
      <c r="K1036" s="23"/>
    </row>
    <row r="1037" spans="1:11" ht="15.75" customHeight="1">
      <c r="A1037" s="22"/>
      <c r="B1037" s="22"/>
      <c r="C1037" s="23"/>
      <c r="D1037" s="24"/>
      <c r="E1037" s="25"/>
      <c r="F1037" s="23"/>
      <c r="G1037" s="26"/>
      <c r="H1037" s="27"/>
      <c r="J1037" s="28"/>
      <c r="K1037" s="23"/>
    </row>
    <row r="1038" spans="1:11" ht="15.75" customHeight="1">
      <c r="A1038" s="22"/>
      <c r="B1038" s="22"/>
      <c r="C1038" s="23"/>
      <c r="D1038" s="24"/>
      <c r="E1038" s="25"/>
      <c r="F1038" s="23"/>
      <c r="G1038" s="26"/>
      <c r="H1038" s="27"/>
      <c r="J1038" s="28"/>
      <c r="K1038" s="23"/>
    </row>
    <row r="1039" spans="1:11" ht="15.75" customHeight="1">
      <c r="A1039" s="22"/>
      <c r="B1039" s="22"/>
      <c r="C1039" s="23"/>
      <c r="D1039" s="24"/>
      <c r="E1039" s="25"/>
      <c r="F1039" s="23"/>
      <c r="G1039" s="26"/>
      <c r="H1039" s="27"/>
      <c r="J1039" s="28"/>
      <c r="K1039" s="23"/>
    </row>
    <row r="1040" spans="1:11" ht="15.75" customHeight="1">
      <c r="A1040" s="22"/>
      <c r="B1040" s="22"/>
      <c r="C1040" s="23"/>
      <c r="D1040" s="24"/>
      <c r="E1040" s="25"/>
      <c r="F1040" s="23"/>
      <c r="G1040" s="26"/>
      <c r="H1040" s="27"/>
      <c r="J1040" s="28"/>
      <c r="K1040" s="23"/>
    </row>
    <row r="1041" spans="1:11" ht="15.75" customHeight="1">
      <c r="A1041" s="22"/>
      <c r="B1041" s="22"/>
      <c r="C1041" s="23"/>
      <c r="D1041" s="24"/>
      <c r="E1041" s="25"/>
      <c r="F1041" s="23"/>
      <c r="G1041" s="26"/>
      <c r="H1041" s="27"/>
      <c r="J1041" s="28"/>
      <c r="K1041" s="23"/>
    </row>
    <row r="1042" spans="1:11" ht="15.75" customHeight="1">
      <c r="A1042" s="22"/>
      <c r="B1042" s="22"/>
      <c r="C1042" s="23"/>
      <c r="D1042" s="24"/>
      <c r="E1042" s="25"/>
      <c r="F1042" s="23"/>
      <c r="G1042" s="26"/>
      <c r="H1042" s="27"/>
      <c r="J1042" s="28"/>
      <c r="K1042" s="23"/>
    </row>
    <row r="1043" spans="1:11" ht="15.75" customHeight="1">
      <c r="A1043" s="22"/>
      <c r="B1043" s="22"/>
      <c r="C1043" s="23"/>
      <c r="D1043" s="24"/>
      <c r="E1043" s="25"/>
      <c r="F1043" s="23"/>
      <c r="G1043" s="26"/>
      <c r="H1043" s="27"/>
      <c r="J1043" s="28"/>
      <c r="K1043" s="23"/>
    </row>
    <row r="1044" spans="1:11" ht="15.75" customHeight="1">
      <c r="A1044" s="22"/>
      <c r="B1044" s="22"/>
      <c r="C1044" s="23"/>
      <c r="D1044" s="24"/>
      <c r="E1044" s="25"/>
      <c r="F1044" s="23"/>
      <c r="G1044" s="26"/>
      <c r="H1044" s="27"/>
      <c r="J1044" s="28"/>
      <c r="K1044" s="23"/>
    </row>
    <row r="1045" spans="1:11" ht="15.75" customHeight="1">
      <c r="A1045" s="22"/>
      <c r="B1045" s="22"/>
      <c r="C1045" s="23"/>
      <c r="D1045" s="24"/>
      <c r="E1045" s="25"/>
      <c r="F1045" s="23"/>
      <c r="G1045" s="26"/>
      <c r="H1045" s="27"/>
      <c r="J1045" s="28"/>
      <c r="K1045" s="23"/>
    </row>
    <row r="1046" spans="1:11" ht="15.75" customHeight="1">
      <c r="A1046" s="22"/>
      <c r="B1046" s="22"/>
      <c r="C1046" s="23"/>
      <c r="D1046" s="24"/>
      <c r="E1046" s="25"/>
      <c r="F1046" s="23"/>
      <c r="G1046" s="26"/>
      <c r="H1046" s="27"/>
      <c r="J1046" s="28"/>
      <c r="K1046" s="23"/>
    </row>
    <row r="1047" spans="1:11" ht="15.75" customHeight="1">
      <c r="A1047" s="22"/>
      <c r="B1047" s="22"/>
      <c r="C1047" s="23"/>
      <c r="D1047" s="24"/>
      <c r="E1047" s="25"/>
      <c r="F1047" s="23"/>
      <c r="G1047" s="26"/>
      <c r="H1047" s="27"/>
      <c r="J1047" s="28"/>
      <c r="K1047" s="23"/>
    </row>
    <row r="1048" spans="1:11" ht="15.75" customHeight="1">
      <c r="A1048" s="22"/>
      <c r="B1048" s="22"/>
      <c r="C1048" s="23"/>
      <c r="D1048" s="24"/>
      <c r="E1048" s="25"/>
      <c r="F1048" s="23"/>
      <c r="G1048" s="26"/>
      <c r="H1048" s="27"/>
      <c r="J1048" s="28"/>
      <c r="K1048" s="23"/>
    </row>
    <row r="1049" spans="1:11" ht="15.75" customHeight="1">
      <c r="A1049" s="22"/>
      <c r="B1049" s="22"/>
      <c r="C1049" s="23"/>
      <c r="D1049" s="24"/>
      <c r="E1049" s="25"/>
      <c r="F1049" s="23"/>
      <c r="G1049" s="26"/>
      <c r="H1049" s="27"/>
      <c r="J1049" s="28"/>
      <c r="K1049" s="23"/>
    </row>
    <row r="1050" spans="1:11" ht="15.75" customHeight="1">
      <c r="A1050" s="22"/>
      <c r="B1050" s="22"/>
      <c r="C1050" s="23"/>
      <c r="D1050" s="24"/>
      <c r="E1050" s="25"/>
      <c r="F1050" s="23"/>
      <c r="G1050" s="26"/>
      <c r="H1050" s="27"/>
      <c r="J1050" s="28"/>
      <c r="K1050" s="23"/>
    </row>
    <row r="1051" spans="1:11" ht="15.75" customHeight="1">
      <c r="A1051" s="22"/>
      <c r="B1051" s="22"/>
      <c r="C1051" s="23"/>
      <c r="D1051" s="24"/>
      <c r="E1051" s="25"/>
      <c r="F1051" s="23"/>
      <c r="G1051" s="26"/>
      <c r="H1051" s="27"/>
      <c r="J1051" s="28"/>
      <c r="K1051" s="23"/>
    </row>
    <row r="1052" spans="1:11" ht="15.75" customHeight="1">
      <c r="A1052" s="22"/>
      <c r="B1052" s="22"/>
      <c r="C1052" s="23"/>
      <c r="D1052" s="24"/>
      <c r="E1052" s="25"/>
      <c r="F1052" s="23"/>
      <c r="G1052" s="26"/>
      <c r="H1052" s="27"/>
      <c r="J1052" s="28"/>
      <c r="K1052" s="23"/>
    </row>
    <row r="1053" spans="1:11" ht="15.75" customHeight="1">
      <c r="A1053" s="22"/>
      <c r="B1053" s="22"/>
      <c r="C1053" s="23"/>
      <c r="D1053" s="24"/>
      <c r="E1053" s="25"/>
      <c r="F1053" s="23"/>
      <c r="G1053" s="26"/>
      <c r="H1053" s="27"/>
      <c r="J1053" s="28"/>
      <c r="K1053" s="23"/>
    </row>
    <row r="1054" spans="1:11" ht="15.75" customHeight="1">
      <c r="A1054" s="22"/>
      <c r="B1054" s="22"/>
      <c r="C1054" s="23"/>
      <c r="D1054" s="24"/>
      <c r="E1054" s="25"/>
      <c r="F1054" s="23"/>
      <c r="G1054" s="26"/>
      <c r="H1054" s="27"/>
      <c r="J1054" s="28"/>
      <c r="K1054" s="23"/>
    </row>
    <row r="1055" spans="1:11" ht="15.75" customHeight="1">
      <c r="A1055" s="22"/>
      <c r="B1055" s="22"/>
      <c r="C1055" s="23"/>
      <c r="D1055" s="24"/>
      <c r="E1055" s="25"/>
      <c r="F1055" s="23"/>
      <c r="G1055" s="26"/>
      <c r="H1055" s="27"/>
      <c r="J1055" s="28"/>
      <c r="K1055" s="23"/>
    </row>
    <row r="1056" spans="1:11" ht="15.75" customHeight="1">
      <c r="A1056" s="22"/>
      <c r="B1056" s="22"/>
      <c r="C1056" s="23"/>
      <c r="D1056" s="24"/>
      <c r="E1056" s="25"/>
      <c r="F1056" s="23"/>
      <c r="G1056" s="26"/>
      <c r="H1056" s="27"/>
      <c r="J1056" s="28"/>
      <c r="K1056" s="23"/>
    </row>
    <row r="1057" spans="1:11" ht="15.75" customHeight="1">
      <c r="A1057" s="22"/>
      <c r="B1057" s="22"/>
      <c r="C1057" s="23"/>
      <c r="D1057" s="24"/>
      <c r="E1057" s="25"/>
      <c r="F1057" s="23"/>
      <c r="G1057" s="26"/>
      <c r="H1057" s="27"/>
      <c r="J1057" s="28"/>
      <c r="K1057" s="23"/>
    </row>
    <row r="1058" spans="1:11" ht="15.75" customHeight="1">
      <c r="A1058" s="22"/>
      <c r="B1058" s="22"/>
      <c r="C1058" s="23"/>
      <c r="D1058" s="24"/>
      <c r="E1058" s="25"/>
      <c r="F1058" s="23"/>
      <c r="G1058" s="26"/>
      <c r="H1058" s="27"/>
      <c r="J1058" s="28"/>
      <c r="K1058" s="23"/>
    </row>
    <row r="1059" spans="1:11" ht="15.75" customHeight="1">
      <c r="A1059" s="22"/>
      <c r="B1059" s="22"/>
      <c r="C1059" s="23"/>
      <c r="D1059" s="24"/>
      <c r="E1059" s="25"/>
      <c r="F1059" s="23"/>
      <c r="G1059" s="26"/>
      <c r="H1059" s="27"/>
      <c r="J1059" s="28"/>
      <c r="K1059" s="23"/>
    </row>
    <row r="1060" spans="1:11" ht="15.75" customHeight="1">
      <c r="A1060" s="22"/>
      <c r="B1060" s="22"/>
      <c r="C1060" s="23"/>
      <c r="D1060" s="24"/>
      <c r="E1060" s="25"/>
      <c r="F1060" s="23"/>
      <c r="G1060" s="26"/>
      <c r="H1060" s="27"/>
      <c r="J1060" s="28"/>
      <c r="K1060" s="23"/>
    </row>
    <row r="1061" spans="1:11" ht="15.75" customHeight="1">
      <c r="A1061" s="22"/>
      <c r="B1061" s="22"/>
      <c r="C1061" s="23"/>
      <c r="D1061" s="24"/>
      <c r="E1061" s="25"/>
      <c r="F1061" s="23"/>
      <c r="G1061" s="26"/>
      <c r="H1061" s="27"/>
      <c r="J1061" s="28"/>
      <c r="K1061" s="23"/>
    </row>
    <row r="1062" spans="1:11" ht="15.75" customHeight="1">
      <c r="A1062" s="22"/>
      <c r="B1062" s="22"/>
      <c r="C1062" s="23"/>
      <c r="D1062" s="24"/>
      <c r="E1062" s="25"/>
      <c r="F1062" s="23"/>
      <c r="G1062" s="26"/>
      <c r="H1062" s="27"/>
      <c r="J1062" s="28"/>
      <c r="K1062" s="23"/>
    </row>
    <row r="1063" spans="1:11" ht="15.75" customHeight="1">
      <c r="A1063" s="22"/>
      <c r="B1063" s="22"/>
      <c r="C1063" s="23"/>
      <c r="D1063" s="24"/>
      <c r="E1063" s="25"/>
      <c r="F1063" s="23"/>
      <c r="G1063" s="26"/>
      <c r="H1063" s="27"/>
      <c r="J1063" s="28"/>
      <c r="K1063" s="23"/>
    </row>
    <row r="1064" spans="1:11" ht="15.75" customHeight="1">
      <c r="A1064" s="22"/>
      <c r="B1064" s="22"/>
      <c r="C1064" s="23"/>
      <c r="D1064" s="24"/>
      <c r="E1064" s="25"/>
      <c r="F1064" s="23"/>
      <c r="G1064" s="26"/>
      <c r="H1064" s="27"/>
      <c r="J1064" s="28"/>
      <c r="K1064" s="23"/>
    </row>
    <row r="1065" spans="1:11" ht="15.75" customHeight="1">
      <c r="A1065" s="22"/>
      <c r="B1065" s="22"/>
      <c r="C1065" s="23"/>
      <c r="D1065" s="24"/>
      <c r="E1065" s="25"/>
      <c r="F1065" s="23"/>
      <c r="G1065" s="26"/>
      <c r="H1065" s="27"/>
      <c r="J1065" s="28"/>
      <c r="K1065" s="23"/>
    </row>
    <row r="1066" spans="1:11" ht="15.75" customHeight="1">
      <c r="A1066" s="22"/>
      <c r="B1066" s="22"/>
      <c r="C1066" s="23"/>
      <c r="D1066" s="24"/>
      <c r="E1066" s="25"/>
      <c r="F1066" s="23"/>
      <c r="G1066" s="26"/>
      <c r="H1066" s="27"/>
      <c r="J1066" s="28"/>
      <c r="K1066" s="23"/>
    </row>
    <row r="1067" spans="1:11" ht="15.75" customHeight="1">
      <c r="A1067" s="22"/>
      <c r="B1067" s="22"/>
      <c r="C1067" s="23"/>
      <c r="D1067" s="24"/>
      <c r="E1067" s="25"/>
      <c r="F1067" s="23"/>
      <c r="G1067" s="26"/>
      <c r="H1067" s="27"/>
      <c r="J1067" s="28"/>
      <c r="K1067" s="23"/>
    </row>
    <row r="1068" spans="1:11" ht="15.75" customHeight="1">
      <c r="A1068" s="22"/>
      <c r="B1068" s="22"/>
      <c r="C1068" s="23"/>
      <c r="D1068" s="24"/>
      <c r="E1068" s="25"/>
      <c r="F1068" s="23"/>
      <c r="G1068" s="26"/>
      <c r="H1068" s="27"/>
      <c r="J1068" s="28"/>
      <c r="K1068" s="23"/>
    </row>
    <row r="1069" spans="1:11" ht="15.75" customHeight="1">
      <c r="A1069" s="22"/>
      <c r="B1069" s="22"/>
      <c r="C1069" s="23"/>
      <c r="D1069" s="24"/>
      <c r="E1069" s="25"/>
      <c r="F1069" s="23"/>
      <c r="G1069" s="26"/>
      <c r="H1069" s="27"/>
      <c r="J1069" s="28"/>
      <c r="K1069" s="23"/>
    </row>
    <row r="1070" spans="1:11" ht="15.75" customHeight="1">
      <c r="A1070" s="22"/>
      <c r="B1070" s="22"/>
      <c r="C1070" s="23"/>
      <c r="D1070" s="24"/>
      <c r="E1070" s="25"/>
      <c r="F1070" s="23"/>
      <c r="G1070" s="26"/>
      <c r="H1070" s="27"/>
      <c r="J1070" s="28"/>
      <c r="K1070" s="23"/>
    </row>
    <row r="1071" spans="1:11" ht="15.75" customHeight="1">
      <c r="A1071" s="22"/>
      <c r="B1071" s="22"/>
      <c r="C1071" s="23"/>
      <c r="D1071" s="24"/>
      <c r="E1071" s="25"/>
      <c r="F1071" s="23"/>
      <c r="G1071" s="26"/>
      <c r="H1071" s="27"/>
      <c r="J1071" s="28"/>
      <c r="K1071" s="23"/>
    </row>
    <row r="1072" spans="1:11" ht="15.75" customHeight="1">
      <c r="A1072" s="22"/>
      <c r="B1072" s="22"/>
      <c r="C1072" s="23"/>
      <c r="D1072" s="24"/>
      <c r="E1072" s="25"/>
      <c r="F1072" s="23"/>
      <c r="G1072" s="26"/>
      <c r="H1072" s="27"/>
      <c r="J1072" s="28"/>
      <c r="K1072" s="23"/>
    </row>
    <row r="1073" spans="1:11" ht="15.75" customHeight="1">
      <c r="A1073" s="22"/>
      <c r="B1073" s="22"/>
      <c r="C1073" s="23"/>
      <c r="D1073" s="24"/>
      <c r="E1073" s="25"/>
      <c r="F1073" s="23"/>
      <c r="G1073" s="26"/>
      <c r="H1073" s="27"/>
      <c r="J1073" s="28"/>
      <c r="K1073" s="23"/>
    </row>
    <row r="1074" spans="1:11" ht="15.75" customHeight="1">
      <c r="A1074" s="22"/>
      <c r="B1074" s="22"/>
      <c r="C1074" s="23"/>
      <c r="D1074" s="24"/>
      <c r="E1074" s="25"/>
      <c r="F1074" s="23"/>
      <c r="G1074" s="26"/>
      <c r="H1074" s="27"/>
      <c r="J1074" s="28"/>
      <c r="K1074" s="23"/>
    </row>
    <row r="1075" spans="1:11" ht="15.75" customHeight="1">
      <c r="A1075" s="22"/>
      <c r="B1075" s="22"/>
      <c r="C1075" s="23"/>
      <c r="D1075" s="24"/>
      <c r="E1075" s="25"/>
      <c r="F1075" s="23"/>
      <c r="G1075" s="26"/>
      <c r="H1075" s="27"/>
      <c r="J1075" s="28"/>
      <c r="K1075" s="23"/>
    </row>
    <row r="1076" spans="1:11" ht="15.75" customHeight="1">
      <c r="A1076" s="22"/>
      <c r="B1076" s="22"/>
      <c r="C1076" s="23"/>
      <c r="D1076" s="24"/>
      <c r="E1076" s="25"/>
      <c r="F1076" s="23"/>
      <c r="G1076" s="26"/>
      <c r="H1076" s="27"/>
      <c r="J1076" s="28"/>
      <c r="K1076" s="23"/>
    </row>
    <row r="1077" spans="1:11" ht="15.75" customHeight="1">
      <c r="A1077" s="22"/>
      <c r="B1077" s="22"/>
      <c r="C1077" s="23"/>
      <c r="D1077" s="24"/>
      <c r="E1077" s="25"/>
      <c r="F1077" s="23"/>
      <c r="G1077" s="26"/>
      <c r="H1077" s="27"/>
      <c r="J1077" s="28"/>
      <c r="K1077" s="23"/>
    </row>
    <row r="1078" spans="1:11" ht="15.75" customHeight="1">
      <c r="A1078" s="22"/>
      <c r="B1078" s="22"/>
      <c r="C1078" s="23"/>
      <c r="D1078" s="24"/>
      <c r="E1078" s="25"/>
      <c r="F1078" s="23"/>
      <c r="G1078" s="26"/>
      <c r="H1078" s="27"/>
      <c r="J1078" s="28"/>
      <c r="K1078" s="23"/>
    </row>
    <row r="1079" spans="1:11" ht="15.75" customHeight="1">
      <c r="A1079" s="22"/>
      <c r="B1079" s="22"/>
      <c r="C1079" s="23"/>
      <c r="D1079" s="24"/>
      <c r="E1079" s="25"/>
      <c r="F1079" s="23"/>
      <c r="G1079" s="26"/>
      <c r="H1079" s="27"/>
      <c r="J1079" s="28"/>
      <c r="K1079" s="23"/>
    </row>
    <row r="1080" spans="1:11" ht="15.75" customHeight="1">
      <c r="A1080" s="22"/>
      <c r="B1080" s="22"/>
      <c r="C1080" s="23"/>
      <c r="D1080" s="24"/>
      <c r="E1080" s="25"/>
      <c r="F1080" s="23"/>
      <c r="G1080" s="26"/>
      <c r="H1080" s="27"/>
      <c r="J1080" s="28"/>
      <c r="K1080" s="23"/>
    </row>
    <row r="1081" spans="1:11" ht="15.75" customHeight="1">
      <c r="A1081" s="22"/>
      <c r="B1081" s="22"/>
      <c r="C1081" s="23"/>
      <c r="D1081" s="24"/>
      <c r="E1081" s="25"/>
      <c r="F1081" s="23"/>
      <c r="G1081" s="26"/>
      <c r="H1081" s="27"/>
      <c r="J1081" s="28"/>
      <c r="K1081" s="23"/>
    </row>
    <row r="1082" spans="1:11" ht="15.75" customHeight="1">
      <c r="A1082" s="22"/>
      <c r="B1082" s="22"/>
      <c r="C1082" s="23"/>
      <c r="D1082" s="24"/>
      <c r="E1082" s="25"/>
      <c r="F1082" s="23"/>
      <c r="G1082" s="26"/>
      <c r="H1082" s="27"/>
      <c r="J1082" s="28"/>
      <c r="K1082" s="23"/>
    </row>
    <row r="1083" spans="1:11" ht="15.75" customHeight="1">
      <c r="A1083" s="22"/>
      <c r="B1083" s="22"/>
      <c r="C1083" s="23"/>
      <c r="D1083" s="24"/>
      <c r="E1083" s="25"/>
      <c r="F1083" s="23"/>
      <c r="G1083" s="26"/>
      <c r="H1083" s="27"/>
      <c r="J1083" s="28"/>
      <c r="K1083" s="23"/>
    </row>
    <row r="1084" spans="1:11" ht="15.75" customHeight="1">
      <c r="A1084" s="22"/>
      <c r="B1084" s="22"/>
      <c r="C1084" s="23"/>
      <c r="D1084" s="24"/>
      <c r="E1084" s="25"/>
      <c r="F1084" s="23"/>
      <c r="G1084" s="26"/>
      <c r="H1084" s="27"/>
      <c r="J1084" s="28"/>
      <c r="K1084" s="23"/>
    </row>
    <row r="1085" spans="1:11" ht="15.75" customHeight="1">
      <c r="A1085" s="22"/>
      <c r="B1085" s="22"/>
      <c r="C1085" s="23"/>
      <c r="D1085" s="24"/>
      <c r="E1085" s="25"/>
      <c r="F1085" s="23"/>
      <c r="G1085" s="26"/>
      <c r="H1085" s="27"/>
      <c r="J1085" s="28"/>
      <c r="K1085" s="23"/>
    </row>
    <row r="1086" spans="1:11" ht="15.75" customHeight="1">
      <c r="A1086" s="22"/>
      <c r="B1086" s="22"/>
      <c r="C1086" s="23"/>
      <c r="D1086" s="24"/>
      <c r="E1086" s="25"/>
      <c r="F1086" s="23"/>
      <c r="G1086" s="26"/>
      <c r="H1086" s="27"/>
      <c r="J1086" s="28"/>
      <c r="K1086" s="23"/>
    </row>
    <row r="1087" spans="1:11" ht="15.75" customHeight="1">
      <c r="A1087" s="22"/>
      <c r="B1087" s="22"/>
      <c r="C1087" s="23"/>
      <c r="D1087" s="24"/>
      <c r="E1087" s="25"/>
      <c r="F1087" s="23"/>
      <c r="G1087" s="26"/>
      <c r="H1087" s="27"/>
      <c r="J1087" s="28"/>
      <c r="K1087" s="23"/>
    </row>
    <row r="1088" spans="1:11" ht="15.75" customHeight="1">
      <c r="A1088" s="22"/>
      <c r="B1088" s="22"/>
      <c r="C1088" s="23"/>
      <c r="D1088" s="24"/>
      <c r="E1088" s="25"/>
      <c r="F1088" s="23"/>
      <c r="G1088" s="26"/>
      <c r="H1088" s="27"/>
      <c r="J1088" s="28"/>
      <c r="K1088" s="23"/>
    </row>
    <row r="1089" spans="1:11" ht="15.75" customHeight="1">
      <c r="A1089" s="22"/>
      <c r="B1089" s="22"/>
      <c r="C1089" s="23"/>
      <c r="D1089" s="24"/>
      <c r="E1089" s="25"/>
      <c r="F1089" s="23"/>
      <c r="G1089" s="26"/>
      <c r="H1089" s="27"/>
      <c r="J1089" s="28"/>
      <c r="K1089" s="23"/>
    </row>
    <row r="1090" spans="1:11" ht="15.75" customHeight="1">
      <c r="A1090" s="22"/>
      <c r="B1090" s="22"/>
      <c r="C1090" s="23"/>
      <c r="D1090" s="24"/>
      <c r="E1090" s="25"/>
      <c r="F1090" s="23"/>
      <c r="G1090" s="26"/>
      <c r="H1090" s="27"/>
      <c r="J1090" s="28"/>
      <c r="K1090" s="23"/>
    </row>
    <row r="1091" spans="1:11" ht="15.75" customHeight="1">
      <c r="A1091" s="22"/>
      <c r="B1091" s="22"/>
      <c r="C1091" s="23"/>
      <c r="D1091" s="24"/>
      <c r="E1091" s="25"/>
      <c r="F1091" s="23"/>
      <c r="G1091" s="26"/>
      <c r="H1091" s="27"/>
      <c r="J1091" s="28"/>
      <c r="K1091" s="23"/>
    </row>
    <row r="1092" spans="1:11" ht="15.75" customHeight="1">
      <c r="A1092" s="22"/>
      <c r="B1092" s="22"/>
      <c r="C1092" s="23"/>
      <c r="D1092" s="24"/>
      <c r="E1092" s="25"/>
      <c r="F1092" s="23"/>
      <c r="G1092" s="26"/>
      <c r="H1092" s="27"/>
      <c r="J1092" s="28"/>
      <c r="K1092" s="23"/>
    </row>
    <row r="1093" spans="1:11" ht="15.75" customHeight="1">
      <c r="A1093" s="22"/>
      <c r="B1093" s="22"/>
      <c r="C1093" s="23"/>
      <c r="D1093" s="24"/>
      <c r="E1093" s="25"/>
      <c r="F1093" s="23"/>
      <c r="G1093" s="26"/>
      <c r="H1093" s="27"/>
      <c r="J1093" s="28"/>
      <c r="K1093" s="23"/>
    </row>
    <row r="1094" spans="1:11" ht="15.75" customHeight="1">
      <c r="A1094" s="22"/>
      <c r="B1094" s="22"/>
      <c r="C1094" s="23"/>
      <c r="D1094" s="24"/>
      <c r="E1094" s="25"/>
      <c r="F1094" s="23"/>
      <c r="G1094" s="26"/>
      <c r="H1094" s="27"/>
      <c r="J1094" s="28"/>
      <c r="K1094" s="23"/>
    </row>
    <row r="1095" spans="1:11" ht="15.75" customHeight="1">
      <c r="A1095" s="22"/>
      <c r="B1095" s="22"/>
      <c r="C1095" s="23"/>
      <c r="D1095" s="24"/>
      <c r="E1095" s="25"/>
      <c r="F1095" s="23"/>
      <c r="G1095" s="26"/>
      <c r="H1095" s="27"/>
      <c r="J1095" s="28"/>
      <c r="K1095" s="23"/>
    </row>
    <row r="1096" spans="1:11" ht="15.75" customHeight="1">
      <c r="A1096" s="22"/>
      <c r="B1096" s="22"/>
      <c r="C1096" s="23"/>
      <c r="D1096" s="24"/>
      <c r="E1096" s="25"/>
      <c r="F1096" s="23"/>
      <c r="G1096" s="26"/>
      <c r="H1096" s="27"/>
      <c r="J1096" s="28"/>
      <c r="K1096" s="23"/>
    </row>
    <row r="1097" spans="1:11" ht="15.75" customHeight="1">
      <c r="A1097" s="22"/>
      <c r="B1097" s="22"/>
      <c r="C1097" s="23"/>
      <c r="D1097" s="24"/>
      <c r="E1097" s="25"/>
      <c r="F1097" s="23"/>
      <c r="G1097" s="26"/>
      <c r="H1097" s="27"/>
      <c r="J1097" s="28"/>
      <c r="K1097" s="23"/>
    </row>
    <row r="1098" spans="1:11" ht="15.75" customHeight="1">
      <c r="A1098" s="22"/>
      <c r="B1098" s="22"/>
      <c r="C1098" s="23"/>
      <c r="D1098" s="24"/>
      <c r="E1098" s="25"/>
      <c r="F1098" s="23"/>
      <c r="G1098" s="26"/>
      <c r="H1098" s="27"/>
      <c r="J1098" s="28"/>
      <c r="K1098" s="23"/>
    </row>
    <row r="1099" spans="1:11" ht="15.75" customHeight="1">
      <c r="A1099" s="22"/>
      <c r="B1099" s="22"/>
      <c r="C1099" s="23"/>
      <c r="D1099" s="24"/>
      <c r="E1099" s="25"/>
      <c r="F1099" s="23"/>
      <c r="G1099" s="26"/>
      <c r="H1099" s="27"/>
      <c r="J1099" s="28"/>
      <c r="K1099" s="23"/>
    </row>
    <row r="1100" spans="1:11" ht="15.75" customHeight="1">
      <c r="A1100" s="22"/>
      <c r="B1100" s="22"/>
      <c r="C1100" s="23"/>
      <c r="D1100" s="24"/>
      <c r="E1100" s="25"/>
      <c r="F1100" s="23"/>
      <c r="G1100" s="26"/>
      <c r="H1100" s="27"/>
      <c r="J1100" s="28"/>
      <c r="K1100" s="23"/>
    </row>
    <row r="1101" spans="1:11" ht="15.75" customHeight="1">
      <c r="A1101" s="22"/>
      <c r="B1101" s="22"/>
      <c r="C1101" s="23"/>
      <c r="D1101" s="24"/>
      <c r="E1101" s="25"/>
      <c r="F1101" s="23"/>
      <c r="G1101" s="26"/>
      <c r="H1101" s="27"/>
      <c r="J1101" s="28"/>
      <c r="K1101" s="23"/>
    </row>
    <row r="1102" spans="1:11" ht="15.75" customHeight="1">
      <c r="A1102" s="22"/>
      <c r="B1102" s="22"/>
      <c r="C1102" s="23"/>
      <c r="D1102" s="24"/>
      <c r="E1102" s="25"/>
      <c r="F1102" s="23"/>
      <c r="G1102" s="26"/>
      <c r="H1102" s="27"/>
      <c r="J1102" s="28"/>
      <c r="K1102" s="23"/>
    </row>
    <row r="1103" spans="1:11" ht="15.75" customHeight="1">
      <c r="A1103" s="22"/>
      <c r="B1103" s="22"/>
      <c r="C1103" s="23"/>
      <c r="D1103" s="24"/>
      <c r="E1103" s="25"/>
      <c r="F1103" s="23"/>
      <c r="G1103" s="26"/>
      <c r="H1103" s="27"/>
      <c r="J1103" s="28"/>
      <c r="K1103" s="23"/>
    </row>
    <row r="1104" spans="1:11" ht="15.75" customHeight="1">
      <c r="A1104" s="22"/>
      <c r="B1104" s="22"/>
      <c r="C1104" s="23"/>
      <c r="D1104" s="24"/>
      <c r="E1104" s="25"/>
      <c r="F1104" s="23"/>
      <c r="G1104" s="26"/>
      <c r="H1104" s="27"/>
      <c r="J1104" s="28"/>
      <c r="K1104" s="23"/>
    </row>
    <row r="1105" spans="1:11" ht="15.75" customHeight="1">
      <c r="A1105" s="22"/>
      <c r="B1105" s="22"/>
      <c r="C1105" s="23"/>
      <c r="D1105" s="24"/>
      <c r="E1105" s="25"/>
      <c r="F1105" s="23"/>
      <c r="G1105" s="26"/>
      <c r="H1105" s="27"/>
      <c r="J1105" s="28"/>
      <c r="K1105" s="23"/>
    </row>
    <row r="1106" spans="1:11" ht="15.75" customHeight="1">
      <c r="A1106" s="22"/>
      <c r="B1106" s="22"/>
      <c r="C1106" s="23"/>
      <c r="D1106" s="24"/>
      <c r="E1106" s="25"/>
      <c r="F1106" s="23"/>
      <c r="G1106" s="26"/>
      <c r="H1106" s="27"/>
      <c r="J1106" s="28"/>
      <c r="K1106" s="23"/>
    </row>
    <row r="1107" spans="1:11" ht="15.75" customHeight="1">
      <c r="A1107" s="22"/>
      <c r="B1107" s="22"/>
      <c r="C1107" s="23"/>
      <c r="D1107" s="24"/>
      <c r="E1107" s="25"/>
      <c r="F1107" s="23"/>
      <c r="G1107" s="26"/>
      <c r="H1107" s="27"/>
      <c r="J1107" s="28"/>
      <c r="K1107" s="23"/>
    </row>
    <row r="1108" spans="1:11" ht="15.75" customHeight="1">
      <c r="A1108" s="22"/>
      <c r="B1108" s="22"/>
      <c r="C1108" s="23"/>
      <c r="D1108" s="24"/>
      <c r="E1108" s="25"/>
      <c r="F1108" s="23"/>
      <c r="G1108" s="26"/>
      <c r="H1108" s="27"/>
      <c r="J1108" s="28"/>
      <c r="K1108" s="23"/>
    </row>
    <row r="1109" spans="1:11" ht="15.75" customHeight="1">
      <c r="A1109" s="22"/>
      <c r="B1109" s="22"/>
      <c r="C1109" s="23"/>
      <c r="D1109" s="24"/>
      <c r="E1109" s="25"/>
      <c r="F1109" s="23"/>
      <c r="G1109" s="26"/>
      <c r="H1109" s="27"/>
      <c r="J1109" s="28"/>
      <c r="K1109" s="23"/>
    </row>
    <row r="1110" spans="1:11" ht="15.75" customHeight="1">
      <c r="A1110" s="22"/>
      <c r="B1110" s="22"/>
      <c r="C1110" s="23"/>
      <c r="D1110" s="24"/>
      <c r="E1110" s="25"/>
      <c r="F1110" s="23"/>
      <c r="G1110" s="26"/>
      <c r="H1110" s="27"/>
      <c r="J1110" s="28"/>
      <c r="K1110" s="23"/>
    </row>
    <row r="1111" spans="1:11" ht="15.75" customHeight="1">
      <c r="A1111" s="22"/>
      <c r="B1111" s="22"/>
      <c r="C1111" s="23"/>
      <c r="D1111" s="24"/>
      <c r="E1111" s="25"/>
      <c r="F1111" s="23"/>
      <c r="G1111" s="26"/>
      <c r="H1111" s="27"/>
      <c r="J1111" s="28"/>
      <c r="K1111" s="23"/>
    </row>
    <row r="1112" spans="1:11" ht="15.75" customHeight="1">
      <c r="A1112" s="22"/>
      <c r="B1112" s="22"/>
      <c r="C1112" s="23"/>
      <c r="D1112" s="24"/>
      <c r="E1112" s="25"/>
      <c r="F1112" s="23"/>
      <c r="G1112" s="26"/>
      <c r="H1112" s="27"/>
      <c r="J1112" s="28"/>
      <c r="K1112" s="23"/>
    </row>
    <row r="1113" spans="1:11" ht="15.75" customHeight="1">
      <c r="A1113" s="22"/>
      <c r="B1113" s="22"/>
      <c r="C1113" s="23"/>
      <c r="D1113" s="24"/>
      <c r="E1113" s="25"/>
      <c r="F1113" s="23"/>
      <c r="G1113" s="26"/>
      <c r="H1113" s="27"/>
      <c r="J1113" s="28"/>
      <c r="K1113" s="23"/>
    </row>
    <row r="1114" spans="1:11" ht="15.75" customHeight="1">
      <c r="A1114" s="22"/>
      <c r="B1114" s="22"/>
      <c r="C1114" s="23"/>
      <c r="D1114" s="24"/>
      <c r="E1114" s="25"/>
      <c r="F1114" s="23"/>
      <c r="G1114" s="26"/>
      <c r="H1114" s="27"/>
      <c r="J1114" s="28"/>
      <c r="K1114" s="23"/>
    </row>
    <row r="1115" spans="1:11" ht="15.75" customHeight="1">
      <c r="A1115" s="22"/>
      <c r="B1115" s="22"/>
      <c r="C1115" s="23"/>
      <c r="D1115" s="24"/>
      <c r="E1115" s="25"/>
      <c r="F1115" s="23"/>
      <c r="G1115" s="26"/>
      <c r="H1115" s="27"/>
      <c r="J1115" s="28"/>
      <c r="K1115" s="23"/>
    </row>
    <row r="1116" spans="1:11" ht="15.75" customHeight="1">
      <c r="A1116" s="22"/>
      <c r="B1116" s="22"/>
      <c r="C1116" s="23"/>
      <c r="D1116" s="24"/>
      <c r="E1116" s="25"/>
      <c r="F1116" s="23"/>
      <c r="G1116" s="26"/>
      <c r="H1116" s="27"/>
      <c r="J1116" s="28"/>
      <c r="K1116" s="23"/>
    </row>
    <row r="1117" spans="1:11" ht="15.75" customHeight="1">
      <c r="A1117" s="22"/>
      <c r="B1117" s="22"/>
      <c r="C1117" s="23"/>
      <c r="D1117" s="24"/>
      <c r="E1117" s="25"/>
      <c r="F1117" s="23"/>
      <c r="G1117" s="26"/>
      <c r="H1117" s="27"/>
      <c r="J1117" s="28"/>
      <c r="K1117" s="23"/>
    </row>
    <row r="1118" spans="1:11" ht="15.75" customHeight="1">
      <c r="A1118" s="22"/>
      <c r="B1118" s="22"/>
      <c r="C1118" s="23"/>
      <c r="D1118" s="24"/>
      <c r="E1118" s="25"/>
      <c r="F1118" s="23"/>
      <c r="G1118" s="26"/>
      <c r="H1118" s="27"/>
      <c r="J1118" s="28"/>
      <c r="K1118" s="23"/>
    </row>
    <row r="1119" spans="1:11" ht="15.75" customHeight="1">
      <c r="A1119" s="22"/>
      <c r="B1119" s="22"/>
      <c r="C1119" s="23"/>
      <c r="D1119" s="24"/>
      <c r="E1119" s="25"/>
      <c r="F1119" s="23"/>
      <c r="G1119" s="26"/>
      <c r="H1119" s="27"/>
      <c r="J1119" s="28"/>
      <c r="K1119" s="23"/>
    </row>
    <row r="1120" spans="1:11" ht="15.75" customHeight="1">
      <c r="A1120" s="22"/>
      <c r="B1120" s="22"/>
      <c r="C1120" s="23"/>
      <c r="D1120" s="24"/>
      <c r="E1120" s="25"/>
      <c r="F1120" s="23"/>
      <c r="G1120" s="26"/>
      <c r="H1120" s="27"/>
      <c r="J1120" s="28"/>
      <c r="K1120" s="23"/>
    </row>
    <row r="1121" spans="1:11" ht="15.75" customHeight="1">
      <c r="A1121" s="22"/>
      <c r="B1121" s="22"/>
      <c r="C1121" s="23"/>
      <c r="D1121" s="24"/>
      <c r="E1121" s="25"/>
      <c r="F1121" s="23"/>
      <c r="G1121" s="26"/>
      <c r="H1121" s="27"/>
      <c r="J1121" s="28"/>
      <c r="K1121" s="23"/>
    </row>
    <row r="1122" spans="1:11" ht="15.75" customHeight="1">
      <c r="A1122" s="22"/>
      <c r="B1122" s="22"/>
      <c r="C1122" s="23"/>
      <c r="D1122" s="24"/>
      <c r="E1122" s="25"/>
      <c r="F1122" s="23"/>
      <c r="G1122" s="26"/>
      <c r="H1122" s="27"/>
      <c r="J1122" s="28"/>
      <c r="K1122" s="23"/>
    </row>
    <row r="1123" spans="1:11" ht="15.75" customHeight="1">
      <c r="A1123" s="22"/>
      <c r="B1123" s="22"/>
      <c r="C1123" s="23"/>
      <c r="D1123" s="24"/>
      <c r="E1123" s="25"/>
      <c r="F1123" s="23"/>
      <c r="G1123" s="26"/>
      <c r="H1123" s="27"/>
      <c r="J1123" s="28"/>
      <c r="K1123" s="23"/>
    </row>
    <row r="1124" spans="1:11" ht="15.75" customHeight="1">
      <c r="A1124" s="22"/>
      <c r="B1124" s="22"/>
      <c r="C1124" s="23"/>
      <c r="D1124" s="24"/>
      <c r="E1124" s="25"/>
      <c r="F1124" s="23"/>
      <c r="G1124" s="26"/>
      <c r="H1124" s="27"/>
      <c r="J1124" s="28"/>
      <c r="K1124" s="23"/>
    </row>
    <row r="1125" spans="1:11" ht="15.75" customHeight="1">
      <c r="A1125" s="22"/>
      <c r="B1125" s="22"/>
      <c r="C1125" s="23"/>
      <c r="D1125" s="24"/>
      <c r="E1125" s="25"/>
      <c r="F1125" s="23"/>
      <c r="G1125" s="26"/>
      <c r="H1125" s="27"/>
      <c r="J1125" s="28"/>
      <c r="K1125" s="23"/>
    </row>
    <row r="1126" spans="1:11" ht="15.75" customHeight="1">
      <c r="A1126" s="22"/>
      <c r="B1126" s="22"/>
      <c r="C1126" s="23"/>
      <c r="D1126" s="24"/>
      <c r="E1126" s="25"/>
      <c r="F1126" s="23"/>
      <c r="G1126" s="26"/>
      <c r="H1126" s="27"/>
      <c r="J1126" s="28"/>
      <c r="K1126" s="23"/>
    </row>
    <row r="1127" spans="1:11" ht="15.75" customHeight="1">
      <c r="A1127" s="22"/>
      <c r="B1127" s="22"/>
      <c r="C1127" s="23"/>
      <c r="D1127" s="24"/>
      <c r="E1127" s="25"/>
      <c r="F1127" s="23"/>
      <c r="G1127" s="26"/>
      <c r="H1127" s="27"/>
      <c r="J1127" s="28"/>
      <c r="K1127" s="23"/>
    </row>
    <row r="1128" spans="1:11" ht="15.75" customHeight="1">
      <c r="A1128" s="22"/>
      <c r="B1128" s="22"/>
      <c r="C1128" s="23"/>
      <c r="D1128" s="24"/>
      <c r="E1128" s="25"/>
      <c r="F1128" s="23"/>
      <c r="G1128" s="26"/>
      <c r="H1128" s="27"/>
      <c r="J1128" s="28"/>
      <c r="K1128" s="23"/>
    </row>
    <row r="1129" spans="1:11" ht="15.75" customHeight="1">
      <c r="A1129" s="22"/>
      <c r="B1129" s="22"/>
      <c r="C1129" s="23"/>
      <c r="D1129" s="24"/>
      <c r="E1129" s="25"/>
      <c r="F1129" s="23"/>
      <c r="G1129" s="26"/>
      <c r="H1129" s="27"/>
      <c r="J1129" s="28"/>
      <c r="K1129" s="23"/>
    </row>
    <row r="1130" spans="1:11" ht="15.75" customHeight="1">
      <c r="A1130" s="22"/>
      <c r="B1130" s="22"/>
      <c r="C1130" s="23"/>
      <c r="D1130" s="24"/>
      <c r="E1130" s="25"/>
      <c r="F1130" s="23"/>
      <c r="G1130" s="26"/>
      <c r="H1130" s="27"/>
      <c r="J1130" s="28"/>
      <c r="K1130" s="23"/>
    </row>
    <row r="1131" spans="1:11" ht="15.75" customHeight="1">
      <c r="A1131" s="22"/>
      <c r="B1131" s="22"/>
      <c r="C1131" s="23"/>
      <c r="D1131" s="24"/>
      <c r="E1131" s="25"/>
      <c r="F1131" s="23"/>
      <c r="G1131" s="26"/>
      <c r="H1131" s="27"/>
      <c r="J1131" s="28"/>
      <c r="K1131" s="23"/>
    </row>
    <row r="1132" spans="1:11" ht="15.75" customHeight="1">
      <c r="A1132" s="22"/>
      <c r="B1132" s="22"/>
      <c r="C1132" s="23"/>
      <c r="D1132" s="24"/>
      <c r="E1132" s="25"/>
      <c r="F1132" s="23"/>
      <c r="G1132" s="26"/>
      <c r="H1132" s="27"/>
      <c r="J1132" s="28"/>
      <c r="K1132" s="23"/>
    </row>
    <row r="1133" spans="1:11" ht="15.75" customHeight="1">
      <c r="A1133" s="22"/>
      <c r="B1133" s="22"/>
      <c r="C1133" s="23"/>
      <c r="D1133" s="24"/>
      <c r="E1133" s="25"/>
      <c r="F1133" s="23"/>
      <c r="G1133" s="26"/>
      <c r="H1133" s="27"/>
      <c r="J1133" s="28"/>
      <c r="K1133" s="23"/>
    </row>
    <row r="1134" spans="1:11" ht="15.75" customHeight="1">
      <c r="A1134" s="22"/>
      <c r="B1134" s="22"/>
      <c r="C1134" s="23"/>
      <c r="D1134" s="24"/>
      <c r="E1134" s="25"/>
      <c r="F1134" s="23"/>
      <c r="G1134" s="26"/>
      <c r="H1134" s="27"/>
      <c r="J1134" s="28"/>
      <c r="K1134" s="23"/>
    </row>
    <row r="1135" spans="1:11" ht="15.75" customHeight="1">
      <c r="A1135" s="22"/>
      <c r="B1135" s="22"/>
      <c r="C1135" s="23"/>
      <c r="D1135" s="24"/>
      <c r="E1135" s="25"/>
      <c r="F1135" s="23"/>
      <c r="G1135" s="26"/>
      <c r="H1135" s="27"/>
      <c r="J1135" s="28"/>
      <c r="K1135" s="23"/>
    </row>
    <row r="1136" spans="1:11" ht="15.75" customHeight="1">
      <c r="A1136" s="22"/>
      <c r="B1136" s="22"/>
      <c r="C1136" s="23"/>
      <c r="D1136" s="24"/>
      <c r="E1136" s="25"/>
      <c r="F1136" s="23"/>
      <c r="G1136" s="26"/>
      <c r="H1136" s="27"/>
      <c r="J1136" s="28"/>
      <c r="K1136" s="23"/>
    </row>
    <row r="1137" spans="1:11" ht="15.75" customHeight="1">
      <c r="A1137" s="22"/>
      <c r="B1137" s="22"/>
      <c r="C1137" s="23"/>
      <c r="D1137" s="24"/>
      <c r="E1137" s="25"/>
      <c r="F1137" s="23"/>
      <c r="G1137" s="26"/>
      <c r="H1137" s="27"/>
      <c r="J1137" s="28"/>
      <c r="K1137" s="23"/>
    </row>
    <row r="1138" spans="1:11" ht="15.75" customHeight="1">
      <c r="A1138" s="22"/>
      <c r="B1138" s="22"/>
      <c r="C1138" s="23"/>
      <c r="D1138" s="24"/>
      <c r="E1138" s="25"/>
      <c r="F1138" s="23"/>
      <c r="G1138" s="26"/>
      <c r="H1138" s="27"/>
      <c r="J1138" s="28"/>
      <c r="K1138" s="23"/>
    </row>
    <row r="1139" spans="1:11" ht="15.75" customHeight="1">
      <c r="A1139" s="22"/>
      <c r="B1139" s="22"/>
      <c r="C1139" s="23"/>
      <c r="D1139" s="24"/>
      <c r="E1139" s="25"/>
      <c r="F1139" s="23"/>
      <c r="G1139" s="26"/>
      <c r="H1139" s="27"/>
      <c r="J1139" s="28"/>
      <c r="K1139" s="23"/>
    </row>
    <row r="1140" spans="1:11" ht="15.75" customHeight="1">
      <c r="A1140" s="22"/>
      <c r="B1140" s="22"/>
      <c r="C1140" s="23"/>
      <c r="D1140" s="24"/>
      <c r="E1140" s="25"/>
      <c r="F1140" s="23"/>
      <c r="G1140" s="26"/>
      <c r="H1140" s="27"/>
      <c r="J1140" s="28"/>
      <c r="K1140" s="23"/>
    </row>
    <row r="1141" spans="1:11" ht="15.75" customHeight="1">
      <c r="A1141" s="22"/>
      <c r="B1141" s="22"/>
      <c r="C1141" s="23"/>
      <c r="D1141" s="24"/>
      <c r="E1141" s="25"/>
      <c r="F1141" s="23"/>
      <c r="G1141" s="26"/>
      <c r="H1141" s="27"/>
      <c r="J1141" s="28"/>
      <c r="K1141" s="23"/>
    </row>
    <row r="1142" spans="1:11" ht="15.75" customHeight="1">
      <c r="A1142" s="22"/>
      <c r="B1142" s="22"/>
      <c r="C1142" s="23"/>
      <c r="D1142" s="24"/>
      <c r="E1142" s="25"/>
      <c r="F1142" s="23"/>
      <c r="G1142" s="26"/>
      <c r="H1142" s="27"/>
      <c r="J1142" s="28"/>
      <c r="K1142" s="23"/>
    </row>
    <row r="1143" spans="1:11" ht="15.75" customHeight="1">
      <c r="A1143" s="22"/>
      <c r="B1143" s="22"/>
      <c r="C1143" s="23"/>
      <c r="D1143" s="24"/>
      <c r="E1143" s="25"/>
      <c r="F1143" s="23"/>
      <c r="G1143" s="26"/>
      <c r="H1143" s="27"/>
      <c r="J1143" s="28"/>
      <c r="K1143" s="23"/>
    </row>
    <row r="1144" spans="1:11" ht="15.75" customHeight="1">
      <c r="A1144" s="22"/>
      <c r="B1144" s="22"/>
      <c r="C1144" s="23"/>
      <c r="D1144" s="24"/>
      <c r="E1144" s="25"/>
      <c r="F1144" s="23"/>
      <c r="G1144" s="26"/>
      <c r="H1144" s="27"/>
      <c r="J1144" s="28"/>
      <c r="K1144" s="23"/>
    </row>
    <row r="1145" spans="1:11" ht="15.75" customHeight="1">
      <c r="A1145" s="22"/>
      <c r="B1145" s="22"/>
      <c r="C1145" s="23"/>
      <c r="D1145" s="24"/>
      <c r="E1145" s="25"/>
      <c r="F1145" s="23"/>
      <c r="G1145" s="26"/>
      <c r="H1145" s="27"/>
      <c r="J1145" s="28"/>
      <c r="K1145" s="23"/>
    </row>
    <row r="1146" spans="1:11" ht="15.75" customHeight="1">
      <c r="A1146" s="22"/>
      <c r="B1146" s="22"/>
      <c r="C1146" s="23"/>
      <c r="D1146" s="24"/>
      <c r="E1146" s="25"/>
      <c r="F1146" s="23"/>
      <c r="G1146" s="26"/>
      <c r="H1146" s="27"/>
      <c r="J1146" s="28"/>
      <c r="K1146" s="23"/>
    </row>
    <row r="1147" spans="1:11" ht="15.75" customHeight="1">
      <c r="A1147" s="22"/>
      <c r="B1147" s="22"/>
      <c r="C1147" s="23"/>
      <c r="D1147" s="24"/>
      <c r="E1147" s="25"/>
      <c r="F1147" s="23"/>
      <c r="G1147" s="26"/>
      <c r="H1147" s="27"/>
      <c r="J1147" s="28"/>
      <c r="K1147" s="23"/>
    </row>
    <row r="1148" spans="1:11" ht="15.75" customHeight="1">
      <c r="A1148" s="22"/>
      <c r="B1148" s="22"/>
      <c r="C1148" s="23"/>
      <c r="D1148" s="24"/>
      <c r="E1148" s="25"/>
      <c r="F1148" s="23"/>
      <c r="G1148" s="26"/>
      <c r="H1148" s="27"/>
      <c r="J1148" s="28"/>
      <c r="K1148" s="23"/>
    </row>
    <row r="1149" spans="1:11" ht="15.75" customHeight="1">
      <c r="A1149" s="22"/>
      <c r="B1149" s="22"/>
      <c r="C1149" s="23"/>
      <c r="D1149" s="24"/>
      <c r="E1149" s="25"/>
      <c r="F1149" s="23"/>
      <c r="G1149" s="26"/>
      <c r="H1149" s="27"/>
      <c r="J1149" s="28"/>
      <c r="K1149" s="23"/>
    </row>
    <row r="1150" spans="1:11" ht="15.75" customHeight="1">
      <c r="A1150" s="22"/>
      <c r="B1150" s="22"/>
      <c r="C1150" s="23"/>
      <c r="D1150" s="24"/>
      <c r="E1150" s="25"/>
      <c r="F1150" s="23"/>
      <c r="G1150" s="26"/>
      <c r="H1150" s="27"/>
      <c r="J1150" s="28"/>
      <c r="K1150" s="23"/>
    </row>
    <row r="1151" spans="1:11" ht="15.75" customHeight="1">
      <c r="A1151" s="22"/>
      <c r="B1151" s="22"/>
      <c r="C1151" s="23"/>
      <c r="D1151" s="24"/>
      <c r="E1151" s="25"/>
      <c r="F1151" s="23"/>
      <c r="G1151" s="26"/>
      <c r="H1151" s="27"/>
      <c r="J1151" s="28"/>
      <c r="K1151" s="23"/>
    </row>
    <row r="1152" spans="1:11" ht="15.75" customHeight="1">
      <c r="A1152" s="22"/>
      <c r="B1152" s="22"/>
      <c r="C1152" s="23"/>
      <c r="D1152" s="24"/>
      <c r="E1152" s="25"/>
      <c r="F1152" s="23"/>
      <c r="G1152" s="26"/>
      <c r="H1152" s="27"/>
      <c r="J1152" s="28"/>
      <c r="K1152" s="23"/>
    </row>
    <row r="1153" spans="1:11" ht="15.75" customHeight="1">
      <c r="A1153" s="22"/>
      <c r="B1153" s="22"/>
      <c r="C1153" s="23"/>
      <c r="D1153" s="24"/>
      <c r="E1153" s="25"/>
      <c r="F1153" s="23"/>
      <c r="G1153" s="26"/>
      <c r="H1153" s="27"/>
      <c r="J1153" s="28"/>
      <c r="K1153" s="23"/>
    </row>
    <row r="1154" spans="1:11" ht="15.75" customHeight="1">
      <c r="A1154" s="22"/>
      <c r="B1154" s="22"/>
      <c r="C1154" s="23"/>
      <c r="D1154" s="24"/>
      <c r="E1154" s="25"/>
      <c r="F1154" s="23"/>
      <c r="G1154" s="26"/>
      <c r="H1154" s="27"/>
      <c r="J1154" s="28"/>
      <c r="K1154" s="23"/>
    </row>
    <row r="1155" spans="1:11" ht="15.75" customHeight="1">
      <c r="A1155" s="22"/>
      <c r="B1155" s="22"/>
      <c r="C1155" s="23"/>
      <c r="D1155" s="24"/>
      <c r="E1155" s="25"/>
      <c r="F1155" s="23"/>
      <c r="G1155" s="26"/>
      <c r="H1155" s="27"/>
      <c r="J1155" s="28"/>
      <c r="K1155" s="23"/>
    </row>
    <row r="1156" spans="1:11" ht="15.75" customHeight="1">
      <c r="A1156" s="22"/>
      <c r="B1156" s="22"/>
      <c r="C1156" s="23"/>
      <c r="D1156" s="24"/>
      <c r="E1156" s="25"/>
      <c r="F1156" s="23"/>
      <c r="G1156" s="26"/>
      <c r="H1156" s="27"/>
      <c r="J1156" s="28"/>
      <c r="K1156" s="23"/>
    </row>
    <row r="1157" spans="1:11" ht="15.75" customHeight="1">
      <c r="A1157" s="22"/>
      <c r="B1157" s="22"/>
      <c r="C1157" s="23"/>
      <c r="D1157" s="24"/>
      <c r="E1157" s="25"/>
      <c r="F1157" s="23"/>
      <c r="G1157" s="26"/>
      <c r="H1157" s="27"/>
      <c r="J1157" s="28"/>
      <c r="K1157" s="23"/>
    </row>
    <row r="1158" spans="1:11" ht="15.75" customHeight="1">
      <c r="A1158" s="22"/>
      <c r="B1158" s="22"/>
      <c r="C1158" s="23"/>
      <c r="D1158" s="24"/>
      <c r="E1158" s="25"/>
      <c r="F1158" s="23"/>
      <c r="G1158" s="26"/>
      <c r="H1158" s="27"/>
      <c r="J1158" s="28"/>
      <c r="K1158" s="23"/>
    </row>
    <row r="1159" spans="1:11" ht="15.75" customHeight="1">
      <c r="A1159" s="22"/>
      <c r="B1159" s="22"/>
      <c r="C1159" s="23"/>
      <c r="D1159" s="24"/>
      <c r="E1159" s="25"/>
      <c r="F1159" s="23"/>
      <c r="G1159" s="26"/>
      <c r="H1159" s="27"/>
      <c r="J1159" s="28"/>
      <c r="K1159" s="23"/>
    </row>
    <row r="1160" spans="1:11" ht="15.75" customHeight="1">
      <c r="A1160" s="22"/>
      <c r="B1160" s="22"/>
      <c r="C1160" s="23"/>
      <c r="D1160" s="24"/>
      <c r="E1160" s="25"/>
      <c r="F1160" s="23"/>
      <c r="G1160" s="26"/>
      <c r="H1160" s="27"/>
      <c r="J1160" s="28"/>
      <c r="K1160" s="23"/>
    </row>
    <row r="1161" spans="1:11" ht="15.75" customHeight="1">
      <c r="A1161" s="22"/>
      <c r="B1161" s="22"/>
      <c r="C1161" s="23"/>
      <c r="D1161" s="24"/>
      <c r="E1161" s="25"/>
      <c r="F1161" s="23"/>
      <c r="G1161" s="26"/>
      <c r="H1161" s="27"/>
      <c r="J1161" s="28"/>
      <c r="K1161" s="23"/>
    </row>
    <row r="1162" spans="1:11" ht="15.75" customHeight="1">
      <c r="A1162" s="22"/>
      <c r="B1162" s="22"/>
      <c r="C1162" s="23"/>
      <c r="D1162" s="24"/>
      <c r="E1162" s="25"/>
      <c r="F1162" s="23"/>
      <c r="G1162" s="26"/>
      <c r="H1162" s="27"/>
      <c r="J1162" s="28"/>
      <c r="K1162" s="23"/>
    </row>
    <row r="1163" spans="1:11" ht="15.75" customHeight="1">
      <c r="A1163" s="22"/>
      <c r="B1163" s="22"/>
      <c r="C1163" s="23"/>
      <c r="D1163" s="24"/>
      <c r="E1163" s="25"/>
      <c r="F1163" s="23"/>
      <c r="G1163" s="26"/>
      <c r="H1163" s="27"/>
      <c r="J1163" s="28"/>
      <c r="K1163" s="23"/>
    </row>
    <row r="1164" spans="1:11" ht="15.75" customHeight="1">
      <c r="A1164" s="22"/>
      <c r="B1164" s="22"/>
      <c r="C1164" s="23"/>
      <c r="D1164" s="24"/>
      <c r="E1164" s="25"/>
      <c r="F1164" s="23"/>
      <c r="G1164" s="26"/>
      <c r="H1164" s="27"/>
      <c r="J1164" s="28"/>
      <c r="K1164" s="23"/>
    </row>
    <row r="1165" spans="1:11" ht="15.75" customHeight="1">
      <c r="A1165" s="22"/>
      <c r="B1165" s="22"/>
      <c r="C1165" s="23"/>
      <c r="D1165" s="24"/>
      <c r="E1165" s="25"/>
      <c r="F1165" s="23"/>
      <c r="G1165" s="26"/>
      <c r="H1165" s="27"/>
      <c r="J1165" s="28"/>
      <c r="K1165" s="23"/>
    </row>
    <row r="1166" spans="1:11" ht="15.75" customHeight="1">
      <c r="A1166" s="22"/>
      <c r="B1166" s="22"/>
      <c r="C1166" s="23"/>
      <c r="D1166" s="24"/>
      <c r="E1166" s="25"/>
      <c r="F1166" s="23"/>
      <c r="G1166" s="26"/>
      <c r="H1166" s="27"/>
      <c r="J1166" s="28"/>
      <c r="K1166" s="23"/>
    </row>
    <row r="1167" spans="1:11" ht="15.75" customHeight="1">
      <c r="A1167" s="22"/>
      <c r="B1167" s="22"/>
      <c r="C1167" s="23"/>
      <c r="D1167" s="24"/>
      <c r="E1167" s="25"/>
      <c r="F1167" s="23"/>
      <c r="G1167" s="26"/>
      <c r="H1167" s="27"/>
      <c r="J1167" s="28"/>
      <c r="K1167" s="23"/>
    </row>
    <row r="1168" spans="1:11" ht="15.75" customHeight="1">
      <c r="A1168" s="22"/>
      <c r="B1168" s="22"/>
      <c r="C1168" s="23"/>
      <c r="D1168" s="24"/>
      <c r="E1168" s="25"/>
      <c r="F1168" s="23"/>
      <c r="G1168" s="26"/>
      <c r="H1168" s="27"/>
      <c r="J1168" s="28"/>
      <c r="K1168" s="23"/>
    </row>
    <row r="1169" spans="1:11" ht="15.75" customHeight="1">
      <c r="A1169" s="22"/>
      <c r="B1169" s="22"/>
      <c r="C1169" s="23"/>
      <c r="D1169" s="24"/>
      <c r="E1169" s="25"/>
      <c r="F1169" s="23"/>
      <c r="G1169" s="26"/>
      <c r="H1169" s="27"/>
      <c r="J1169" s="28"/>
      <c r="K1169" s="23"/>
    </row>
    <row r="1170" spans="1:11" ht="15.75" customHeight="1">
      <c r="A1170" s="22"/>
      <c r="B1170" s="22"/>
      <c r="C1170" s="23"/>
      <c r="D1170" s="24"/>
      <c r="E1170" s="25"/>
      <c r="F1170" s="23"/>
      <c r="G1170" s="26"/>
      <c r="H1170" s="27"/>
      <c r="J1170" s="28"/>
      <c r="K1170" s="23"/>
    </row>
    <row r="1171" spans="1:11" ht="15.75" customHeight="1">
      <c r="A1171" s="22"/>
      <c r="B1171" s="22"/>
      <c r="C1171" s="23"/>
      <c r="D1171" s="24"/>
      <c r="E1171" s="25"/>
      <c r="F1171" s="23"/>
      <c r="G1171" s="26"/>
      <c r="H1171" s="27"/>
      <c r="J1171" s="28"/>
      <c r="K1171" s="23"/>
    </row>
    <row r="1172" spans="1:11" ht="15.75" customHeight="1">
      <c r="A1172" s="22"/>
      <c r="B1172" s="22"/>
      <c r="C1172" s="23"/>
      <c r="D1172" s="24"/>
      <c r="E1172" s="25"/>
      <c r="F1172" s="23"/>
      <c r="G1172" s="26"/>
      <c r="H1172" s="27"/>
      <c r="J1172" s="28"/>
      <c r="K1172" s="23"/>
    </row>
    <row r="1173" spans="1:11" ht="15.75" customHeight="1">
      <c r="A1173" s="22"/>
      <c r="B1173" s="22"/>
      <c r="C1173" s="23"/>
      <c r="D1173" s="24"/>
      <c r="E1173" s="25"/>
      <c r="F1173" s="23"/>
      <c r="G1173" s="26"/>
      <c r="H1173" s="27"/>
      <c r="J1173" s="28"/>
      <c r="K1173" s="23"/>
    </row>
    <row r="1174" spans="1:11" ht="15.75" customHeight="1">
      <c r="A1174" s="22"/>
      <c r="B1174" s="22"/>
      <c r="C1174" s="23"/>
      <c r="D1174" s="24"/>
      <c r="E1174" s="25"/>
      <c r="F1174" s="23"/>
      <c r="G1174" s="26"/>
      <c r="H1174" s="27"/>
      <c r="J1174" s="28"/>
      <c r="K1174" s="23"/>
    </row>
    <row r="1175" spans="1:11" ht="15.75" customHeight="1">
      <c r="A1175" s="22"/>
      <c r="B1175" s="22"/>
      <c r="C1175" s="23"/>
      <c r="D1175" s="24"/>
      <c r="E1175" s="25"/>
      <c r="F1175" s="23"/>
      <c r="G1175" s="26"/>
      <c r="H1175" s="27"/>
      <c r="J1175" s="28"/>
      <c r="K1175" s="23"/>
    </row>
    <row r="1176" spans="1:11" ht="15.75" customHeight="1">
      <c r="A1176" s="22"/>
      <c r="B1176" s="22"/>
      <c r="C1176" s="23"/>
      <c r="D1176" s="24"/>
      <c r="E1176" s="25"/>
      <c r="F1176" s="23"/>
      <c r="G1176" s="26"/>
      <c r="H1176" s="27"/>
      <c r="J1176" s="28"/>
      <c r="K1176" s="23"/>
    </row>
    <row r="1177" spans="1:11" ht="15.75" customHeight="1">
      <c r="A1177" s="22"/>
      <c r="B1177" s="22"/>
      <c r="C1177" s="23"/>
      <c r="D1177" s="24"/>
      <c r="E1177" s="25"/>
      <c r="F1177" s="23"/>
      <c r="G1177" s="26"/>
      <c r="H1177" s="27"/>
      <c r="J1177" s="28"/>
      <c r="K1177" s="23"/>
    </row>
    <row r="1178" spans="1:11" ht="15.75" customHeight="1">
      <c r="A1178" s="22"/>
      <c r="B1178" s="22"/>
      <c r="C1178" s="23"/>
      <c r="D1178" s="24"/>
      <c r="E1178" s="25"/>
      <c r="F1178" s="23"/>
      <c r="G1178" s="26"/>
      <c r="H1178" s="27"/>
      <c r="J1178" s="28"/>
      <c r="K1178" s="23"/>
    </row>
    <row r="1179" spans="1:11" ht="15.75" customHeight="1">
      <c r="A1179" s="22"/>
      <c r="B1179" s="22"/>
      <c r="C1179" s="23"/>
      <c r="D1179" s="24"/>
      <c r="E1179" s="25"/>
      <c r="F1179" s="23"/>
      <c r="G1179" s="26"/>
      <c r="H1179" s="27"/>
      <c r="J1179" s="28"/>
      <c r="K1179" s="23"/>
    </row>
    <row r="1180" spans="1:11" ht="15.75" customHeight="1">
      <c r="A1180" s="22"/>
      <c r="B1180" s="22"/>
      <c r="C1180" s="23"/>
      <c r="D1180" s="24"/>
      <c r="E1180" s="25"/>
      <c r="F1180" s="23"/>
      <c r="G1180" s="26"/>
      <c r="H1180" s="27"/>
      <c r="J1180" s="28"/>
      <c r="K1180" s="23"/>
    </row>
    <row r="1181" spans="1:11" ht="15.75" customHeight="1">
      <c r="A1181" s="22"/>
      <c r="B1181" s="22"/>
      <c r="C1181" s="23"/>
      <c r="D1181" s="24"/>
      <c r="E1181" s="25"/>
      <c r="F1181" s="23"/>
      <c r="G1181" s="26"/>
      <c r="H1181" s="27"/>
      <c r="J1181" s="28"/>
      <c r="K1181" s="23"/>
    </row>
    <row r="1182" spans="1:11" ht="15.75" customHeight="1">
      <c r="A1182" s="22"/>
      <c r="B1182" s="22"/>
      <c r="C1182" s="23"/>
      <c r="D1182" s="24"/>
      <c r="E1182" s="25"/>
      <c r="F1182" s="23"/>
      <c r="G1182" s="26"/>
      <c r="H1182" s="27"/>
      <c r="J1182" s="28"/>
      <c r="K1182" s="23"/>
    </row>
    <row r="1183" spans="1:11" ht="15.75" customHeight="1">
      <c r="A1183" s="22"/>
      <c r="B1183" s="22"/>
      <c r="C1183" s="23"/>
      <c r="D1183" s="24"/>
      <c r="E1183" s="25"/>
      <c r="F1183" s="23"/>
      <c r="G1183" s="26"/>
      <c r="H1183" s="27"/>
      <c r="J1183" s="28"/>
      <c r="K1183" s="23"/>
    </row>
    <row r="1184" spans="1:11" ht="15.75" customHeight="1">
      <c r="A1184" s="22"/>
      <c r="B1184" s="22"/>
      <c r="C1184" s="23"/>
      <c r="D1184" s="24"/>
      <c r="E1184" s="25"/>
      <c r="F1184" s="23"/>
      <c r="G1184" s="26"/>
      <c r="H1184" s="27"/>
      <c r="J1184" s="28"/>
      <c r="K1184" s="23"/>
    </row>
    <row r="1185" spans="1:11" ht="15.75" customHeight="1">
      <c r="A1185" s="22"/>
      <c r="B1185" s="22"/>
      <c r="C1185" s="23"/>
      <c r="D1185" s="24"/>
      <c r="E1185" s="25"/>
      <c r="F1185" s="23"/>
      <c r="G1185" s="26"/>
      <c r="H1185" s="27"/>
      <c r="J1185" s="28"/>
      <c r="K1185" s="23"/>
    </row>
    <row r="1186" spans="1:11" ht="15.75" customHeight="1">
      <c r="A1186" s="22"/>
      <c r="B1186" s="22"/>
      <c r="C1186" s="23"/>
      <c r="D1186" s="24"/>
      <c r="E1186" s="25"/>
      <c r="F1186" s="23"/>
      <c r="G1186" s="26"/>
      <c r="H1186" s="27"/>
      <c r="J1186" s="28"/>
      <c r="K1186" s="23"/>
    </row>
    <row r="1187" spans="1:11" ht="15.75" customHeight="1">
      <c r="A1187" s="22"/>
      <c r="B1187" s="22"/>
      <c r="C1187" s="23"/>
      <c r="D1187" s="24"/>
      <c r="E1187" s="25"/>
      <c r="F1187" s="23"/>
      <c r="G1187" s="26"/>
      <c r="H1187" s="27"/>
      <c r="J1187" s="28"/>
      <c r="K1187" s="23"/>
    </row>
    <row r="1188" spans="1:11" ht="15.75" customHeight="1">
      <c r="A1188" s="22"/>
      <c r="B1188" s="22"/>
      <c r="C1188" s="23"/>
      <c r="D1188" s="24"/>
      <c r="E1188" s="25"/>
      <c r="F1188" s="23"/>
      <c r="G1188" s="26"/>
      <c r="H1188" s="27"/>
      <c r="J1188" s="28"/>
      <c r="K1188" s="23"/>
    </row>
    <row r="1189" spans="1:11" ht="15.75" customHeight="1">
      <c r="A1189" s="22"/>
      <c r="B1189" s="22"/>
      <c r="C1189" s="23"/>
      <c r="D1189" s="24"/>
      <c r="E1189" s="25"/>
      <c r="F1189" s="23"/>
      <c r="G1189" s="26"/>
      <c r="H1189" s="27"/>
      <c r="J1189" s="28"/>
      <c r="K1189" s="23"/>
    </row>
    <row r="1190" spans="1:11" ht="15.75" customHeight="1">
      <c r="A1190" s="22"/>
      <c r="B1190" s="22"/>
      <c r="C1190" s="23"/>
      <c r="D1190" s="24"/>
      <c r="E1190" s="25"/>
      <c r="F1190" s="23"/>
      <c r="G1190" s="26"/>
      <c r="H1190" s="27"/>
      <c r="J1190" s="28"/>
      <c r="K1190" s="23"/>
    </row>
    <row r="1191" spans="1:11" ht="15.75" customHeight="1">
      <c r="A1191" s="22"/>
      <c r="B1191" s="22"/>
      <c r="C1191" s="23"/>
      <c r="D1191" s="24"/>
      <c r="E1191" s="25"/>
      <c r="F1191" s="23"/>
      <c r="G1191" s="26"/>
      <c r="H1191" s="27"/>
      <c r="J1191" s="28"/>
      <c r="K1191" s="23"/>
    </row>
    <row r="1192" spans="1:11" ht="15.75" customHeight="1">
      <c r="A1192" s="22"/>
      <c r="B1192" s="22"/>
      <c r="C1192" s="23"/>
      <c r="D1192" s="24"/>
      <c r="E1192" s="25"/>
      <c r="F1192" s="23"/>
      <c r="G1192" s="26"/>
      <c r="H1192" s="27"/>
      <c r="J1192" s="28"/>
      <c r="K1192" s="23"/>
    </row>
    <row r="1193" spans="1:11" ht="15.75" customHeight="1">
      <c r="A1193" s="22"/>
      <c r="B1193" s="22"/>
      <c r="C1193" s="23"/>
      <c r="D1193" s="24"/>
      <c r="E1193" s="25"/>
      <c r="F1193" s="23"/>
      <c r="G1193" s="26"/>
      <c r="H1193" s="27"/>
      <c r="J1193" s="28"/>
      <c r="K1193" s="23"/>
    </row>
    <row r="1194" spans="1:11" ht="15.75" customHeight="1">
      <c r="A1194" s="22"/>
      <c r="B1194" s="22"/>
      <c r="C1194" s="23"/>
      <c r="D1194" s="24"/>
      <c r="E1194" s="25"/>
      <c r="F1194" s="23"/>
      <c r="G1194" s="26"/>
      <c r="H1194" s="27"/>
      <c r="J1194" s="28"/>
      <c r="K1194" s="23"/>
    </row>
    <row r="1195" spans="1:11" ht="15.75" customHeight="1">
      <c r="A1195" s="22"/>
      <c r="B1195" s="22"/>
      <c r="C1195" s="23"/>
      <c r="D1195" s="24"/>
      <c r="E1195" s="25"/>
      <c r="F1195" s="23"/>
      <c r="G1195" s="26"/>
      <c r="H1195" s="27"/>
      <c r="J1195" s="28"/>
      <c r="K1195" s="23"/>
    </row>
    <row r="1196" spans="1:11" ht="15.75" customHeight="1">
      <c r="A1196" s="22"/>
      <c r="B1196" s="22"/>
      <c r="C1196" s="23"/>
      <c r="D1196" s="24"/>
      <c r="E1196" s="25"/>
      <c r="F1196" s="23"/>
      <c r="G1196" s="26"/>
      <c r="H1196" s="27"/>
      <c r="J1196" s="28"/>
      <c r="K1196" s="23"/>
    </row>
    <row r="1197" spans="1:11" ht="15.75" customHeight="1">
      <c r="A1197" s="22"/>
      <c r="B1197" s="22"/>
      <c r="C1197" s="23"/>
      <c r="D1197" s="24"/>
      <c r="E1197" s="25"/>
      <c r="F1197" s="23"/>
      <c r="G1197" s="26"/>
      <c r="H1197" s="27"/>
      <c r="J1197" s="28"/>
      <c r="K1197" s="23"/>
    </row>
    <row r="1198" spans="1:11" ht="15.75" customHeight="1">
      <c r="A1198" s="22"/>
      <c r="B1198" s="22"/>
      <c r="C1198" s="23"/>
      <c r="D1198" s="24"/>
      <c r="E1198" s="25"/>
      <c r="F1198" s="23"/>
      <c r="G1198" s="26"/>
      <c r="H1198" s="27"/>
      <c r="J1198" s="28"/>
      <c r="K1198" s="23"/>
    </row>
    <row r="1199" spans="1:11" ht="15.75" customHeight="1">
      <c r="A1199" s="22"/>
      <c r="B1199" s="22"/>
      <c r="C1199" s="23"/>
      <c r="D1199" s="24"/>
      <c r="E1199" s="25"/>
      <c r="F1199" s="23"/>
      <c r="G1199" s="26"/>
      <c r="H1199" s="27"/>
      <c r="J1199" s="28"/>
      <c r="K1199" s="23"/>
    </row>
    <row r="1200" spans="1:11" ht="15.75" customHeight="1">
      <c r="A1200" s="22"/>
      <c r="B1200" s="22"/>
      <c r="C1200" s="23"/>
      <c r="D1200" s="24"/>
      <c r="E1200" s="25"/>
      <c r="F1200" s="23"/>
      <c r="G1200" s="26"/>
      <c r="H1200" s="27"/>
      <c r="J1200" s="28"/>
      <c r="K1200" s="23"/>
    </row>
    <row r="1201" spans="1:11" ht="15.75" customHeight="1">
      <c r="A1201" s="22"/>
      <c r="B1201" s="22"/>
      <c r="C1201" s="23"/>
      <c r="D1201" s="24"/>
      <c r="E1201" s="25"/>
      <c r="F1201" s="23"/>
      <c r="G1201" s="26"/>
      <c r="H1201" s="27"/>
      <c r="J1201" s="28"/>
      <c r="K1201" s="23"/>
    </row>
    <row r="1202" spans="1:11" ht="15.75" customHeight="1">
      <c r="A1202" s="22"/>
      <c r="B1202" s="22"/>
      <c r="C1202" s="23"/>
      <c r="D1202" s="24"/>
      <c r="E1202" s="25"/>
      <c r="F1202" s="23"/>
      <c r="G1202" s="26"/>
      <c r="H1202" s="27"/>
      <c r="J1202" s="28"/>
      <c r="K1202" s="23"/>
    </row>
    <row r="1203" spans="1:11" ht="15.75" customHeight="1">
      <c r="A1203" s="22"/>
      <c r="B1203" s="22"/>
      <c r="C1203" s="23"/>
      <c r="D1203" s="24"/>
      <c r="E1203" s="25"/>
      <c r="F1203" s="23"/>
      <c r="G1203" s="26"/>
      <c r="H1203" s="27"/>
      <c r="J1203" s="28"/>
      <c r="K1203" s="23"/>
    </row>
    <row r="1204" spans="1:11" ht="15.75" customHeight="1">
      <c r="A1204" s="22"/>
      <c r="B1204" s="22"/>
      <c r="C1204" s="23"/>
      <c r="D1204" s="24"/>
      <c r="E1204" s="25"/>
      <c r="F1204" s="23"/>
      <c r="G1204" s="26"/>
      <c r="H1204" s="27"/>
      <c r="J1204" s="28"/>
      <c r="K1204" s="23"/>
    </row>
    <row r="1205" spans="1:11" ht="15.75" customHeight="1">
      <c r="A1205" s="22"/>
      <c r="B1205" s="22"/>
      <c r="C1205" s="23"/>
      <c r="D1205" s="24"/>
      <c r="E1205" s="25"/>
      <c r="F1205" s="23"/>
      <c r="G1205" s="26"/>
      <c r="H1205" s="27"/>
      <c r="J1205" s="28"/>
      <c r="K1205" s="23"/>
    </row>
    <row r="1206" spans="1:11" ht="15.75" customHeight="1">
      <c r="A1206" s="22"/>
      <c r="B1206" s="22"/>
      <c r="C1206" s="23"/>
      <c r="D1206" s="24"/>
      <c r="E1206" s="25"/>
      <c r="F1206" s="23"/>
      <c r="G1206" s="26"/>
      <c r="H1206" s="27"/>
      <c r="J1206" s="28"/>
      <c r="K1206" s="23"/>
    </row>
    <row r="1207" spans="1:11" ht="15.75" customHeight="1">
      <c r="A1207" s="22"/>
      <c r="B1207" s="22"/>
      <c r="C1207" s="23"/>
      <c r="D1207" s="24"/>
      <c r="E1207" s="25"/>
      <c r="F1207" s="23"/>
      <c r="G1207" s="26"/>
      <c r="H1207" s="27"/>
      <c r="J1207" s="28"/>
      <c r="K1207" s="23"/>
    </row>
    <row r="1208" spans="1:11" ht="15.75" customHeight="1">
      <c r="A1208" s="22"/>
      <c r="B1208" s="22"/>
      <c r="C1208" s="23"/>
      <c r="D1208" s="24"/>
      <c r="E1208" s="25"/>
      <c r="F1208" s="23"/>
      <c r="G1208" s="26"/>
      <c r="H1208" s="27"/>
      <c r="J1208" s="28"/>
      <c r="K1208" s="23"/>
    </row>
    <row r="1209" spans="1:11" ht="15.75" customHeight="1">
      <c r="A1209" s="22"/>
      <c r="B1209" s="22"/>
      <c r="C1209" s="23"/>
      <c r="D1209" s="24"/>
      <c r="E1209" s="25"/>
      <c r="F1209" s="23"/>
      <c r="G1209" s="26"/>
      <c r="H1209" s="27"/>
      <c r="J1209" s="28"/>
      <c r="K1209" s="23"/>
    </row>
    <row r="1210" spans="1:11" ht="15.75" customHeight="1">
      <c r="A1210" s="22"/>
      <c r="B1210" s="22"/>
      <c r="C1210" s="23"/>
      <c r="D1210" s="24"/>
      <c r="E1210" s="25"/>
      <c r="F1210" s="23"/>
      <c r="G1210" s="26"/>
      <c r="H1210" s="27"/>
      <c r="J1210" s="28"/>
      <c r="K1210" s="23"/>
    </row>
    <row r="1211" spans="1:11" ht="15.75" customHeight="1">
      <c r="A1211" s="22"/>
      <c r="B1211" s="22"/>
      <c r="C1211" s="23"/>
      <c r="D1211" s="24"/>
      <c r="E1211" s="25"/>
      <c r="F1211" s="23"/>
      <c r="G1211" s="26"/>
      <c r="H1211" s="27"/>
      <c r="J1211" s="28"/>
      <c r="K1211" s="23"/>
    </row>
    <row r="1212" spans="1:11" ht="15.75" customHeight="1">
      <c r="A1212" s="22"/>
      <c r="B1212" s="22"/>
      <c r="C1212" s="23"/>
      <c r="D1212" s="24"/>
      <c r="E1212" s="25"/>
      <c r="F1212" s="23"/>
      <c r="G1212" s="26"/>
      <c r="H1212" s="27"/>
      <c r="J1212" s="28"/>
      <c r="K1212" s="23"/>
    </row>
    <row r="1213" spans="1:11" ht="15.75" customHeight="1">
      <c r="A1213" s="22"/>
      <c r="B1213" s="22"/>
      <c r="C1213" s="23"/>
      <c r="D1213" s="24"/>
      <c r="E1213" s="25"/>
      <c r="F1213" s="23"/>
      <c r="G1213" s="26"/>
      <c r="H1213" s="27"/>
      <c r="J1213" s="28"/>
      <c r="K1213" s="23"/>
    </row>
    <row r="1214" spans="1:11" ht="15.75" customHeight="1">
      <c r="A1214" s="22"/>
      <c r="B1214" s="22"/>
      <c r="C1214" s="23"/>
      <c r="D1214" s="24"/>
      <c r="E1214" s="25"/>
      <c r="F1214" s="23"/>
      <c r="G1214" s="26"/>
      <c r="H1214" s="27"/>
      <c r="J1214" s="28"/>
      <c r="K1214" s="23"/>
    </row>
    <row r="1215" spans="1:11" ht="15.75" customHeight="1">
      <c r="A1215" s="22"/>
      <c r="B1215" s="22"/>
      <c r="C1215" s="23"/>
      <c r="D1215" s="24"/>
      <c r="E1215" s="25"/>
      <c r="F1215" s="23"/>
      <c r="G1215" s="26"/>
      <c r="H1215" s="27"/>
      <c r="J1215" s="28"/>
      <c r="K1215" s="23"/>
    </row>
    <row r="1216" spans="1:11" ht="15.75" customHeight="1">
      <c r="A1216" s="22"/>
      <c r="B1216" s="22"/>
      <c r="C1216" s="23"/>
      <c r="D1216" s="24"/>
      <c r="E1216" s="25"/>
      <c r="F1216" s="23"/>
      <c r="G1216" s="26"/>
      <c r="H1216" s="27"/>
      <c r="J1216" s="28"/>
      <c r="K1216" s="23"/>
    </row>
    <row r="1217" spans="1:11" ht="15.75" customHeight="1">
      <c r="A1217" s="22"/>
      <c r="B1217" s="22"/>
      <c r="C1217" s="23"/>
      <c r="D1217" s="24"/>
      <c r="E1217" s="25"/>
      <c r="F1217" s="23"/>
      <c r="G1217" s="26"/>
      <c r="H1217" s="27"/>
      <c r="J1217" s="28"/>
      <c r="K1217" s="23"/>
    </row>
    <row r="1218" spans="1:11" ht="15.75" customHeight="1">
      <c r="A1218" s="22"/>
      <c r="B1218" s="22"/>
      <c r="C1218" s="23"/>
      <c r="D1218" s="24"/>
      <c r="E1218" s="25"/>
      <c r="F1218" s="23"/>
      <c r="G1218" s="26"/>
      <c r="H1218" s="27"/>
      <c r="J1218" s="28"/>
      <c r="K1218" s="23"/>
    </row>
    <row r="1219" spans="1:11" ht="15.75" customHeight="1">
      <c r="A1219" s="22"/>
      <c r="B1219" s="22"/>
      <c r="C1219" s="23"/>
      <c r="D1219" s="24"/>
      <c r="E1219" s="25"/>
      <c r="F1219" s="23"/>
      <c r="G1219" s="26"/>
      <c r="H1219" s="27"/>
      <c r="J1219" s="28"/>
      <c r="K1219" s="23"/>
    </row>
    <row r="1220" spans="1:11" ht="15.75" customHeight="1">
      <c r="A1220" s="22"/>
      <c r="B1220" s="22"/>
      <c r="C1220" s="23"/>
      <c r="D1220" s="24"/>
      <c r="E1220" s="25"/>
      <c r="F1220" s="23"/>
      <c r="G1220" s="26"/>
      <c r="H1220" s="27"/>
      <c r="J1220" s="28"/>
      <c r="K1220" s="23"/>
    </row>
    <row r="1221" spans="1:11" ht="15.75" customHeight="1">
      <c r="A1221" s="22"/>
      <c r="B1221" s="22"/>
      <c r="C1221" s="23"/>
      <c r="D1221" s="24"/>
      <c r="E1221" s="25"/>
      <c r="F1221" s="23"/>
      <c r="G1221" s="26"/>
      <c r="H1221" s="27"/>
      <c r="J1221" s="28"/>
      <c r="K1221" s="23"/>
    </row>
    <row r="1222" spans="1:11" ht="15.75" customHeight="1">
      <c r="A1222" s="22"/>
      <c r="B1222" s="22"/>
      <c r="C1222" s="23"/>
      <c r="D1222" s="24"/>
      <c r="E1222" s="25"/>
      <c r="F1222" s="23"/>
      <c r="G1222" s="26"/>
      <c r="H1222" s="27"/>
      <c r="J1222" s="28"/>
      <c r="K1222" s="23"/>
    </row>
    <row r="1223" spans="1:11" ht="15.75" customHeight="1">
      <c r="A1223" s="22"/>
      <c r="B1223" s="22"/>
      <c r="C1223" s="23"/>
      <c r="D1223" s="24"/>
      <c r="E1223" s="25"/>
      <c r="F1223" s="23"/>
      <c r="G1223" s="26"/>
      <c r="H1223" s="27"/>
      <c r="J1223" s="28"/>
      <c r="K1223" s="23"/>
    </row>
    <row r="1224" spans="1:11" ht="15.75" customHeight="1">
      <c r="A1224" s="22"/>
      <c r="B1224" s="22"/>
      <c r="C1224" s="23"/>
      <c r="D1224" s="24"/>
      <c r="E1224" s="25"/>
      <c r="F1224" s="23"/>
      <c r="G1224" s="26"/>
      <c r="H1224" s="27"/>
      <c r="J1224" s="28"/>
      <c r="K1224" s="23"/>
    </row>
    <row r="1225" spans="1:11" ht="15.75" customHeight="1">
      <c r="A1225" s="22"/>
      <c r="B1225" s="22"/>
      <c r="C1225" s="23"/>
      <c r="D1225" s="24"/>
      <c r="E1225" s="25"/>
      <c r="F1225" s="23"/>
      <c r="G1225" s="26"/>
      <c r="H1225" s="27"/>
      <c r="J1225" s="28"/>
      <c r="K1225" s="23"/>
    </row>
    <row r="1226" spans="1:11" ht="15.75" customHeight="1">
      <c r="A1226" s="22"/>
      <c r="B1226" s="22"/>
      <c r="C1226" s="23"/>
      <c r="D1226" s="24"/>
      <c r="E1226" s="25"/>
      <c r="F1226" s="23"/>
      <c r="G1226" s="26"/>
      <c r="H1226" s="27"/>
      <c r="J1226" s="28"/>
      <c r="K1226" s="23"/>
    </row>
    <row r="1227" spans="1:11" ht="15.75" customHeight="1">
      <c r="A1227" s="22"/>
      <c r="B1227" s="22"/>
      <c r="C1227" s="23"/>
      <c r="D1227" s="24"/>
      <c r="E1227" s="25"/>
      <c r="F1227" s="23"/>
      <c r="G1227" s="26"/>
      <c r="H1227" s="27"/>
      <c r="J1227" s="28"/>
      <c r="K1227" s="23"/>
    </row>
    <row r="1228" spans="1:11" ht="15.75" customHeight="1">
      <c r="A1228" s="22"/>
      <c r="B1228" s="22"/>
      <c r="C1228" s="23"/>
      <c r="D1228" s="24"/>
      <c r="E1228" s="25"/>
      <c r="F1228" s="23"/>
      <c r="G1228" s="26"/>
      <c r="H1228" s="27"/>
      <c r="J1228" s="28"/>
      <c r="K1228" s="23"/>
    </row>
    <row r="1229" spans="1:11" ht="15.75" customHeight="1">
      <c r="A1229" s="22"/>
      <c r="B1229" s="22"/>
      <c r="C1229" s="23"/>
      <c r="D1229" s="24"/>
      <c r="E1229" s="25"/>
      <c r="F1229" s="23"/>
      <c r="G1229" s="26"/>
      <c r="H1229" s="27"/>
      <c r="J1229" s="28"/>
      <c r="K1229" s="23"/>
    </row>
    <row r="1230" spans="1:11" ht="15.75" customHeight="1">
      <c r="A1230" s="22"/>
      <c r="B1230" s="22"/>
      <c r="C1230" s="23"/>
      <c r="D1230" s="24"/>
      <c r="E1230" s="25"/>
      <c r="F1230" s="23"/>
      <c r="G1230" s="26"/>
      <c r="H1230" s="27"/>
      <c r="J1230" s="28"/>
      <c r="K1230" s="23"/>
    </row>
    <row r="1231" spans="1:11" ht="15.75" customHeight="1">
      <c r="A1231" s="22"/>
      <c r="B1231" s="22"/>
      <c r="C1231" s="23"/>
      <c r="D1231" s="24"/>
      <c r="E1231" s="25"/>
      <c r="F1231" s="23"/>
      <c r="G1231" s="26"/>
      <c r="H1231" s="27"/>
      <c r="J1231" s="28"/>
      <c r="K1231" s="23"/>
    </row>
    <row r="1232" spans="1:11" ht="15.75" customHeight="1">
      <c r="A1232" s="22"/>
      <c r="B1232" s="22"/>
      <c r="C1232" s="23"/>
      <c r="D1232" s="24"/>
      <c r="E1232" s="25"/>
      <c r="F1232" s="23"/>
      <c r="G1232" s="26"/>
      <c r="H1232" s="27"/>
      <c r="J1232" s="28"/>
      <c r="K1232" s="23"/>
    </row>
    <row r="1233" spans="1:11" ht="15.75" customHeight="1">
      <c r="A1233" s="22"/>
      <c r="B1233" s="22"/>
      <c r="C1233" s="23"/>
      <c r="D1233" s="24"/>
      <c r="E1233" s="25"/>
      <c r="F1233" s="23"/>
      <c r="G1233" s="26"/>
      <c r="H1233" s="27"/>
      <c r="J1233" s="28"/>
      <c r="K1233" s="23"/>
    </row>
    <row r="1234" spans="1:11" ht="15.75" customHeight="1">
      <c r="A1234" s="22"/>
      <c r="B1234" s="22"/>
      <c r="C1234" s="23"/>
      <c r="D1234" s="24"/>
      <c r="E1234" s="25"/>
      <c r="F1234" s="23"/>
      <c r="G1234" s="26"/>
      <c r="H1234" s="27"/>
      <c r="J1234" s="28"/>
      <c r="K1234" s="23"/>
    </row>
    <row r="1235" spans="1:11" ht="15.75" customHeight="1">
      <c r="A1235" s="22"/>
      <c r="B1235" s="22"/>
      <c r="C1235" s="23"/>
      <c r="D1235" s="24"/>
      <c r="E1235" s="25"/>
      <c r="F1235" s="23"/>
      <c r="G1235" s="26"/>
      <c r="H1235" s="27"/>
      <c r="J1235" s="28"/>
      <c r="K1235" s="23"/>
    </row>
    <row r="1236" spans="1:11" ht="15.75" customHeight="1">
      <c r="A1236" s="22"/>
      <c r="B1236" s="22"/>
      <c r="C1236" s="23"/>
      <c r="D1236" s="24"/>
      <c r="E1236" s="25"/>
      <c r="F1236" s="23"/>
      <c r="G1236" s="26"/>
      <c r="H1236" s="27"/>
      <c r="J1236" s="28"/>
      <c r="K1236" s="23"/>
    </row>
    <row r="1237" spans="1:11" ht="15.75" customHeight="1">
      <c r="A1237" s="22"/>
      <c r="B1237" s="22"/>
      <c r="C1237" s="23"/>
      <c r="D1237" s="24"/>
      <c r="E1237" s="25"/>
      <c r="F1237" s="23"/>
      <c r="G1237" s="26"/>
      <c r="H1237" s="27"/>
      <c r="J1237" s="28"/>
      <c r="K1237" s="23"/>
    </row>
    <row r="1238" spans="1:11" ht="15.75" customHeight="1">
      <c r="A1238" s="22"/>
      <c r="B1238" s="22"/>
      <c r="C1238" s="23"/>
      <c r="D1238" s="24"/>
      <c r="E1238" s="25"/>
      <c r="F1238" s="23"/>
      <c r="G1238" s="26"/>
      <c r="H1238" s="27"/>
      <c r="J1238" s="28"/>
      <c r="K1238" s="23"/>
    </row>
    <row r="1239" spans="1:11" ht="15.75" customHeight="1">
      <c r="A1239" s="22"/>
      <c r="B1239" s="22"/>
      <c r="C1239" s="23"/>
      <c r="D1239" s="24"/>
      <c r="E1239" s="25"/>
      <c r="F1239" s="23"/>
      <c r="G1239" s="26"/>
      <c r="H1239" s="27"/>
      <c r="J1239" s="28"/>
      <c r="K1239" s="23"/>
    </row>
    <row r="1240" spans="1:11" ht="15.75" customHeight="1">
      <c r="A1240" s="22"/>
      <c r="B1240" s="22"/>
      <c r="C1240" s="23"/>
      <c r="D1240" s="24"/>
      <c r="E1240" s="25"/>
      <c r="F1240" s="23"/>
      <c r="G1240" s="26"/>
      <c r="H1240" s="27"/>
      <c r="J1240" s="28"/>
      <c r="K1240" s="23"/>
    </row>
    <row r="1241" spans="1:11" ht="15.75" customHeight="1">
      <c r="A1241" s="22"/>
      <c r="B1241" s="22"/>
      <c r="C1241" s="23"/>
      <c r="D1241" s="24"/>
      <c r="E1241" s="25"/>
      <c r="F1241" s="23"/>
      <c r="G1241" s="26"/>
      <c r="H1241" s="27"/>
      <c r="J1241" s="28"/>
      <c r="K1241" s="23"/>
    </row>
    <row r="1242" spans="1:11" ht="15.75" customHeight="1">
      <c r="A1242" s="22"/>
      <c r="B1242" s="22"/>
      <c r="C1242" s="23"/>
      <c r="D1242" s="24"/>
      <c r="E1242" s="25"/>
      <c r="F1242" s="23"/>
      <c r="G1242" s="26"/>
      <c r="H1242" s="27"/>
      <c r="J1242" s="28"/>
      <c r="K1242" s="23"/>
    </row>
    <row r="1243" spans="1:11" ht="15.75" customHeight="1">
      <c r="A1243" s="22"/>
      <c r="B1243" s="22"/>
      <c r="C1243" s="23"/>
      <c r="D1243" s="24"/>
      <c r="E1243" s="25"/>
      <c r="F1243" s="23"/>
      <c r="G1243" s="26"/>
      <c r="H1243" s="27"/>
      <c r="J1243" s="28"/>
      <c r="K1243" s="23"/>
    </row>
    <row r="1244" spans="1:11" ht="15.75" customHeight="1">
      <c r="A1244" s="22"/>
      <c r="B1244" s="22"/>
      <c r="C1244" s="23"/>
      <c r="D1244" s="24"/>
      <c r="E1244" s="25"/>
      <c r="F1244" s="23"/>
      <c r="G1244" s="26"/>
      <c r="H1244" s="27"/>
      <c r="J1244" s="28"/>
      <c r="K1244" s="23"/>
    </row>
    <row r="1245" spans="1:11" ht="15.75" customHeight="1">
      <c r="A1245" s="22"/>
      <c r="B1245" s="22"/>
      <c r="C1245" s="23"/>
      <c r="D1245" s="24"/>
      <c r="E1245" s="25"/>
      <c r="F1245" s="23"/>
      <c r="G1245" s="26"/>
      <c r="H1245" s="27"/>
      <c r="J1245" s="28"/>
      <c r="K1245" s="23"/>
    </row>
    <row r="1246" spans="1:11" ht="15.75" customHeight="1">
      <c r="A1246" s="22"/>
      <c r="B1246" s="22"/>
      <c r="C1246" s="23"/>
      <c r="D1246" s="24"/>
      <c r="E1246" s="25"/>
      <c r="F1246" s="23"/>
      <c r="G1246" s="26"/>
      <c r="H1246" s="27"/>
      <c r="J1246" s="28"/>
      <c r="K1246" s="23"/>
    </row>
    <row r="1247" spans="1:11" ht="15.75" customHeight="1">
      <c r="A1247" s="22"/>
      <c r="B1247" s="22"/>
      <c r="C1247" s="23"/>
      <c r="D1247" s="24"/>
      <c r="E1247" s="25"/>
      <c r="F1247" s="23"/>
      <c r="G1247" s="26"/>
      <c r="H1247" s="27"/>
      <c r="J1247" s="28"/>
      <c r="K1247" s="23"/>
    </row>
    <row r="1248" spans="1:11" ht="15.75" customHeight="1">
      <c r="A1248" s="22"/>
      <c r="B1248" s="22"/>
      <c r="C1248" s="23"/>
      <c r="D1248" s="24"/>
      <c r="E1248" s="25"/>
      <c r="F1248" s="23"/>
      <c r="G1248" s="26"/>
      <c r="H1248" s="27"/>
      <c r="J1248" s="28"/>
      <c r="K1248" s="23"/>
    </row>
    <row r="1249" spans="1:11" ht="15.75" customHeight="1">
      <c r="A1249" s="22"/>
      <c r="B1249" s="22"/>
      <c r="C1249" s="23"/>
      <c r="D1249" s="24"/>
      <c r="E1249" s="25"/>
      <c r="F1249" s="23"/>
      <c r="G1249" s="26"/>
      <c r="H1249" s="27"/>
      <c r="J1249" s="28"/>
      <c r="K1249" s="23"/>
    </row>
    <row r="1250" spans="1:11" ht="15.75" customHeight="1">
      <c r="A1250" s="22"/>
      <c r="B1250" s="22"/>
      <c r="C1250" s="23"/>
      <c r="D1250" s="24"/>
      <c r="E1250" s="25"/>
      <c r="F1250" s="23"/>
      <c r="G1250" s="26"/>
      <c r="H1250" s="27"/>
      <c r="J1250" s="28"/>
      <c r="K1250" s="23"/>
    </row>
    <row r="1251" spans="1:11" ht="15.75" customHeight="1">
      <c r="A1251" s="22"/>
      <c r="B1251" s="22"/>
      <c r="C1251" s="23"/>
      <c r="D1251" s="24"/>
      <c r="E1251" s="25"/>
      <c r="F1251" s="23"/>
      <c r="G1251" s="26"/>
      <c r="H1251" s="27"/>
      <c r="J1251" s="28"/>
      <c r="K1251" s="23"/>
    </row>
    <row r="1252" spans="1:11" ht="15.75" customHeight="1">
      <c r="A1252" s="22"/>
      <c r="B1252" s="22"/>
      <c r="C1252" s="23"/>
      <c r="D1252" s="24"/>
      <c r="E1252" s="25"/>
      <c r="F1252" s="23"/>
      <c r="G1252" s="26"/>
      <c r="H1252" s="27"/>
      <c r="J1252" s="28"/>
      <c r="K1252" s="23"/>
    </row>
    <row r="1253" spans="1:11" ht="15.75" customHeight="1">
      <c r="A1253" s="22"/>
      <c r="B1253" s="22"/>
      <c r="C1253" s="23"/>
      <c r="D1253" s="24"/>
      <c r="E1253" s="25"/>
      <c r="F1253" s="23"/>
      <c r="G1253" s="26"/>
      <c r="H1253" s="27"/>
      <c r="J1253" s="28"/>
      <c r="K1253" s="23"/>
    </row>
    <row r="1254" spans="1:11" ht="15.75" customHeight="1">
      <c r="A1254" s="22"/>
      <c r="B1254" s="22"/>
      <c r="C1254" s="23"/>
      <c r="D1254" s="24"/>
      <c r="E1254" s="25"/>
      <c r="F1254" s="23"/>
      <c r="G1254" s="26"/>
      <c r="H1254" s="27"/>
      <c r="J1254" s="28"/>
      <c r="K1254" s="23"/>
    </row>
    <row r="1255" spans="1:11" ht="15.75" customHeight="1">
      <c r="A1255" s="22"/>
      <c r="B1255" s="22"/>
      <c r="C1255" s="23"/>
      <c r="D1255" s="24"/>
      <c r="E1255" s="25"/>
      <c r="F1255" s="23"/>
      <c r="G1255" s="26"/>
      <c r="H1255" s="27"/>
      <c r="J1255" s="28"/>
      <c r="K1255" s="23"/>
    </row>
    <row r="1256" spans="1:11" ht="15.75" customHeight="1">
      <c r="A1256" s="22"/>
      <c r="B1256" s="22"/>
      <c r="C1256" s="23"/>
      <c r="D1256" s="24"/>
      <c r="E1256" s="25"/>
      <c r="F1256" s="23"/>
      <c r="G1256" s="26"/>
      <c r="H1256" s="27"/>
      <c r="J1256" s="28"/>
      <c r="K1256" s="23"/>
    </row>
    <row r="1257" spans="1:11" ht="15.75" customHeight="1">
      <c r="A1257" s="22"/>
      <c r="B1257" s="22"/>
      <c r="C1257" s="23"/>
      <c r="D1257" s="24"/>
      <c r="E1257" s="25"/>
      <c r="F1257" s="23"/>
      <c r="G1257" s="26"/>
      <c r="H1257" s="27"/>
      <c r="J1257" s="28"/>
      <c r="K1257" s="23"/>
    </row>
    <row r="1258" spans="1:11" ht="15.75" customHeight="1">
      <c r="A1258" s="22"/>
      <c r="B1258" s="22"/>
      <c r="C1258" s="23"/>
      <c r="D1258" s="24"/>
      <c r="E1258" s="25"/>
      <c r="F1258" s="23"/>
      <c r="G1258" s="26"/>
      <c r="H1258" s="27"/>
      <c r="J1258" s="28"/>
      <c r="K1258" s="23"/>
    </row>
    <row r="1259" spans="1:11" ht="15.75" customHeight="1">
      <c r="A1259" s="22"/>
      <c r="B1259" s="22"/>
      <c r="C1259" s="23"/>
      <c r="D1259" s="24"/>
      <c r="E1259" s="25"/>
      <c r="F1259" s="23"/>
      <c r="G1259" s="26"/>
      <c r="H1259" s="27"/>
      <c r="J1259" s="28"/>
      <c r="K1259" s="23"/>
    </row>
    <row r="1260" spans="1:11" ht="15.75" customHeight="1">
      <c r="A1260" s="22"/>
      <c r="B1260" s="22"/>
      <c r="C1260" s="23"/>
      <c r="D1260" s="24"/>
      <c r="E1260" s="25"/>
      <c r="F1260" s="23"/>
      <c r="G1260" s="26"/>
      <c r="H1260" s="27"/>
      <c r="J1260" s="28"/>
      <c r="K1260" s="23"/>
    </row>
    <row r="1261" spans="1:11" ht="15.75" customHeight="1">
      <c r="A1261" s="22"/>
      <c r="B1261" s="22"/>
      <c r="C1261" s="23"/>
      <c r="D1261" s="24"/>
      <c r="E1261" s="25"/>
      <c r="F1261" s="23"/>
      <c r="G1261" s="26"/>
      <c r="H1261" s="27"/>
      <c r="J1261" s="28"/>
      <c r="K1261" s="23"/>
    </row>
    <row r="1262" spans="1:11" ht="15.75" customHeight="1">
      <c r="A1262" s="22"/>
      <c r="B1262" s="22"/>
      <c r="C1262" s="23"/>
      <c r="D1262" s="24"/>
      <c r="E1262" s="25"/>
      <c r="F1262" s="23"/>
      <c r="G1262" s="26"/>
      <c r="H1262" s="27"/>
      <c r="J1262" s="28"/>
      <c r="K1262" s="23"/>
    </row>
    <row r="1263" spans="1:11" ht="15.75" customHeight="1">
      <c r="A1263" s="22"/>
      <c r="B1263" s="22"/>
      <c r="C1263" s="23"/>
      <c r="D1263" s="24"/>
      <c r="E1263" s="25"/>
      <c r="F1263" s="23"/>
      <c r="G1263" s="26"/>
      <c r="H1263" s="27"/>
      <c r="J1263" s="28"/>
      <c r="K1263" s="23"/>
    </row>
    <row r="1264" spans="1:11" ht="15.75" customHeight="1">
      <c r="A1264" s="22"/>
      <c r="B1264" s="22"/>
      <c r="C1264" s="23"/>
      <c r="D1264" s="24"/>
      <c r="E1264" s="25"/>
      <c r="F1264" s="23"/>
      <c r="G1264" s="26"/>
      <c r="H1264" s="27"/>
      <c r="J1264" s="28"/>
      <c r="K1264" s="23"/>
    </row>
    <row r="1265" spans="1:11" ht="15.75" customHeight="1">
      <c r="A1265" s="22"/>
      <c r="B1265" s="22"/>
      <c r="C1265" s="23"/>
      <c r="D1265" s="24"/>
      <c r="E1265" s="25"/>
      <c r="F1265" s="23"/>
      <c r="G1265" s="26"/>
      <c r="H1265" s="27"/>
      <c r="J1265" s="28"/>
      <c r="K1265" s="23"/>
    </row>
    <row r="1266" spans="1:11" ht="15.75" customHeight="1">
      <c r="A1266" s="22"/>
      <c r="B1266" s="22"/>
      <c r="C1266" s="23"/>
      <c r="D1266" s="24"/>
      <c r="E1266" s="25"/>
      <c r="F1266" s="23"/>
      <c r="G1266" s="26"/>
      <c r="H1266" s="27"/>
      <c r="J1266" s="28"/>
      <c r="K1266" s="23"/>
    </row>
    <row r="1267" spans="1:11" ht="15.75" customHeight="1">
      <c r="A1267" s="22"/>
      <c r="B1267" s="22"/>
      <c r="C1267" s="23"/>
      <c r="D1267" s="24"/>
      <c r="E1267" s="25"/>
      <c r="F1267" s="23"/>
      <c r="G1267" s="26"/>
      <c r="H1267" s="27"/>
      <c r="J1267" s="28"/>
      <c r="K1267" s="23"/>
    </row>
    <row r="1268" spans="1:11" ht="15.75" customHeight="1">
      <c r="A1268" s="22"/>
      <c r="B1268" s="22"/>
      <c r="C1268" s="23"/>
      <c r="D1268" s="24"/>
      <c r="E1268" s="25"/>
      <c r="F1268" s="23"/>
      <c r="G1268" s="26"/>
      <c r="H1268" s="27"/>
      <c r="J1268" s="28"/>
      <c r="K1268" s="23"/>
    </row>
    <row r="1269" spans="1:11" ht="15.75" customHeight="1">
      <c r="A1269" s="22"/>
      <c r="B1269" s="22"/>
      <c r="C1269" s="23"/>
      <c r="D1269" s="24"/>
      <c r="E1269" s="25"/>
      <c r="F1269" s="23"/>
      <c r="G1269" s="26"/>
      <c r="H1269" s="27"/>
      <c r="J1269" s="28"/>
      <c r="K1269" s="23"/>
    </row>
    <row r="1270" spans="1:11" ht="15.75" customHeight="1">
      <c r="A1270" s="22"/>
      <c r="B1270" s="22"/>
      <c r="C1270" s="23"/>
      <c r="D1270" s="24"/>
      <c r="E1270" s="25"/>
      <c r="F1270" s="23"/>
      <c r="G1270" s="26"/>
      <c r="H1270" s="27"/>
      <c r="J1270" s="28"/>
      <c r="K1270" s="23"/>
    </row>
    <row r="1271" spans="1:11" ht="15.75" customHeight="1">
      <c r="A1271" s="22"/>
      <c r="B1271" s="22"/>
      <c r="C1271" s="23"/>
      <c r="D1271" s="24"/>
      <c r="E1271" s="25"/>
      <c r="F1271" s="23"/>
      <c r="G1271" s="26"/>
      <c r="H1271" s="27"/>
      <c r="J1271" s="28"/>
      <c r="K1271" s="23"/>
    </row>
    <row r="1272" spans="1:11" ht="15.75" customHeight="1">
      <c r="A1272" s="22"/>
      <c r="B1272" s="22"/>
      <c r="C1272" s="23"/>
      <c r="D1272" s="24"/>
      <c r="E1272" s="25"/>
      <c r="F1272" s="23"/>
      <c r="G1272" s="26"/>
      <c r="H1272" s="27"/>
      <c r="J1272" s="28"/>
      <c r="K1272" s="23"/>
    </row>
    <row r="1273" spans="1:11" ht="15.75" customHeight="1">
      <c r="A1273" s="22"/>
      <c r="B1273" s="22"/>
      <c r="C1273" s="23"/>
      <c r="D1273" s="24"/>
      <c r="E1273" s="25"/>
      <c r="F1273" s="23"/>
      <c r="G1273" s="26"/>
      <c r="H1273" s="27"/>
      <c r="J1273" s="28"/>
      <c r="K1273" s="23"/>
    </row>
    <row r="1274" spans="1:11" ht="15.75" customHeight="1">
      <c r="A1274" s="22"/>
      <c r="B1274" s="22"/>
      <c r="C1274" s="23"/>
      <c r="D1274" s="24"/>
      <c r="E1274" s="25"/>
      <c r="F1274" s="23"/>
      <c r="G1274" s="26"/>
      <c r="H1274" s="27"/>
      <c r="J1274" s="28"/>
      <c r="K1274" s="23"/>
    </row>
    <row r="1275" spans="1:11" ht="15.75" customHeight="1">
      <c r="A1275" s="22"/>
      <c r="B1275" s="22"/>
      <c r="C1275" s="23"/>
      <c r="D1275" s="24"/>
      <c r="E1275" s="25"/>
      <c r="F1275" s="23"/>
      <c r="G1275" s="26"/>
      <c r="H1275" s="27"/>
      <c r="J1275" s="28"/>
      <c r="K1275" s="23"/>
    </row>
    <row r="1276" spans="1:11" ht="15.75" customHeight="1">
      <c r="A1276" s="22"/>
      <c r="B1276" s="22"/>
      <c r="C1276" s="23"/>
      <c r="D1276" s="24"/>
      <c r="E1276" s="25"/>
      <c r="F1276" s="23"/>
      <c r="G1276" s="26"/>
      <c r="H1276" s="27"/>
      <c r="J1276" s="28"/>
      <c r="K1276" s="23"/>
    </row>
    <row r="1277" spans="1:11" ht="15.75" customHeight="1">
      <c r="A1277" s="22"/>
      <c r="B1277" s="22"/>
      <c r="C1277" s="23"/>
      <c r="D1277" s="24"/>
      <c r="E1277" s="25"/>
      <c r="F1277" s="23"/>
      <c r="G1277" s="26"/>
      <c r="H1277" s="27"/>
      <c r="J1277" s="28"/>
      <c r="K1277" s="23"/>
    </row>
    <row r="1278" spans="1:11" ht="15.75" customHeight="1">
      <c r="A1278" s="22"/>
      <c r="B1278" s="22"/>
      <c r="C1278" s="23"/>
      <c r="D1278" s="24"/>
      <c r="E1278" s="25"/>
      <c r="F1278" s="23"/>
      <c r="G1278" s="26"/>
      <c r="H1278" s="27"/>
      <c r="J1278" s="28"/>
      <c r="K1278" s="23"/>
    </row>
    <row r="1279" spans="1:11" ht="15.75" customHeight="1">
      <c r="A1279" s="22"/>
      <c r="B1279" s="22"/>
      <c r="C1279" s="23"/>
      <c r="D1279" s="24"/>
      <c r="E1279" s="25"/>
      <c r="F1279" s="23"/>
      <c r="G1279" s="26"/>
      <c r="H1279" s="27"/>
      <c r="J1279" s="28"/>
      <c r="K1279" s="23"/>
    </row>
    <row r="1280" spans="1:11" ht="15.75" customHeight="1">
      <c r="A1280" s="22"/>
      <c r="B1280" s="22"/>
      <c r="C1280" s="23"/>
      <c r="D1280" s="24"/>
      <c r="E1280" s="25"/>
      <c r="F1280" s="23"/>
      <c r="G1280" s="26"/>
      <c r="H1280" s="27"/>
      <c r="J1280" s="28"/>
      <c r="K1280" s="23"/>
    </row>
    <row r="1281" spans="1:11" ht="15.75" customHeight="1">
      <c r="A1281" s="22"/>
      <c r="B1281" s="22"/>
      <c r="C1281" s="23"/>
      <c r="D1281" s="24"/>
      <c r="E1281" s="25"/>
      <c r="F1281" s="23"/>
      <c r="G1281" s="26"/>
      <c r="H1281" s="27"/>
      <c r="J1281" s="28"/>
      <c r="K1281" s="23"/>
    </row>
    <row r="1282" spans="1:11" ht="15.75" customHeight="1">
      <c r="A1282" s="22"/>
      <c r="B1282" s="22"/>
      <c r="C1282" s="23"/>
      <c r="D1282" s="24"/>
      <c r="E1282" s="25"/>
      <c r="F1282" s="23"/>
      <c r="G1282" s="26"/>
      <c r="H1282" s="27"/>
      <c r="J1282" s="28"/>
      <c r="K1282" s="23"/>
    </row>
    <row r="1283" spans="1:11" ht="15.75" customHeight="1">
      <c r="A1283" s="22"/>
      <c r="B1283" s="22"/>
      <c r="C1283" s="23"/>
      <c r="D1283" s="24"/>
      <c r="E1283" s="25"/>
      <c r="F1283" s="23"/>
      <c r="G1283" s="26"/>
      <c r="H1283" s="27"/>
      <c r="J1283" s="28"/>
      <c r="K1283" s="23"/>
    </row>
    <row r="1284" spans="1:11" ht="15.75" customHeight="1">
      <c r="A1284" s="22"/>
      <c r="B1284" s="22"/>
      <c r="C1284" s="23"/>
      <c r="D1284" s="24"/>
      <c r="E1284" s="25"/>
      <c r="F1284" s="23"/>
      <c r="G1284" s="26"/>
      <c r="H1284" s="27"/>
      <c r="J1284" s="28"/>
      <c r="K1284" s="23"/>
    </row>
    <row r="1285" spans="1:11" ht="15.75" customHeight="1">
      <c r="A1285" s="22"/>
      <c r="B1285" s="22"/>
      <c r="C1285" s="23"/>
      <c r="D1285" s="24"/>
      <c r="E1285" s="25"/>
      <c r="F1285" s="23"/>
      <c r="G1285" s="26"/>
      <c r="H1285" s="27"/>
      <c r="J1285" s="28"/>
      <c r="K1285" s="23"/>
    </row>
    <row r="1286" spans="1:11" ht="15.75" customHeight="1">
      <c r="A1286" s="22"/>
      <c r="B1286" s="22"/>
      <c r="C1286" s="23"/>
      <c r="D1286" s="24"/>
      <c r="E1286" s="25"/>
      <c r="F1286" s="23"/>
      <c r="G1286" s="26"/>
      <c r="H1286" s="27"/>
      <c r="J1286" s="28"/>
      <c r="K1286" s="23"/>
    </row>
    <row r="1287" spans="1:11" ht="15.75" customHeight="1">
      <c r="A1287" s="22"/>
      <c r="B1287" s="22"/>
      <c r="C1287" s="23"/>
      <c r="D1287" s="24"/>
      <c r="E1287" s="25"/>
      <c r="F1287" s="23"/>
      <c r="G1287" s="26"/>
      <c r="H1287" s="27"/>
      <c r="J1287" s="28"/>
      <c r="K1287" s="23"/>
    </row>
    <row r="1288" spans="1:11" ht="15.75" customHeight="1">
      <c r="A1288" s="22"/>
      <c r="B1288" s="22"/>
      <c r="C1288" s="23"/>
      <c r="D1288" s="24"/>
      <c r="E1288" s="25"/>
      <c r="F1288" s="23"/>
      <c r="G1288" s="26"/>
      <c r="H1288" s="27"/>
      <c r="J1288" s="28"/>
      <c r="K1288" s="23"/>
    </row>
    <row r="1289" spans="1:11" ht="15.75" customHeight="1">
      <c r="A1289" s="22"/>
      <c r="B1289" s="22"/>
      <c r="C1289" s="23"/>
      <c r="D1289" s="24"/>
      <c r="E1289" s="25"/>
      <c r="F1289" s="23"/>
      <c r="G1289" s="26"/>
      <c r="H1289" s="27"/>
      <c r="J1289" s="28"/>
      <c r="K1289" s="23"/>
    </row>
    <row r="1290" spans="1:11" ht="15.75" customHeight="1">
      <c r="A1290" s="22"/>
      <c r="B1290" s="22"/>
      <c r="C1290" s="23"/>
      <c r="D1290" s="24"/>
      <c r="E1290" s="25"/>
      <c r="F1290" s="23"/>
      <c r="G1290" s="26"/>
      <c r="H1290" s="27"/>
      <c r="J1290" s="28"/>
      <c r="K1290" s="23"/>
    </row>
    <row r="1291" spans="1:11" ht="15.75" customHeight="1">
      <c r="A1291" s="22"/>
      <c r="B1291" s="22"/>
      <c r="C1291" s="23"/>
      <c r="D1291" s="24"/>
      <c r="E1291" s="25"/>
      <c r="F1291" s="23"/>
      <c r="G1291" s="26"/>
      <c r="H1291" s="27"/>
      <c r="J1291" s="28"/>
      <c r="K1291" s="23"/>
    </row>
    <row r="1292" spans="1:11" ht="15.75" customHeight="1">
      <c r="A1292" s="22"/>
      <c r="B1292" s="22"/>
      <c r="C1292" s="23"/>
      <c r="D1292" s="24"/>
      <c r="E1292" s="25"/>
      <c r="F1292" s="23"/>
      <c r="G1292" s="26"/>
      <c r="H1292" s="27"/>
      <c r="J1292" s="28"/>
      <c r="K1292" s="23"/>
    </row>
    <row r="1293" spans="1:11" ht="15.75" customHeight="1">
      <c r="A1293" s="22"/>
      <c r="B1293" s="22"/>
      <c r="C1293" s="23"/>
      <c r="D1293" s="24"/>
      <c r="E1293" s="25"/>
      <c r="F1293" s="23"/>
      <c r="G1293" s="26"/>
      <c r="H1293" s="27"/>
      <c r="J1293" s="28"/>
      <c r="K1293" s="23"/>
    </row>
    <row r="1294" spans="1:11" ht="15.75" customHeight="1">
      <c r="A1294" s="22"/>
      <c r="B1294" s="22"/>
      <c r="C1294" s="23"/>
      <c r="D1294" s="24"/>
      <c r="E1294" s="25"/>
      <c r="F1294" s="23"/>
      <c r="G1294" s="26"/>
      <c r="H1294" s="27"/>
      <c r="J1294" s="28"/>
      <c r="K1294" s="23"/>
    </row>
    <row r="1295" spans="1:11" ht="15.75" customHeight="1">
      <c r="A1295" s="22"/>
      <c r="B1295" s="22"/>
      <c r="C1295" s="23"/>
      <c r="D1295" s="24"/>
      <c r="E1295" s="25"/>
      <c r="F1295" s="23"/>
      <c r="G1295" s="26"/>
      <c r="H1295" s="27"/>
      <c r="J1295" s="28"/>
      <c r="K1295" s="23"/>
    </row>
    <row r="1296" spans="1:11" ht="15.75" customHeight="1">
      <c r="A1296" s="22"/>
      <c r="B1296" s="22"/>
      <c r="C1296" s="23"/>
      <c r="D1296" s="24"/>
      <c r="E1296" s="25"/>
      <c r="F1296" s="23"/>
      <c r="G1296" s="26"/>
      <c r="H1296" s="27"/>
      <c r="J1296" s="28"/>
      <c r="K1296" s="23"/>
    </row>
    <row r="1297" spans="1:11" ht="15.75" customHeight="1">
      <c r="A1297" s="22"/>
      <c r="B1297" s="22"/>
      <c r="C1297" s="23"/>
      <c r="D1297" s="24"/>
      <c r="E1297" s="25"/>
      <c r="F1297" s="23"/>
      <c r="G1297" s="26"/>
      <c r="H1297" s="27"/>
      <c r="J1297" s="28"/>
      <c r="K1297" s="23"/>
    </row>
    <row r="1298" spans="1:11" ht="15.75" customHeight="1">
      <c r="A1298" s="22"/>
      <c r="B1298" s="22"/>
      <c r="C1298" s="23"/>
      <c r="D1298" s="24"/>
      <c r="E1298" s="25"/>
      <c r="F1298" s="23"/>
      <c r="G1298" s="26"/>
      <c r="H1298" s="27"/>
      <c r="J1298" s="28"/>
      <c r="K1298" s="23"/>
    </row>
    <row r="1299" spans="1:11" ht="15.75" customHeight="1">
      <c r="A1299" s="22"/>
      <c r="B1299" s="22"/>
      <c r="C1299" s="23"/>
      <c r="D1299" s="24"/>
      <c r="E1299" s="25"/>
      <c r="F1299" s="23"/>
      <c r="G1299" s="26"/>
      <c r="H1299" s="27"/>
      <c r="J1299" s="28"/>
      <c r="K1299" s="23"/>
    </row>
    <row r="1300" spans="1:11" ht="15.75" customHeight="1">
      <c r="A1300" s="22"/>
      <c r="B1300" s="22"/>
      <c r="C1300" s="23"/>
      <c r="D1300" s="24"/>
      <c r="E1300" s="25"/>
      <c r="F1300" s="23"/>
      <c r="G1300" s="26"/>
      <c r="H1300" s="27"/>
      <c r="J1300" s="28"/>
      <c r="K1300" s="23"/>
    </row>
    <row r="1301" spans="1:11" ht="15.75" customHeight="1">
      <c r="A1301" s="22"/>
      <c r="B1301" s="22"/>
      <c r="C1301" s="23"/>
      <c r="D1301" s="24"/>
      <c r="E1301" s="25"/>
      <c r="F1301" s="23"/>
      <c r="G1301" s="26"/>
      <c r="H1301" s="27"/>
      <c r="J1301" s="28"/>
      <c r="K1301" s="23"/>
    </row>
    <row r="1302" spans="1:11" ht="15.75" customHeight="1">
      <c r="A1302" s="22"/>
      <c r="B1302" s="22"/>
      <c r="C1302" s="23"/>
      <c r="D1302" s="24"/>
      <c r="E1302" s="25"/>
      <c r="F1302" s="23"/>
      <c r="G1302" s="26"/>
      <c r="H1302" s="27"/>
      <c r="J1302" s="28"/>
      <c r="K1302" s="23"/>
    </row>
    <row r="1303" spans="1:11" ht="15.75" customHeight="1">
      <c r="A1303" s="22"/>
      <c r="B1303" s="22"/>
      <c r="C1303" s="23"/>
      <c r="D1303" s="24"/>
      <c r="E1303" s="25"/>
      <c r="F1303" s="23"/>
      <c r="G1303" s="26"/>
      <c r="H1303" s="27"/>
      <c r="J1303" s="28"/>
      <c r="K1303" s="23"/>
    </row>
    <row r="1304" spans="1:11" ht="15.75" customHeight="1">
      <c r="A1304" s="22"/>
      <c r="B1304" s="22"/>
      <c r="C1304" s="23"/>
      <c r="D1304" s="24"/>
      <c r="E1304" s="25"/>
      <c r="F1304" s="23"/>
      <c r="G1304" s="26"/>
      <c r="H1304" s="27"/>
      <c r="J1304" s="28"/>
      <c r="K1304" s="23"/>
    </row>
    <row r="1305" spans="1:11" ht="15.75" customHeight="1">
      <c r="A1305" s="22"/>
      <c r="B1305" s="22"/>
      <c r="C1305" s="23"/>
      <c r="D1305" s="24"/>
      <c r="E1305" s="25"/>
      <c r="F1305" s="23"/>
      <c r="G1305" s="26"/>
      <c r="H1305" s="27"/>
      <c r="J1305" s="28"/>
      <c r="K1305" s="23"/>
    </row>
    <row r="1306" spans="1:11" ht="15.75" customHeight="1">
      <c r="A1306" s="22"/>
      <c r="B1306" s="22"/>
      <c r="C1306" s="23"/>
      <c r="D1306" s="24"/>
      <c r="E1306" s="25"/>
      <c r="F1306" s="23"/>
      <c r="G1306" s="26"/>
      <c r="H1306" s="27"/>
      <c r="J1306" s="28"/>
      <c r="K1306" s="23"/>
    </row>
    <row r="1307" spans="1:11" ht="15.75" customHeight="1">
      <c r="A1307" s="22"/>
      <c r="B1307" s="22"/>
      <c r="C1307" s="23"/>
      <c r="D1307" s="24"/>
      <c r="E1307" s="25"/>
      <c r="F1307" s="23"/>
      <c r="G1307" s="26"/>
      <c r="H1307" s="27"/>
      <c r="J1307" s="28"/>
      <c r="K1307" s="23"/>
    </row>
    <row r="1308" spans="1:11" ht="15.75" customHeight="1">
      <c r="A1308" s="22"/>
      <c r="B1308" s="22"/>
      <c r="C1308" s="23"/>
      <c r="D1308" s="24"/>
      <c r="E1308" s="25"/>
      <c r="F1308" s="23"/>
      <c r="G1308" s="26"/>
      <c r="H1308" s="27"/>
      <c r="J1308" s="28"/>
      <c r="K1308" s="23"/>
    </row>
    <row r="1309" spans="1:11" ht="15.75" customHeight="1">
      <c r="A1309" s="22"/>
      <c r="B1309" s="22"/>
      <c r="C1309" s="23"/>
      <c r="D1309" s="24"/>
      <c r="E1309" s="25"/>
      <c r="F1309" s="23"/>
      <c r="G1309" s="26"/>
      <c r="H1309" s="27"/>
      <c r="J1309" s="28"/>
      <c r="K1309" s="23"/>
    </row>
    <row r="1310" spans="1:11" ht="15.75" customHeight="1">
      <c r="A1310" s="22"/>
      <c r="B1310" s="22"/>
      <c r="C1310" s="23"/>
      <c r="D1310" s="24"/>
      <c r="E1310" s="25"/>
      <c r="F1310" s="23"/>
      <c r="G1310" s="26"/>
      <c r="H1310" s="27"/>
      <c r="J1310" s="28"/>
      <c r="K1310" s="23"/>
    </row>
    <row r="1311" spans="1:11" ht="15.75" customHeight="1">
      <c r="A1311" s="22"/>
      <c r="B1311" s="22"/>
      <c r="C1311" s="23"/>
      <c r="D1311" s="24"/>
      <c r="E1311" s="25"/>
      <c r="F1311" s="23"/>
      <c r="G1311" s="26"/>
      <c r="H1311" s="27"/>
      <c r="J1311" s="28"/>
      <c r="K1311" s="23"/>
    </row>
    <row r="1312" spans="1:11" ht="15.75" customHeight="1">
      <c r="A1312" s="22"/>
      <c r="B1312" s="22"/>
      <c r="C1312" s="23"/>
      <c r="D1312" s="24"/>
      <c r="E1312" s="25"/>
      <c r="F1312" s="23"/>
      <c r="G1312" s="26"/>
      <c r="H1312" s="27"/>
      <c r="J1312" s="28"/>
      <c r="K1312" s="23"/>
    </row>
    <row r="1313" spans="1:11" ht="15.75" customHeight="1">
      <c r="A1313" s="22"/>
      <c r="B1313" s="22"/>
      <c r="C1313" s="23"/>
      <c r="D1313" s="24"/>
      <c r="E1313" s="25"/>
      <c r="F1313" s="23"/>
      <c r="G1313" s="26"/>
      <c r="H1313" s="27"/>
      <c r="J1313" s="28"/>
      <c r="K1313" s="23"/>
    </row>
    <row r="1314" spans="1:11" ht="15.75" customHeight="1">
      <c r="A1314" s="22"/>
      <c r="B1314" s="22"/>
      <c r="C1314" s="23"/>
      <c r="D1314" s="24"/>
      <c r="E1314" s="25"/>
      <c r="F1314" s="23"/>
      <c r="G1314" s="26"/>
      <c r="H1314" s="27"/>
      <c r="J1314" s="28"/>
      <c r="K1314" s="23"/>
    </row>
    <row r="1315" spans="1:11" ht="15.75" customHeight="1">
      <c r="A1315" s="22"/>
      <c r="B1315" s="22"/>
      <c r="C1315" s="23"/>
      <c r="D1315" s="24"/>
      <c r="E1315" s="25"/>
      <c r="F1315" s="23"/>
      <c r="G1315" s="26"/>
      <c r="H1315" s="27"/>
      <c r="J1315" s="28"/>
      <c r="K1315" s="23"/>
    </row>
    <row r="1316" spans="1:11" ht="15.75" customHeight="1">
      <c r="A1316" s="22"/>
      <c r="B1316" s="22"/>
      <c r="C1316" s="23"/>
      <c r="D1316" s="24"/>
      <c r="E1316" s="25"/>
      <c r="F1316" s="23"/>
      <c r="G1316" s="26"/>
      <c r="H1316" s="27"/>
      <c r="J1316" s="28"/>
      <c r="K1316" s="23"/>
    </row>
    <row r="1317" spans="1:11" ht="15.75" customHeight="1">
      <c r="A1317" s="22"/>
      <c r="B1317" s="22"/>
      <c r="C1317" s="23"/>
      <c r="D1317" s="24"/>
      <c r="E1317" s="25"/>
      <c r="F1317" s="23"/>
      <c r="G1317" s="26"/>
      <c r="H1317" s="27"/>
      <c r="J1317" s="28"/>
      <c r="K1317" s="23"/>
    </row>
    <row r="1318" spans="1:11" ht="15.75" customHeight="1">
      <c r="A1318" s="22"/>
      <c r="B1318" s="22"/>
      <c r="C1318" s="23"/>
      <c r="D1318" s="24"/>
      <c r="E1318" s="25"/>
      <c r="F1318" s="23"/>
      <c r="G1318" s="26"/>
      <c r="H1318" s="27"/>
      <c r="J1318" s="28"/>
      <c r="K1318" s="23"/>
    </row>
    <row r="1319" spans="1:11" ht="15.75" customHeight="1">
      <c r="A1319" s="22"/>
      <c r="B1319" s="22"/>
      <c r="C1319" s="23"/>
      <c r="D1319" s="24"/>
      <c r="E1319" s="25"/>
      <c r="F1319" s="23"/>
      <c r="G1319" s="26"/>
      <c r="H1319" s="27"/>
      <c r="J1319" s="28"/>
      <c r="K1319" s="23"/>
    </row>
    <row r="1320" spans="1:11" ht="15.75" customHeight="1">
      <c r="A1320" s="22"/>
      <c r="B1320" s="22"/>
      <c r="C1320" s="23"/>
      <c r="D1320" s="24"/>
      <c r="E1320" s="25"/>
      <c r="F1320" s="23"/>
      <c r="G1320" s="26"/>
      <c r="H1320" s="27"/>
      <c r="J1320" s="28"/>
      <c r="K1320" s="23"/>
    </row>
    <row r="1321" spans="1:11" ht="15.75" customHeight="1">
      <c r="A1321" s="22"/>
      <c r="B1321" s="22"/>
      <c r="C1321" s="23"/>
      <c r="D1321" s="24"/>
      <c r="E1321" s="25"/>
      <c r="F1321" s="23"/>
      <c r="G1321" s="26"/>
      <c r="H1321" s="27"/>
      <c r="J1321" s="28"/>
      <c r="K1321" s="23"/>
    </row>
    <row r="1322" spans="1:11" ht="15.75" customHeight="1">
      <c r="A1322" s="22"/>
      <c r="B1322" s="22"/>
      <c r="C1322" s="23"/>
      <c r="D1322" s="24"/>
      <c r="E1322" s="25"/>
      <c r="F1322" s="23"/>
      <c r="G1322" s="26"/>
      <c r="H1322" s="27"/>
      <c r="J1322" s="28"/>
      <c r="K1322" s="23"/>
    </row>
    <row r="1323" spans="1:11" ht="15.75" customHeight="1">
      <c r="A1323" s="22"/>
      <c r="B1323" s="22"/>
      <c r="C1323" s="23"/>
      <c r="D1323" s="24"/>
      <c r="E1323" s="25"/>
      <c r="F1323" s="23"/>
      <c r="G1323" s="26"/>
      <c r="H1323" s="27"/>
      <c r="J1323" s="28"/>
      <c r="K1323" s="23"/>
    </row>
    <row r="1324" spans="1:11" ht="15.75" customHeight="1">
      <c r="A1324" s="22"/>
      <c r="B1324" s="22"/>
      <c r="C1324" s="23"/>
      <c r="D1324" s="24"/>
      <c r="E1324" s="25"/>
      <c r="F1324" s="23"/>
      <c r="G1324" s="26"/>
      <c r="H1324" s="27"/>
      <c r="J1324" s="28"/>
      <c r="K1324" s="23"/>
    </row>
    <row r="1325" spans="1:11" ht="15.75" customHeight="1">
      <c r="A1325" s="22"/>
      <c r="B1325" s="22"/>
      <c r="C1325" s="23"/>
      <c r="D1325" s="24"/>
      <c r="E1325" s="25"/>
      <c r="F1325" s="23"/>
      <c r="G1325" s="26"/>
      <c r="H1325" s="27"/>
      <c r="J1325" s="28"/>
      <c r="K1325" s="23"/>
    </row>
    <row r="1326" spans="1:11" ht="15.75" customHeight="1">
      <c r="A1326" s="22"/>
      <c r="B1326" s="22"/>
      <c r="C1326" s="23"/>
      <c r="D1326" s="24"/>
      <c r="E1326" s="25"/>
      <c r="F1326" s="23"/>
      <c r="G1326" s="26"/>
      <c r="H1326" s="27"/>
      <c r="J1326" s="28"/>
      <c r="K1326" s="23"/>
    </row>
    <row r="1327" spans="1:11" ht="15.75" customHeight="1">
      <c r="A1327" s="22"/>
      <c r="B1327" s="22"/>
      <c r="C1327" s="23"/>
      <c r="D1327" s="24"/>
      <c r="E1327" s="25"/>
      <c r="F1327" s="23"/>
      <c r="G1327" s="26"/>
      <c r="H1327" s="27"/>
      <c r="J1327" s="28"/>
      <c r="K1327" s="23"/>
    </row>
    <row r="1328" spans="1:11" ht="15.75" customHeight="1">
      <c r="A1328" s="22"/>
      <c r="B1328" s="22"/>
      <c r="C1328" s="23"/>
      <c r="D1328" s="24"/>
      <c r="E1328" s="25"/>
      <c r="F1328" s="23"/>
      <c r="G1328" s="26"/>
      <c r="H1328" s="27"/>
      <c r="J1328" s="28"/>
      <c r="K1328" s="23"/>
    </row>
    <row r="1329" spans="1:11" ht="15.75" customHeight="1">
      <c r="A1329" s="22"/>
      <c r="B1329" s="22"/>
      <c r="C1329" s="23"/>
      <c r="D1329" s="24"/>
      <c r="E1329" s="25"/>
      <c r="F1329" s="23"/>
      <c r="G1329" s="26"/>
      <c r="H1329" s="27"/>
      <c r="J1329" s="28"/>
      <c r="K1329" s="23"/>
    </row>
    <row r="1330" spans="1:11" ht="15.75" customHeight="1">
      <c r="A1330" s="22"/>
      <c r="B1330" s="22"/>
      <c r="C1330" s="23"/>
      <c r="D1330" s="24"/>
      <c r="E1330" s="25"/>
      <c r="F1330" s="23"/>
      <c r="G1330" s="26"/>
      <c r="H1330" s="27"/>
      <c r="J1330" s="28"/>
      <c r="K1330" s="23"/>
    </row>
    <row r="1331" spans="1:11" ht="15.75" customHeight="1">
      <c r="A1331" s="22"/>
      <c r="B1331" s="22"/>
      <c r="C1331" s="23"/>
      <c r="D1331" s="24"/>
      <c r="E1331" s="25"/>
      <c r="F1331" s="23"/>
      <c r="G1331" s="26"/>
      <c r="H1331" s="27"/>
      <c r="J1331" s="28"/>
      <c r="K1331" s="23"/>
    </row>
    <row r="1332" spans="1:11" ht="15.75" customHeight="1">
      <c r="A1332" s="22"/>
      <c r="B1332" s="22"/>
      <c r="C1332" s="23"/>
      <c r="D1332" s="24"/>
      <c r="E1332" s="25"/>
      <c r="F1332" s="23"/>
      <c r="G1332" s="26"/>
      <c r="H1332" s="27"/>
      <c r="J1332" s="28"/>
      <c r="K1332" s="23"/>
    </row>
    <row r="1333" spans="1:11" ht="15.75" customHeight="1">
      <c r="A1333" s="22"/>
      <c r="B1333" s="22"/>
      <c r="C1333" s="23"/>
      <c r="D1333" s="24"/>
      <c r="E1333" s="25"/>
      <c r="F1333" s="23"/>
      <c r="G1333" s="26"/>
      <c r="H1333" s="27"/>
      <c r="J1333" s="28"/>
      <c r="K1333" s="23"/>
    </row>
    <row r="1334" spans="1:11" ht="15.75" customHeight="1">
      <c r="A1334" s="22"/>
      <c r="B1334" s="22"/>
      <c r="C1334" s="23"/>
      <c r="D1334" s="24"/>
      <c r="E1334" s="25"/>
      <c r="F1334" s="23"/>
      <c r="G1334" s="26"/>
      <c r="H1334" s="27"/>
      <c r="J1334" s="28"/>
      <c r="K1334" s="23"/>
    </row>
    <row r="1335" spans="1:11" ht="15.75" customHeight="1">
      <c r="A1335" s="22"/>
      <c r="B1335" s="22"/>
      <c r="C1335" s="23"/>
      <c r="D1335" s="24"/>
      <c r="E1335" s="25"/>
      <c r="F1335" s="23"/>
      <c r="G1335" s="26"/>
      <c r="H1335" s="27"/>
      <c r="J1335" s="28"/>
      <c r="K1335" s="23"/>
    </row>
    <row r="1336" spans="1:11" ht="15.75" customHeight="1">
      <c r="A1336" s="22"/>
      <c r="B1336" s="22"/>
      <c r="C1336" s="23"/>
      <c r="D1336" s="24"/>
      <c r="E1336" s="25"/>
      <c r="F1336" s="23"/>
      <c r="G1336" s="26"/>
      <c r="H1336" s="27"/>
      <c r="J1336" s="28"/>
      <c r="K1336" s="23"/>
    </row>
    <row r="1337" spans="1:11" ht="15.75" customHeight="1">
      <c r="A1337" s="22"/>
      <c r="B1337" s="22"/>
      <c r="C1337" s="23"/>
      <c r="D1337" s="24"/>
      <c r="E1337" s="25"/>
      <c r="F1337" s="23"/>
      <c r="G1337" s="26"/>
      <c r="H1337" s="27"/>
      <c r="J1337" s="28"/>
      <c r="K1337" s="23"/>
    </row>
    <row r="1338" spans="1:11" ht="15.75" customHeight="1">
      <c r="A1338" s="22"/>
      <c r="B1338" s="22"/>
      <c r="C1338" s="23"/>
      <c r="D1338" s="24"/>
      <c r="E1338" s="25"/>
      <c r="F1338" s="23"/>
      <c r="G1338" s="26"/>
      <c r="H1338" s="27"/>
      <c r="J1338" s="28"/>
      <c r="K1338" s="23"/>
    </row>
    <row r="1339" spans="1:11" ht="15.75" customHeight="1">
      <c r="A1339" s="22"/>
      <c r="B1339" s="22"/>
      <c r="C1339" s="23"/>
      <c r="D1339" s="24"/>
      <c r="E1339" s="25"/>
      <c r="F1339" s="23"/>
      <c r="G1339" s="26"/>
      <c r="H1339" s="27"/>
      <c r="J1339" s="28"/>
      <c r="K1339" s="23"/>
    </row>
    <row r="1340" spans="1:11" ht="15.75" customHeight="1">
      <c r="A1340" s="22"/>
      <c r="B1340" s="22"/>
      <c r="C1340" s="23"/>
      <c r="D1340" s="24"/>
      <c r="E1340" s="25"/>
      <c r="F1340" s="23"/>
      <c r="G1340" s="26"/>
      <c r="H1340" s="27"/>
      <c r="J1340" s="28"/>
      <c r="K1340" s="23"/>
    </row>
    <row r="1341" spans="1:11" ht="15.75" customHeight="1">
      <c r="A1341" s="22"/>
      <c r="B1341" s="22"/>
      <c r="C1341" s="23"/>
      <c r="D1341" s="24"/>
      <c r="E1341" s="25"/>
      <c r="F1341" s="23"/>
      <c r="G1341" s="26"/>
      <c r="H1341" s="27"/>
      <c r="J1341" s="28"/>
      <c r="K1341" s="23"/>
    </row>
    <row r="1342" spans="1:11" ht="15.75" customHeight="1">
      <c r="A1342" s="22"/>
      <c r="B1342" s="22"/>
      <c r="C1342" s="23"/>
      <c r="D1342" s="24"/>
      <c r="E1342" s="25"/>
      <c r="F1342" s="23"/>
      <c r="G1342" s="26"/>
      <c r="H1342" s="27"/>
      <c r="J1342" s="28"/>
      <c r="K1342" s="23"/>
    </row>
    <row r="1343" spans="1:11" ht="15.75" customHeight="1">
      <c r="A1343" s="22"/>
      <c r="B1343" s="22"/>
      <c r="C1343" s="23"/>
      <c r="D1343" s="24"/>
      <c r="E1343" s="25"/>
      <c r="F1343" s="23"/>
      <c r="G1343" s="26"/>
      <c r="H1343" s="27"/>
      <c r="J1343" s="28"/>
      <c r="K1343" s="23"/>
    </row>
    <row r="1344" spans="1:11" ht="15.75" customHeight="1">
      <c r="A1344" s="22"/>
      <c r="B1344" s="22"/>
      <c r="C1344" s="23"/>
      <c r="D1344" s="24"/>
      <c r="E1344" s="25"/>
      <c r="F1344" s="23"/>
      <c r="G1344" s="26"/>
      <c r="H1344" s="27"/>
      <c r="J1344" s="28"/>
      <c r="K1344" s="23"/>
    </row>
    <row r="1345" spans="1:11" ht="15.75" customHeight="1">
      <c r="A1345" s="22"/>
      <c r="B1345" s="22"/>
      <c r="C1345" s="23"/>
      <c r="D1345" s="24"/>
      <c r="E1345" s="25"/>
      <c r="F1345" s="23"/>
      <c r="G1345" s="26"/>
      <c r="H1345" s="27"/>
      <c r="J1345" s="28"/>
      <c r="K1345" s="23"/>
    </row>
    <row r="1346" spans="1:11" ht="15.75" customHeight="1">
      <c r="A1346" s="22"/>
      <c r="B1346" s="22"/>
      <c r="C1346" s="23"/>
      <c r="D1346" s="24"/>
      <c r="E1346" s="25"/>
      <c r="F1346" s="23"/>
      <c r="G1346" s="26"/>
      <c r="H1346" s="27"/>
      <c r="J1346" s="28"/>
      <c r="K1346" s="23"/>
    </row>
    <row r="1347" spans="1:11" ht="15.75" customHeight="1">
      <c r="A1347" s="22"/>
      <c r="B1347" s="22"/>
      <c r="C1347" s="23"/>
      <c r="D1347" s="24"/>
      <c r="E1347" s="25"/>
      <c r="F1347" s="23"/>
      <c r="G1347" s="26"/>
      <c r="H1347" s="27"/>
      <c r="J1347" s="28"/>
      <c r="K1347" s="23"/>
    </row>
    <row r="1348" spans="1:11" ht="15.75" customHeight="1">
      <c r="A1348" s="22"/>
      <c r="B1348" s="22"/>
      <c r="C1348" s="23"/>
      <c r="D1348" s="24"/>
      <c r="E1348" s="25"/>
      <c r="F1348" s="23"/>
      <c r="G1348" s="26"/>
      <c r="H1348" s="27"/>
      <c r="J1348" s="28"/>
      <c r="K1348" s="23"/>
    </row>
    <row r="1349" spans="1:11" ht="15.75" customHeight="1">
      <c r="A1349" s="22"/>
      <c r="B1349" s="22"/>
      <c r="C1349" s="23"/>
      <c r="D1349" s="24"/>
      <c r="E1349" s="25"/>
      <c r="F1349" s="23"/>
      <c r="G1349" s="26"/>
      <c r="H1349" s="27"/>
      <c r="J1349" s="28"/>
      <c r="K1349" s="23"/>
    </row>
    <row r="1350" spans="1:11" ht="15.75" customHeight="1">
      <c r="A1350" s="22"/>
      <c r="B1350" s="22"/>
      <c r="C1350" s="23"/>
      <c r="D1350" s="24"/>
      <c r="E1350" s="25"/>
      <c r="F1350" s="23"/>
      <c r="G1350" s="26"/>
      <c r="H1350" s="27"/>
      <c r="J1350" s="28"/>
      <c r="K1350" s="23"/>
    </row>
    <row r="1351" spans="1:11" ht="15.75" customHeight="1">
      <c r="A1351" s="22"/>
      <c r="B1351" s="22"/>
      <c r="C1351" s="23"/>
      <c r="D1351" s="24"/>
      <c r="E1351" s="25"/>
      <c r="F1351" s="23"/>
      <c r="G1351" s="26"/>
      <c r="H1351" s="27"/>
      <c r="J1351" s="28"/>
      <c r="K1351" s="23"/>
    </row>
    <row r="1352" spans="1:11" ht="15.75" customHeight="1">
      <c r="A1352" s="22"/>
      <c r="B1352" s="22"/>
      <c r="C1352" s="23"/>
      <c r="D1352" s="24"/>
      <c r="E1352" s="25"/>
      <c r="F1352" s="23"/>
      <c r="G1352" s="26"/>
      <c r="H1352" s="27"/>
      <c r="J1352" s="28"/>
      <c r="K1352" s="23"/>
    </row>
    <row r="1353" spans="1:11" ht="15.75" customHeight="1">
      <c r="A1353" s="22"/>
      <c r="B1353" s="22"/>
      <c r="C1353" s="23"/>
      <c r="D1353" s="24"/>
      <c r="E1353" s="25"/>
      <c r="F1353" s="23"/>
      <c r="G1353" s="26"/>
      <c r="H1353" s="27"/>
      <c r="J1353" s="28"/>
      <c r="K1353" s="23"/>
    </row>
    <row r="1354" spans="1:11" ht="15.75" customHeight="1">
      <c r="A1354" s="22"/>
      <c r="B1354" s="22"/>
      <c r="C1354" s="23"/>
      <c r="D1354" s="24"/>
      <c r="E1354" s="25"/>
      <c r="F1354" s="23"/>
      <c r="G1354" s="26"/>
      <c r="H1354" s="27"/>
      <c r="J1354" s="28"/>
      <c r="K1354" s="23"/>
    </row>
    <row r="1355" spans="1:11" ht="15.75" customHeight="1">
      <c r="A1355" s="22"/>
      <c r="B1355" s="22"/>
      <c r="C1355" s="23"/>
      <c r="D1355" s="24"/>
      <c r="E1355" s="25"/>
      <c r="F1355" s="23"/>
      <c r="G1355" s="26"/>
      <c r="H1355" s="27"/>
      <c r="J1355" s="28"/>
      <c r="K1355" s="23"/>
    </row>
    <row r="1356" spans="1:11" ht="15.75" customHeight="1">
      <c r="A1356" s="22"/>
      <c r="B1356" s="22"/>
      <c r="C1356" s="23"/>
      <c r="D1356" s="24"/>
      <c r="E1356" s="25"/>
      <c r="F1356" s="23"/>
      <c r="G1356" s="26"/>
      <c r="H1356" s="27"/>
      <c r="J1356" s="28"/>
      <c r="K1356" s="23"/>
    </row>
    <row r="1357" spans="1:11" ht="15.75" customHeight="1">
      <c r="A1357" s="22"/>
      <c r="B1357" s="22"/>
      <c r="C1357" s="23"/>
      <c r="D1357" s="24"/>
      <c r="E1357" s="25"/>
      <c r="F1357" s="23"/>
      <c r="G1357" s="26"/>
      <c r="H1357" s="27"/>
      <c r="J1357" s="28"/>
      <c r="K1357" s="23"/>
    </row>
    <row r="1358" spans="1:11" ht="15.75" customHeight="1">
      <c r="A1358" s="22"/>
      <c r="B1358" s="22"/>
      <c r="C1358" s="23"/>
      <c r="D1358" s="24"/>
      <c r="E1358" s="25"/>
      <c r="F1358" s="23"/>
      <c r="G1358" s="26"/>
      <c r="H1358" s="27"/>
      <c r="J1358" s="28"/>
      <c r="K1358" s="23"/>
    </row>
    <row r="1359" spans="1:11" ht="15.75" customHeight="1">
      <c r="A1359" s="22"/>
      <c r="B1359" s="22"/>
      <c r="C1359" s="23"/>
      <c r="D1359" s="24"/>
      <c r="E1359" s="25"/>
      <c r="F1359" s="23"/>
      <c r="G1359" s="26"/>
      <c r="H1359" s="27"/>
      <c r="J1359" s="28"/>
      <c r="K1359" s="23"/>
    </row>
    <row r="1360" spans="1:11" ht="15.75" customHeight="1">
      <c r="A1360" s="22"/>
      <c r="B1360" s="22"/>
      <c r="C1360" s="23"/>
      <c r="D1360" s="24"/>
      <c r="E1360" s="25"/>
      <c r="F1360" s="23"/>
      <c r="G1360" s="26"/>
      <c r="H1360" s="27"/>
      <c r="J1360" s="28"/>
      <c r="K1360" s="23"/>
    </row>
    <row r="1361" spans="1:11" ht="15.75" customHeight="1">
      <c r="A1361" s="22"/>
      <c r="B1361" s="22"/>
      <c r="C1361" s="23"/>
      <c r="D1361" s="24"/>
      <c r="E1361" s="25"/>
      <c r="F1361" s="23"/>
      <c r="G1361" s="26"/>
      <c r="H1361" s="27"/>
      <c r="J1361" s="28"/>
      <c r="K1361" s="23"/>
    </row>
    <row r="1362" spans="1:11" ht="15.75" customHeight="1">
      <c r="A1362" s="22"/>
      <c r="B1362" s="22"/>
      <c r="C1362" s="23"/>
      <c r="D1362" s="24"/>
      <c r="E1362" s="25"/>
      <c r="F1362" s="23"/>
      <c r="G1362" s="26"/>
      <c r="H1362" s="27"/>
      <c r="J1362" s="28"/>
      <c r="K1362" s="23"/>
    </row>
    <row r="1363" spans="1:11" ht="15.75" customHeight="1">
      <c r="A1363" s="22"/>
      <c r="B1363" s="22"/>
      <c r="C1363" s="23"/>
      <c r="D1363" s="24"/>
      <c r="E1363" s="25"/>
      <c r="F1363" s="23"/>
      <c r="G1363" s="26"/>
      <c r="H1363" s="27"/>
      <c r="J1363" s="28"/>
      <c r="K1363" s="23"/>
    </row>
    <row r="1364" spans="1:11" ht="15.75" customHeight="1">
      <c r="A1364" s="22"/>
      <c r="B1364" s="22"/>
      <c r="C1364" s="23"/>
      <c r="D1364" s="24"/>
      <c r="E1364" s="25"/>
      <c r="F1364" s="23"/>
      <c r="G1364" s="26"/>
      <c r="H1364" s="27"/>
      <c r="J1364" s="28"/>
      <c r="K1364" s="23"/>
    </row>
    <row r="1365" spans="1:11" ht="15.75" customHeight="1">
      <c r="A1365" s="22"/>
      <c r="B1365" s="22"/>
      <c r="C1365" s="23"/>
      <c r="D1365" s="24"/>
      <c r="E1365" s="25"/>
      <c r="F1365" s="23"/>
      <c r="G1365" s="26"/>
      <c r="H1365" s="27"/>
      <c r="J1365" s="28"/>
      <c r="K1365" s="23"/>
    </row>
    <row r="1366" spans="1:11" ht="15.75" customHeight="1">
      <c r="A1366" s="22"/>
      <c r="B1366" s="22"/>
      <c r="C1366" s="23"/>
      <c r="D1366" s="24"/>
      <c r="E1366" s="25"/>
      <c r="F1366" s="23"/>
      <c r="G1366" s="26"/>
      <c r="H1366" s="27"/>
      <c r="J1366" s="28"/>
      <c r="K1366" s="23"/>
    </row>
    <row r="1367" spans="1:11" ht="15.75" customHeight="1">
      <c r="A1367" s="22"/>
      <c r="B1367" s="22"/>
      <c r="C1367" s="23"/>
      <c r="D1367" s="24"/>
      <c r="E1367" s="25"/>
      <c r="F1367" s="23"/>
      <c r="G1367" s="26"/>
      <c r="H1367" s="27"/>
      <c r="J1367" s="28"/>
      <c r="K1367" s="23"/>
    </row>
    <row r="1368" spans="1:11" ht="12.95">
      <c r="A1368" s="22"/>
      <c r="B1368" s="22"/>
      <c r="C1368" s="23"/>
      <c r="D1368" s="24"/>
      <c r="E1368" s="25"/>
      <c r="F1368" s="23"/>
      <c r="G1368" s="26"/>
      <c r="H1368" s="27"/>
      <c r="J1368" s="28"/>
      <c r="K1368" s="23"/>
    </row>
    <row r="1369" spans="1:11" ht="15" customHeight="1">
      <c r="A1369" s="22"/>
      <c r="B1369" s="22"/>
      <c r="C1369" s="23"/>
      <c r="D1369" s="24"/>
      <c r="E1369" s="25"/>
      <c r="F1369" s="23"/>
      <c r="G1369" s="26"/>
      <c r="H1369" s="27"/>
      <c r="J1369" s="28"/>
      <c r="K1369" s="23"/>
    </row>
    <row r="1370" spans="1:11" ht="15" customHeight="1">
      <c r="A1370" s="22"/>
      <c r="B1370" s="22"/>
      <c r="C1370" s="23"/>
      <c r="D1370" s="24"/>
      <c r="E1370" s="25"/>
      <c r="F1370" s="23"/>
      <c r="G1370" s="26"/>
      <c r="H1370" s="27"/>
      <c r="J1370" s="28"/>
      <c r="K1370" s="23"/>
    </row>
    <row r="1371" spans="1:11" ht="15" customHeight="1">
      <c r="A1371" s="22"/>
      <c r="B1371" s="22"/>
      <c r="C1371" s="23"/>
      <c r="D1371" s="24"/>
      <c r="E1371" s="25"/>
      <c r="F1371" s="23"/>
      <c r="G1371" s="26"/>
      <c r="H1371" s="27"/>
      <c r="J1371" s="28"/>
      <c r="K1371" s="23"/>
    </row>
    <row r="1372" spans="1:11" ht="15" customHeight="1">
      <c r="A1372" s="22"/>
      <c r="B1372" s="22"/>
      <c r="C1372" s="23"/>
      <c r="D1372" s="24"/>
      <c r="E1372" s="25"/>
      <c r="F1372" s="23"/>
      <c r="G1372" s="26"/>
      <c r="H1372" s="27"/>
      <c r="J1372" s="28"/>
      <c r="K1372" s="23"/>
    </row>
    <row r="1373" spans="1:11" ht="15" customHeight="1">
      <c r="A1373" s="22"/>
      <c r="B1373" s="22"/>
      <c r="C1373" s="23"/>
      <c r="D1373" s="24"/>
      <c r="E1373" s="25"/>
      <c r="F1373" s="23"/>
      <c r="G1373" s="26"/>
      <c r="H1373" s="27"/>
      <c r="J1373" s="28"/>
      <c r="K1373" s="23"/>
    </row>
    <row r="1374" spans="1:11" ht="15" customHeight="1">
      <c r="A1374" s="22"/>
      <c r="B1374" s="22"/>
      <c r="C1374" s="23"/>
      <c r="D1374" s="24"/>
      <c r="E1374" s="25"/>
      <c r="F1374" s="23"/>
      <c r="G1374" s="26"/>
      <c r="H1374" s="27"/>
      <c r="J1374" s="28"/>
      <c r="K1374" s="23"/>
    </row>
    <row r="1375" spans="1:11" ht="15" customHeight="1">
      <c r="A1375" s="22"/>
      <c r="B1375" s="22"/>
      <c r="C1375" s="23"/>
      <c r="D1375" s="24"/>
      <c r="E1375" s="25"/>
      <c r="F1375" s="23"/>
      <c r="G1375" s="26"/>
      <c r="H1375" s="27"/>
      <c r="J1375" s="28"/>
      <c r="K1375" s="23"/>
    </row>
    <row r="1376" spans="1:11" ht="15" customHeight="1">
      <c r="A1376" s="22"/>
      <c r="B1376" s="22"/>
      <c r="C1376" s="23"/>
      <c r="D1376" s="24"/>
      <c r="E1376" s="25"/>
      <c r="F1376" s="23"/>
      <c r="G1376" s="26"/>
      <c r="H1376" s="27"/>
      <c r="J1376" s="28"/>
      <c r="K1376" s="23"/>
    </row>
    <row r="1377" spans="1:11" ht="15" customHeight="1">
      <c r="A1377" s="22"/>
      <c r="B1377" s="22"/>
      <c r="C1377" s="23"/>
      <c r="D1377" s="24"/>
      <c r="E1377" s="25"/>
      <c r="F1377" s="23"/>
      <c r="G1377" s="26"/>
      <c r="H1377" s="27"/>
      <c r="J1377" s="28"/>
      <c r="K1377" s="23"/>
    </row>
    <row r="1378" spans="1:11" ht="15" customHeight="1">
      <c r="A1378" s="22"/>
      <c r="B1378" s="22"/>
      <c r="C1378" s="23"/>
      <c r="D1378" s="24"/>
      <c r="E1378" s="25"/>
      <c r="F1378" s="23"/>
      <c r="G1378" s="26"/>
      <c r="H1378" s="27"/>
      <c r="J1378" s="28"/>
      <c r="K1378" s="23"/>
    </row>
    <row r="1379" spans="1:11" ht="15" customHeight="1">
      <c r="A1379" s="22"/>
      <c r="B1379" s="22"/>
      <c r="C1379" s="23"/>
      <c r="D1379" s="24"/>
      <c r="E1379" s="25"/>
      <c r="F1379" s="23"/>
      <c r="G1379" s="26"/>
      <c r="H1379" s="27"/>
      <c r="J1379" s="28"/>
      <c r="K1379" s="23"/>
    </row>
    <row r="1380" spans="1:11" ht="15" customHeight="1">
      <c r="A1380" s="22"/>
      <c r="B1380" s="22"/>
      <c r="C1380" s="23"/>
      <c r="D1380" s="24"/>
      <c r="E1380" s="25"/>
      <c r="F1380" s="23"/>
      <c r="G1380" s="26"/>
      <c r="H1380" s="27"/>
      <c r="J1380" s="28"/>
      <c r="K1380" s="23"/>
    </row>
    <row r="1381" spans="1:11" ht="15" customHeight="1">
      <c r="A1381" s="22"/>
      <c r="B1381" s="22"/>
      <c r="C1381" s="23"/>
      <c r="D1381" s="24"/>
      <c r="E1381" s="25"/>
      <c r="F1381" s="23"/>
      <c r="G1381" s="26"/>
      <c r="H1381" s="27"/>
      <c r="J1381" s="28"/>
      <c r="K1381" s="23"/>
    </row>
    <row r="1382" spans="1:11" ht="15" customHeight="1">
      <c r="A1382" s="22"/>
      <c r="B1382" s="22"/>
      <c r="C1382" s="23"/>
      <c r="D1382" s="24"/>
      <c r="E1382" s="25"/>
      <c r="F1382" s="23"/>
      <c r="G1382" s="26"/>
      <c r="H1382" s="27"/>
      <c r="J1382" s="28"/>
      <c r="K1382" s="23"/>
    </row>
    <row r="1383" spans="1:11" ht="15" customHeight="1">
      <c r="A1383" s="22"/>
      <c r="B1383" s="22"/>
      <c r="C1383" s="23"/>
      <c r="D1383" s="24"/>
      <c r="E1383" s="25"/>
      <c r="F1383" s="23"/>
      <c r="G1383" s="26"/>
      <c r="H1383" s="27"/>
      <c r="J1383" s="28"/>
      <c r="K1383" s="23"/>
    </row>
    <row r="1384" spans="1:11" ht="15" customHeight="1">
      <c r="A1384" s="22"/>
      <c r="B1384" s="22"/>
      <c r="C1384" s="23"/>
      <c r="D1384" s="24"/>
      <c r="E1384" s="25"/>
      <c r="F1384" s="23"/>
      <c r="G1384" s="26"/>
      <c r="H1384" s="27"/>
      <c r="J1384" s="28"/>
      <c r="K1384" s="23"/>
    </row>
    <row r="1385" spans="1:11" ht="15" customHeight="1">
      <c r="A1385" s="22"/>
      <c r="B1385" s="22"/>
      <c r="C1385" s="23"/>
      <c r="D1385" s="24"/>
      <c r="E1385" s="25"/>
      <c r="F1385" s="23"/>
      <c r="G1385" s="26"/>
      <c r="H1385" s="27"/>
      <c r="J1385" s="28"/>
      <c r="K1385" s="23"/>
    </row>
    <row r="1386" spans="1:11" ht="15" customHeight="1">
      <c r="A1386" s="22"/>
      <c r="B1386" s="22"/>
      <c r="C1386" s="23"/>
      <c r="D1386" s="24"/>
      <c r="E1386" s="25"/>
      <c r="F1386" s="23"/>
      <c r="G1386" s="26"/>
      <c r="H1386" s="27"/>
      <c r="J1386" s="28"/>
      <c r="K1386" s="23"/>
    </row>
    <row r="1387" spans="1:11" ht="15" customHeight="1">
      <c r="A1387" s="22"/>
      <c r="B1387" s="22"/>
      <c r="C1387" s="23"/>
      <c r="D1387" s="24"/>
      <c r="E1387" s="25"/>
      <c r="F1387" s="23"/>
      <c r="G1387" s="26"/>
      <c r="H1387" s="27"/>
      <c r="J1387" s="28"/>
      <c r="K1387" s="23"/>
    </row>
    <row r="1388" spans="1:11" ht="15" customHeight="1">
      <c r="A1388" s="22"/>
      <c r="B1388" s="22"/>
      <c r="C1388" s="23"/>
      <c r="D1388" s="24"/>
      <c r="E1388" s="25"/>
      <c r="F1388" s="23"/>
      <c r="G1388" s="26"/>
      <c r="H1388" s="27"/>
      <c r="J1388" s="28"/>
      <c r="K1388" s="23"/>
    </row>
    <row r="1389" spans="1:11" ht="15" customHeight="1">
      <c r="A1389" s="22"/>
      <c r="B1389" s="22"/>
      <c r="C1389" s="23"/>
      <c r="D1389" s="24"/>
      <c r="E1389" s="25"/>
      <c r="F1389" s="23"/>
      <c r="G1389" s="26"/>
      <c r="H1389" s="27"/>
      <c r="J1389" s="28"/>
      <c r="K1389" s="23"/>
    </row>
    <row r="1390" spans="1:11" ht="15" customHeight="1">
      <c r="A1390" s="22"/>
      <c r="B1390" s="22"/>
      <c r="C1390" s="23"/>
      <c r="D1390" s="24"/>
      <c r="E1390" s="25"/>
      <c r="F1390" s="23"/>
      <c r="G1390" s="26"/>
      <c r="H1390" s="27"/>
      <c r="J1390" s="28"/>
      <c r="K1390" s="23"/>
    </row>
    <row r="1391" spans="1:11" ht="15" customHeight="1">
      <c r="A1391" s="22"/>
      <c r="B1391" s="22"/>
      <c r="C1391" s="23"/>
      <c r="D1391" s="24"/>
      <c r="E1391" s="25"/>
      <c r="F1391" s="23"/>
      <c r="G1391" s="26"/>
      <c r="H1391" s="27"/>
      <c r="J1391" s="28"/>
      <c r="K1391" s="23"/>
    </row>
    <row r="1392" spans="1:11" ht="15" customHeight="1">
      <c r="A1392" s="22"/>
      <c r="B1392" s="22"/>
      <c r="C1392" s="23"/>
      <c r="D1392" s="24"/>
      <c r="E1392" s="25"/>
      <c r="F1392" s="23"/>
      <c r="G1392" s="26"/>
      <c r="H1392" s="27"/>
      <c r="J1392" s="28"/>
      <c r="K1392" s="23"/>
    </row>
    <row r="1393" spans="1:11" ht="15" customHeight="1">
      <c r="A1393" s="22"/>
      <c r="B1393" s="22"/>
      <c r="C1393" s="23"/>
      <c r="D1393" s="24"/>
      <c r="E1393" s="25"/>
      <c r="F1393" s="23"/>
      <c r="G1393" s="26"/>
      <c r="H1393" s="27"/>
      <c r="J1393" s="28"/>
      <c r="K1393" s="23"/>
    </row>
    <row r="1394" spans="1:11" ht="15" customHeight="1">
      <c r="A1394" s="22"/>
      <c r="B1394" s="22"/>
      <c r="C1394" s="23"/>
      <c r="D1394" s="24"/>
      <c r="E1394" s="25"/>
      <c r="F1394" s="23"/>
      <c r="G1394" s="26"/>
      <c r="H1394" s="27"/>
      <c r="J1394" s="28"/>
      <c r="K1394" s="23"/>
    </row>
    <row r="1395" spans="1:11" ht="15" customHeight="1">
      <c r="A1395" s="22"/>
      <c r="B1395" s="22"/>
      <c r="C1395" s="23"/>
      <c r="D1395" s="24"/>
      <c r="E1395" s="25"/>
      <c r="F1395" s="23"/>
      <c r="G1395" s="26"/>
      <c r="H1395" s="27"/>
      <c r="J1395" s="28"/>
      <c r="K1395" s="23"/>
    </row>
    <row r="1396" spans="1:11" ht="15" customHeight="1">
      <c r="A1396" s="22"/>
      <c r="B1396" s="22"/>
      <c r="C1396" s="23"/>
      <c r="D1396" s="24"/>
      <c r="E1396" s="25"/>
      <c r="F1396" s="23"/>
      <c r="G1396" s="26"/>
      <c r="H1396" s="27"/>
      <c r="J1396" s="28"/>
      <c r="K1396" s="23"/>
    </row>
    <row r="1397" spans="1:11" ht="15" customHeight="1">
      <c r="A1397" s="22"/>
      <c r="B1397" s="22"/>
      <c r="C1397" s="23"/>
      <c r="D1397" s="24"/>
      <c r="E1397" s="25"/>
      <c r="F1397" s="23"/>
      <c r="G1397" s="26"/>
      <c r="H1397" s="27"/>
      <c r="J1397" s="28"/>
      <c r="K1397" s="23"/>
    </row>
    <row r="1398" spans="1:11" ht="15" customHeight="1">
      <c r="A1398" s="22"/>
      <c r="B1398" s="22"/>
      <c r="C1398" s="23"/>
      <c r="D1398" s="24"/>
      <c r="E1398" s="25"/>
      <c r="F1398" s="23"/>
      <c r="G1398" s="26"/>
      <c r="H1398" s="27"/>
      <c r="J1398" s="28"/>
      <c r="K1398" s="23"/>
    </row>
    <row r="1399" spans="1:11" ht="15" customHeight="1">
      <c r="A1399" s="22"/>
      <c r="B1399" s="22"/>
      <c r="C1399" s="23"/>
      <c r="D1399" s="24"/>
      <c r="E1399" s="25"/>
      <c r="F1399" s="23"/>
      <c r="G1399" s="26"/>
      <c r="H1399" s="27"/>
      <c r="J1399" s="28"/>
      <c r="K1399" s="23"/>
    </row>
    <row r="1400" spans="1:11" ht="15" customHeight="1">
      <c r="A1400" s="22"/>
      <c r="B1400" s="22"/>
      <c r="C1400" s="23"/>
      <c r="D1400" s="24"/>
      <c r="E1400" s="25"/>
      <c r="F1400" s="23"/>
      <c r="G1400" s="26"/>
      <c r="H1400" s="27"/>
      <c r="J1400" s="28"/>
      <c r="K1400" s="23"/>
    </row>
    <row r="1401" spans="1:11" ht="15" customHeight="1">
      <c r="A1401" s="22"/>
      <c r="B1401" s="22"/>
      <c r="C1401" s="23"/>
      <c r="D1401" s="24"/>
      <c r="E1401" s="25"/>
      <c r="F1401" s="23"/>
      <c r="G1401" s="26"/>
      <c r="H1401" s="27"/>
      <c r="J1401" s="28"/>
      <c r="K1401" s="23"/>
    </row>
    <row r="1402" spans="1:11" ht="15" customHeight="1">
      <c r="A1402" s="22"/>
      <c r="B1402" s="22"/>
      <c r="C1402" s="23"/>
      <c r="D1402" s="24"/>
      <c r="E1402" s="25"/>
      <c r="F1402" s="23"/>
      <c r="G1402" s="26"/>
      <c r="H1402" s="27"/>
      <c r="J1402" s="28"/>
      <c r="K1402" s="23"/>
    </row>
    <row r="1403" spans="1:11" ht="15" customHeight="1">
      <c r="A1403" s="22"/>
      <c r="B1403" s="22"/>
      <c r="C1403" s="23"/>
      <c r="D1403" s="24"/>
      <c r="E1403" s="25"/>
      <c r="F1403" s="23"/>
      <c r="G1403" s="26"/>
      <c r="H1403" s="27"/>
      <c r="J1403" s="28"/>
      <c r="K1403" s="23"/>
    </row>
    <row r="1404" spans="1:11" ht="15" customHeight="1">
      <c r="A1404" s="22"/>
      <c r="B1404" s="22"/>
      <c r="C1404" s="23"/>
      <c r="D1404" s="24"/>
      <c r="E1404" s="25"/>
      <c r="F1404" s="23"/>
      <c r="G1404" s="26"/>
      <c r="H1404" s="27"/>
      <c r="J1404" s="28"/>
      <c r="K1404" s="23"/>
    </row>
    <row r="1405" spans="1:11" ht="15" customHeight="1">
      <c r="A1405" s="22"/>
      <c r="B1405" s="22"/>
      <c r="C1405" s="23"/>
      <c r="D1405" s="24"/>
      <c r="E1405" s="25"/>
      <c r="F1405" s="23"/>
      <c r="G1405" s="26"/>
      <c r="H1405" s="27"/>
      <c r="J1405" s="28"/>
      <c r="K1405" s="23"/>
    </row>
    <row r="1406" spans="1:11" ht="15" customHeight="1">
      <c r="A1406" s="22"/>
      <c r="B1406" s="22"/>
      <c r="C1406" s="23"/>
      <c r="D1406" s="24"/>
      <c r="E1406" s="25"/>
      <c r="F1406" s="23"/>
      <c r="G1406" s="26"/>
      <c r="H1406" s="27"/>
      <c r="J1406" s="28"/>
      <c r="K1406" s="23"/>
    </row>
    <row r="1407" spans="1:11" ht="15" customHeight="1">
      <c r="A1407" s="22"/>
      <c r="B1407" s="22"/>
      <c r="C1407" s="23"/>
      <c r="D1407" s="24"/>
      <c r="E1407" s="25"/>
      <c r="F1407" s="23"/>
      <c r="G1407" s="26"/>
      <c r="H1407" s="27"/>
      <c r="J1407" s="28"/>
      <c r="K1407" s="23"/>
    </row>
    <row r="1408" spans="1:11" ht="15" customHeight="1">
      <c r="A1408" s="22"/>
      <c r="B1408" s="22"/>
      <c r="C1408" s="23"/>
      <c r="D1408" s="24"/>
      <c r="E1408" s="25"/>
      <c r="F1408" s="23"/>
      <c r="G1408" s="26"/>
      <c r="H1408" s="27"/>
      <c r="J1408" s="28"/>
      <c r="K1408" s="23"/>
    </row>
    <row r="1409" spans="1:11" ht="15" customHeight="1">
      <c r="A1409" s="22"/>
      <c r="B1409" s="22"/>
      <c r="C1409" s="23"/>
      <c r="D1409" s="24"/>
      <c r="E1409" s="25"/>
      <c r="F1409" s="23"/>
      <c r="G1409" s="26"/>
      <c r="H1409" s="27"/>
      <c r="J1409" s="28"/>
      <c r="K1409" s="23"/>
    </row>
    <row r="1410" spans="1:11" ht="15" customHeight="1">
      <c r="A1410" s="22"/>
      <c r="B1410" s="22"/>
      <c r="C1410" s="23"/>
      <c r="D1410" s="24"/>
      <c r="E1410" s="25"/>
      <c r="F1410" s="23"/>
      <c r="G1410" s="26"/>
      <c r="H1410" s="27"/>
      <c r="J1410" s="28"/>
      <c r="K1410" s="23"/>
    </row>
    <row r="1411" spans="1:11" ht="15" customHeight="1">
      <c r="A1411" s="22"/>
      <c r="B1411" s="22"/>
      <c r="C1411" s="23"/>
      <c r="D1411" s="24"/>
      <c r="E1411" s="25"/>
      <c r="F1411" s="23"/>
      <c r="G1411" s="26"/>
      <c r="H1411" s="27"/>
      <c r="J1411" s="28"/>
      <c r="K1411" s="23"/>
    </row>
    <row r="1412" spans="1:11" ht="15" customHeight="1">
      <c r="A1412" s="22"/>
      <c r="B1412" s="22"/>
      <c r="C1412" s="23"/>
      <c r="D1412" s="24"/>
      <c r="E1412" s="25"/>
      <c r="F1412" s="23"/>
      <c r="G1412" s="26"/>
      <c r="H1412" s="27"/>
      <c r="J1412" s="28"/>
      <c r="K1412" s="23"/>
    </row>
    <row r="1413" spans="1:11" ht="15" customHeight="1">
      <c r="A1413" s="22"/>
      <c r="B1413" s="22"/>
      <c r="C1413" s="23"/>
      <c r="D1413" s="24"/>
      <c r="E1413" s="25"/>
      <c r="F1413" s="23"/>
      <c r="G1413" s="26"/>
      <c r="H1413" s="27"/>
      <c r="J1413" s="28"/>
      <c r="K1413" s="23"/>
    </row>
    <row r="1414" spans="1:11" ht="15" customHeight="1">
      <c r="A1414" s="22"/>
      <c r="B1414" s="22"/>
      <c r="C1414" s="23"/>
      <c r="D1414" s="24"/>
      <c r="E1414" s="25"/>
      <c r="F1414" s="23"/>
      <c r="G1414" s="26"/>
      <c r="H1414" s="27"/>
      <c r="J1414" s="28"/>
      <c r="K1414" s="23"/>
    </row>
    <row r="1415" spans="1:11" ht="15" customHeight="1">
      <c r="A1415" s="22"/>
      <c r="B1415" s="22"/>
      <c r="C1415" s="23"/>
      <c r="D1415" s="24"/>
      <c r="E1415" s="25"/>
      <c r="F1415" s="23"/>
      <c r="G1415" s="26"/>
      <c r="H1415" s="27"/>
      <c r="J1415" s="28"/>
      <c r="K1415" s="23"/>
    </row>
    <row r="1416" spans="1:11" ht="15" customHeight="1">
      <c r="A1416" s="22"/>
      <c r="B1416" s="22"/>
      <c r="C1416" s="23"/>
      <c r="D1416" s="24"/>
      <c r="E1416" s="25"/>
      <c r="F1416" s="23"/>
      <c r="G1416" s="26"/>
      <c r="H1416" s="27"/>
      <c r="J1416" s="28"/>
      <c r="K1416" s="23"/>
    </row>
    <row r="1417" spans="1:11" ht="15" customHeight="1">
      <c r="A1417" s="22"/>
      <c r="B1417" s="22"/>
      <c r="C1417" s="23"/>
      <c r="D1417" s="24"/>
      <c r="E1417" s="25"/>
      <c r="F1417" s="23"/>
      <c r="G1417" s="26"/>
      <c r="H1417" s="27"/>
      <c r="J1417" s="28"/>
      <c r="K1417" s="23"/>
    </row>
    <row r="1418" spans="1:11" ht="15" customHeight="1">
      <c r="A1418" s="22"/>
      <c r="B1418" s="22"/>
      <c r="C1418" s="23"/>
      <c r="D1418" s="24"/>
      <c r="E1418" s="25"/>
      <c r="F1418" s="23"/>
      <c r="G1418" s="26"/>
      <c r="H1418" s="27"/>
      <c r="J1418" s="28"/>
      <c r="K1418" s="23"/>
    </row>
    <row r="1419" spans="1:11" ht="15" customHeight="1">
      <c r="A1419" s="22"/>
      <c r="B1419" s="22"/>
      <c r="C1419" s="23"/>
      <c r="D1419" s="24"/>
      <c r="E1419" s="25"/>
      <c r="F1419" s="23"/>
      <c r="G1419" s="26"/>
      <c r="H1419" s="27"/>
      <c r="J1419" s="28"/>
      <c r="K1419" s="23"/>
    </row>
    <row r="1420" spans="1:11" ht="15" customHeight="1">
      <c r="A1420" s="22"/>
      <c r="B1420" s="22"/>
      <c r="C1420" s="23"/>
      <c r="D1420" s="24"/>
      <c r="E1420" s="25"/>
      <c r="F1420" s="23"/>
      <c r="G1420" s="26"/>
      <c r="H1420" s="27"/>
      <c r="J1420" s="28"/>
      <c r="K1420" s="23"/>
    </row>
    <row r="1421" spans="1:11" ht="15" customHeight="1">
      <c r="A1421" s="22"/>
      <c r="B1421" s="22"/>
      <c r="C1421" s="23"/>
      <c r="D1421" s="24"/>
      <c r="E1421" s="25"/>
      <c r="F1421" s="23"/>
      <c r="G1421" s="26"/>
      <c r="H1421" s="27"/>
      <c r="J1421" s="28"/>
      <c r="K1421" s="23"/>
    </row>
    <row r="1422" spans="1:11" ht="15" customHeight="1">
      <c r="A1422" s="22"/>
      <c r="B1422" s="22"/>
      <c r="C1422" s="23"/>
      <c r="D1422" s="24"/>
      <c r="E1422" s="25"/>
      <c r="F1422" s="23"/>
      <c r="G1422" s="26"/>
      <c r="H1422" s="27"/>
      <c r="J1422" s="28"/>
      <c r="K1422" s="23"/>
    </row>
    <row r="1423" spans="1:11" ht="15" customHeight="1">
      <c r="A1423" s="22"/>
      <c r="B1423" s="22"/>
      <c r="C1423" s="23"/>
      <c r="D1423" s="24"/>
      <c r="E1423" s="25"/>
      <c r="F1423" s="23"/>
      <c r="G1423" s="26"/>
      <c r="H1423" s="27"/>
      <c r="J1423" s="28"/>
      <c r="K1423" s="23"/>
    </row>
    <row r="1424" spans="1:11" ht="15" customHeight="1">
      <c r="A1424" s="22"/>
      <c r="B1424" s="22"/>
      <c r="C1424" s="23"/>
      <c r="D1424" s="24"/>
      <c r="E1424" s="25"/>
      <c r="F1424" s="23"/>
      <c r="G1424" s="26"/>
      <c r="H1424" s="27"/>
      <c r="J1424" s="28"/>
      <c r="K1424" s="23"/>
    </row>
    <row r="1425" spans="1:11" ht="15" customHeight="1">
      <c r="A1425" s="22"/>
      <c r="B1425" s="22"/>
      <c r="C1425" s="23"/>
      <c r="D1425" s="24"/>
      <c r="E1425" s="25"/>
      <c r="F1425" s="23"/>
      <c r="G1425" s="26"/>
      <c r="H1425" s="27"/>
      <c r="J1425" s="28"/>
      <c r="K1425" s="23"/>
    </row>
    <row r="1426" spans="1:11" ht="15" customHeight="1">
      <c r="A1426" s="22"/>
      <c r="B1426" s="22"/>
      <c r="C1426" s="23"/>
      <c r="D1426" s="24"/>
      <c r="E1426" s="25"/>
      <c r="F1426" s="23"/>
      <c r="G1426" s="26"/>
      <c r="H1426" s="27"/>
      <c r="J1426" s="28"/>
      <c r="K1426" s="23"/>
    </row>
    <row r="1427" spans="1:11" ht="15" customHeight="1">
      <c r="A1427" s="22"/>
      <c r="B1427" s="22"/>
      <c r="C1427" s="23"/>
      <c r="D1427" s="24"/>
      <c r="E1427" s="25"/>
      <c r="F1427" s="23"/>
      <c r="G1427" s="26"/>
      <c r="H1427" s="27"/>
      <c r="J1427" s="28"/>
      <c r="K1427" s="23"/>
    </row>
    <row r="1428" spans="1:11" ht="15" customHeight="1">
      <c r="A1428" s="22"/>
      <c r="B1428" s="22"/>
      <c r="C1428" s="23"/>
      <c r="D1428" s="24"/>
      <c r="E1428" s="25"/>
      <c r="F1428" s="23"/>
      <c r="G1428" s="26"/>
      <c r="H1428" s="27"/>
      <c r="J1428" s="28"/>
      <c r="K1428" s="23"/>
    </row>
    <row r="1429" spans="1:11" ht="15" customHeight="1">
      <c r="A1429" s="22"/>
      <c r="B1429" s="22"/>
      <c r="C1429" s="23"/>
      <c r="D1429" s="24"/>
      <c r="E1429" s="25"/>
      <c r="F1429" s="23"/>
      <c r="G1429" s="26"/>
      <c r="H1429" s="27"/>
      <c r="J1429" s="28"/>
      <c r="K1429" s="23"/>
    </row>
    <row r="1430" spans="1:11" ht="15" customHeight="1">
      <c r="A1430" s="22"/>
      <c r="B1430" s="22"/>
      <c r="C1430" s="23"/>
      <c r="D1430" s="24"/>
      <c r="E1430" s="25"/>
      <c r="F1430" s="23"/>
      <c r="G1430" s="26"/>
      <c r="H1430" s="27"/>
      <c r="J1430" s="28"/>
      <c r="K1430" s="23"/>
    </row>
    <row r="1431" spans="1:11" ht="15" customHeight="1">
      <c r="A1431" s="22"/>
      <c r="B1431" s="22"/>
      <c r="C1431" s="23"/>
      <c r="D1431" s="24"/>
      <c r="E1431" s="25"/>
      <c r="F1431" s="23"/>
      <c r="G1431" s="26"/>
      <c r="H1431" s="27"/>
      <c r="J1431" s="28"/>
      <c r="K1431" s="23"/>
    </row>
    <row r="1432" spans="1:11" ht="15" customHeight="1">
      <c r="A1432" s="22"/>
      <c r="B1432" s="22"/>
      <c r="C1432" s="23"/>
      <c r="D1432" s="24"/>
      <c r="E1432" s="25"/>
      <c r="F1432" s="23"/>
      <c r="G1432" s="26"/>
      <c r="H1432" s="27"/>
      <c r="J1432" s="28"/>
      <c r="K1432" s="23"/>
    </row>
    <row r="1433" spans="1:11" ht="15" customHeight="1">
      <c r="A1433" s="22"/>
      <c r="B1433" s="22"/>
      <c r="C1433" s="23"/>
      <c r="D1433" s="24"/>
      <c r="E1433" s="25"/>
      <c r="F1433" s="23"/>
      <c r="G1433" s="26"/>
      <c r="H1433" s="27"/>
      <c r="J1433" s="28"/>
      <c r="K1433" s="23"/>
    </row>
    <row r="1434" spans="1:11" ht="15" customHeight="1">
      <c r="A1434" s="22"/>
      <c r="B1434" s="22"/>
      <c r="C1434" s="23"/>
      <c r="D1434" s="24"/>
      <c r="E1434" s="25"/>
      <c r="F1434" s="23"/>
      <c r="G1434" s="26"/>
      <c r="H1434" s="27"/>
      <c r="J1434" s="28"/>
      <c r="K1434" s="23"/>
    </row>
    <row r="1435" spans="1:11" ht="15" customHeight="1">
      <c r="A1435" s="22"/>
      <c r="B1435" s="22"/>
      <c r="C1435" s="23"/>
      <c r="D1435" s="24"/>
      <c r="E1435" s="25"/>
      <c r="F1435" s="23"/>
      <c r="G1435" s="26"/>
      <c r="H1435" s="27"/>
      <c r="J1435" s="28"/>
      <c r="K1435" s="23"/>
    </row>
    <row r="1436" spans="1:11" ht="15" customHeight="1">
      <c r="A1436" s="22"/>
      <c r="B1436" s="22"/>
      <c r="C1436" s="23"/>
      <c r="D1436" s="24"/>
      <c r="E1436" s="25"/>
      <c r="F1436" s="23"/>
      <c r="G1436" s="26"/>
      <c r="H1436" s="27"/>
      <c r="J1436" s="28"/>
      <c r="K1436" s="23"/>
    </row>
    <row r="1437" spans="1:11" ht="15" customHeight="1">
      <c r="A1437" s="22"/>
      <c r="B1437" s="22"/>
      <c r="C1437" s="23"/>
      <c r="D1437" s="24"/>
      <c r="E1437" s="25"/>
      <c r="F1437" s="23"/>
      <c r="G1437" s="26"/>
      <c r="H1437" s="27"/>
      <c r="J1437" s="28"/>
      <c r="K1437" s="23"/>
    </row>
    <row r="1438" spans="1:11" ht="15" customHeight="1">
      <c r="A1438" s="22"/>
      <c r="B1438" s="22"/>
      <c r="C1438" s="23"/>
      <c r="D1438" s="24"/>
      <c r="E1438" s="25"/>
      <c r="F1438" s="23"/>
      <c r="G1438" s="26"/>
      <c r="H1438" s="27"/>
      <c r="J1438" s="28"/>
      <c r="K1438" s="23"/>
    </row>
    <row r="1439" spans="1:11" ht="15" customHeight="1">
      <c r="A1439" s="22"/>
      <c r="B1439" s="22"/>
      <c r="C1439" s="23"/>
      <c r="D1439" s="24"/>
      <c r="E1439" s="25"/>
      <c r="F1439" s="23"/>
      <c r="G1439" s="26"/>
      <c r="H1439" s="27"/>
      <c r="J1439" s="28"/>
      <c r="K1439" s="23"/>
    </row>
    <row r="1440" spans="1:11" ht="15" customHeight="1">
      <c r="A1440" s="22"/>
      <c r="B1440" s="22"/>
      <c r="C1440" s="23"/>
      <c r="D1440" s="24"/>
      <c r="E1440" s="25"/>
      <c r="F1440" s="23"/>
      <c r="G1440" s="26"/>
      <c r="H1440" s="27"/>
      <c r="J1440" s="28"/>
      <c r="K1440" s="23"/>
    </row>
    <row r="1441" spans="1:11" ht="15" customHeight="1">
      <c r="A1441" s="22"/>
      <c r="B1441" s="22"/>
      <c r="C1441" s="23"/>
      <c r="D1441" s="24"/>
      <c r="E1441" s="25"/>
      <c r="F1441" s="23"/>
      <c r="G1441" s="26"/>
      <c r="H1441" s="27"/>
      <c r="J1441" s="28"/>
      <c r="K1441" s="23"/>
    </row>
    <row r="1442" spans="1:11" ht="15" customHeight="1">
      <c r="A1442" s="22"/>
      <c r="B1442" s="22"/>
      <c r="C1442" s="23"/>
      <c r="D1442" s="24"/>
      <c r="E1442" s="25"/>
      <c r="F1442" s="23"/>
      <c r="G1442" s="26"/>
      <c r="H1442" s="27"/>
      <c r="J1442" s="28"/>
      <c r="K1442" s="23"/>
    </row>
    <row r="1443" spans="1:11" ht="15" customHeight="1">
      <c r="A1443" s="22"/>
      <c r="B1443" s="22"/>
      <c r="C1443" s="23"/>
      <c r="D1443" s="24"/>
      <c r="E1443" s="25"/>
      <c r="F1443" s="23"/>
      <c r="G1443" s="26"/>
      <c r="H1443" s="27"/>
      <c r="J1443" s="28"/>
      <c r="K1443" s="23"/>
    </row>
    <row r="1444" spans="1:11" ht="15" customHeight="1">
      <c r="A1444" s="22"/>
      <c r="B1444" s="22"/>
      <c r="C1444" s="23"/>
      <c r="D1444" s="24"/>
      <c r="E1444" s="25"/>
      <c r="F1444" s="23"/>
      <c r="G1444" s="26"/>
      <c r="H1444" s="27"/>
      <c r="J1444" s="28"/>
      <c r="K1444" s="23"/>
    </row>
    <row r="1445" spans="1:11" ht="15" customHeight="1">
      <c r="A1445" s="22"/>
      <c r="B1445" s="22"/>
      <c r="C1445" s="23"/>
      <c r="D1445" s="24"/>
      <c r="E1445" s="25"/>
      <c r="F1445" s="23"/>
      <c r="G1445" s="26"/>
      <c r="H1445" s="27"/>
      <c r="J1445" s="28"/>
      <c r="K1445" s="23"/>
    </row>
    <row r="1446" spans="1:11" ht="15" customHeight="1">
      <c r="A1446" s="22"/>
      <c r="B1446" s="22"/>
      <c r="C1446" s="23"/>
      <c r="D1446" s="24"/>
      <c r="E1446" s="25"/>
      <c r="F1446" s="23"/>
      <c r="G1446" s="26"/>
      <c r="H1446" s="27"/>
      <c r="J1446" s="28"/>
      <c r="K1446" s="23"/>
    </row>
    <row r="1447" spans="1:11" ht="15" customHeight="1">
      <c r="A1447" s="22"/>
      <c r="B1447" s="22"/>
      <c r="C1447" s="23"/>
      <c r="D1447" s="24"/>
      <c r="E1447" s="25"/>
      <c r="F1447" s="23"/>
      <c r="G1447" s="26"/>
      <c r="H1447" s="27"/>
      <c r="J1447" s="28"/>
      <c r="K1447" s="23"/>
    </row>
    <row r="1448" spans="1:11" ht="15" customHeight="1">
      <c r="A1448" s="22"/>
      <c r="B1448" s="22"/>
      <c r="C1448" s="23"/>
      <c r="D1448" s="24"/>
      <c r="E1448" s="25"/>
      <c r="F1448" s="23"/>
      <c r="G1448" s="26"/>
      <c r="H1448" s="27"/>
      <c r="J1448" s="28"/>
      <c r="K1448" s="23"/>
    </row>
    <row r="1449" spans="1:11" ht="15" customHeight="1">
      <c r="A1449" s="22"/>
      <c r="B1449" s="22"/>
      <c r="C1449" s="23"/>
      <c r="D1449" s="24"/>
      <c r="E1449" s="25"/>
      <c r="F1449" s="23"/>
      <c r="G1449" s="26"/>
      <c r="H1449" s="27"/>
      <c r="J1449" s="28"/>
      <c r="K1449" s="23"/>
    </row>
    <row r="1450" spans="1:11" ht="15" customHeight="1">
      <c r="A1450" s="22"/>
      <c r="B1450" s="22"/>
      <c r="C1450" s="23"/>
      <c r="D1450" s="24"/>
      <c r="E1450" s="25"/>
      <c r="F1450" s="23"/>
      <c r="G1450" s="26"/>
      <c r="H1450" s="27"/>
      <c r="J1450" s="28"/>
      <c r="K1450" s="23"/>
    </row>
    <row r="1451" spans="1:11" ht="15" customHeight="1">
      <c r="A1451" s="22"/>
      <c r="B1451" s="22"/>
      <c r="C1451" s="23"/>
      <c r="D1451" s="24"/>
      <c r="E1451" s="25"/>
      <c r="F1451" s="23"/>
      <c r="G1451" s="26"/>
      <c r="H1451" s="27"/>
      <c r="J1451" s="28"/>
      <c r="K1451" s="23"/>
    </row>
    <row r="1452" spans="1:11" ht="15" customHeight="1">
      <c r="A1452" s="22"/>
      <c r="B1452" s="22"/>
      <c r="C1452" s="23"/>
      <c r="D1452" s="24"/>
      <c r="E1452" s="25"/>
      <c r="F1452" s="23"/>
      <c r="G1452" s="26"/>
      <c r="H1452" s="27"/>
      <c r="J1452" s="28"/>
      <c r="K1452" s="23"/>
    </row>
    <row r="1453" spans="1:11" ht="15" customHeight="1">
      <c r="A1453" s="22"/>
      <c r="B1453" s="22"/>
      <c r="C1453" s="23"/>
      <c r="D1453" s="24"/>
      <c r="E1453" s="25"/>
      <c r="F1453" s="23"/>
      <c r="G1453" s="26"/>
      <c r="H1453" s="27"/>
      <c r="J1453" s="28"/>
      <c r="K1453" s="23"/>
    </row>
    <row r="1454" spans="1:11" ht="15" customHeight="1">
      <c r="A1454" s="22"/>
      <c r="B1454" s="22"/>
      <c r="C1454" s="23"/>
      <c r="D1454" s="24"/>
      <c r="E1454" s="25"/>
      <c r="F1454" s="23"/>
      <c r="G1454" s="26"/>
      <c r="H1454" s="27"/>
      <c r="J1454" s="28"/>
      <c r="K1454" s="23"/>
    </row>
    <row r="1455" spans="1:11" ht="15" customHeight="1">
      <c r="A1455" s="22"/>
      <c r="B1455" s="22"/>
      <c r="C1455" s="23"/>
      <c r="D1455" s="24"/>
      <c r="E1455" s="25"/>
      <c r="F1455" s="23"/>
      <c r="G1455" s="26"/>
      <c r="H1455" s="27"/>
      <c r="J1455" s="28"/>
      <c r="K1455" s="23"/>
    </row>
    <row r="1456" spans="1:11" ht="15" customHeight="1">
      <c r="A1456" s="22"/>
      <c r="B1456" s="22"/>
      <c r="C1456" s="23"/>
      <c r="D1456" s="24"/>
      <c r="E1456" s="25"/>
      <c r="F1456" s="23"/>
      <c r="G1456" s="26"/>
      <c r="H1456" s="27"/>
      <c r="J1456" s="28"/>
      <c r="K1456" s="23"/>
    </row>
    <row r="1457" spans="1:11" ht="15" customHeight="1">
      <c r="A1457" s="22"/>
      <c r="B1457" s="22"/>
      <c r="C1457" s="23"/>
      <c r="D1457" s="24"/>
      <c r="E1457" s="25"/>
      <c r="F1457" s="23"/>
      <c r="G1457" s="26"/>
      <c r="H1457" s="27"/>
      <c r="J1457" s="28"/>
      <c r="K1457" s="23"/>
    </row>
    <row r="1458" spans="1:11" ht="15" customHeight="1">
      <c r="A1458" s="22"/>
      <c r="B1458" s="22"/>
      <c r="C1458" s="23"/>
      <c r="D1458" s="24"/>
      <c r="E1458" s="25"/>
      <c r="F1458" s="23"/>
      <c r="G1458" s="26"/>
      <c r="H1458" s="27"/>
      <c r="J1458" s="28"/>
      <c r="K1458" s="23"/>
    </row>
    <row r="1459" spans="1:11" ht="15" customHeight="1">
      <c r="A1459" s="22"/>
      <c r="B1459" s="22"/>
      <c r="C1459" s="23"/>
      <c r="D1459" s="24"/>
      <c r="E1459" s="25"/>
      <c r="F1459" s="23"/>
      <c r="G1459" s="26"/>
      <c r="H1459" s="27"/>
      <c r="J1459" s="28"/>
      <c r="K1459" s="23"/>
    </row>
    <row r="1460" spans="1:11" ht="15" customHeight="1">
      <c r="A1460" s="22"/>
      <c r="B1460" s="22"/>
      <c r="C1460" s="23"/>
      <c r="D1460" s="24"/>
      <c r="E1460" s="25"/>
      <c r="F1460" s="23"/>
      <c r="G1460" s="26"/>
      <c r="H1460" s="27"/>
      <c r="J1460" s="28"/>
      <c r="K1460" s="23"/>
    </row>
    <row r="1461" spans="1:11" ht="15" customHeight="1">
      <c r="A1461" s="22"/>
      <c r="B1461" s="22"/>
      <c r="C1461" s="23"/>
      <c r="D1461" s="24"/>
      <c r="E1461" s="25"/>
      <c r="F1461" s="23"/>
      <c r="G1461" s="26"/>
      <c r="H1461" s="27"/>
      <c r="J1461" s="28"/>
      <c r="K1461" s="23"/>
    </row>
    <row r="1462" spans="1:11" ht="15" customHeight="1">
      <c r="A1462" s="22"/>
      <c r="B1462" s="22"/>
      <c r="C1462" s="23"/>
      <c r="D1462" s="24"/>
      <c r="E1462" s="25"/>
      <c r="F1462" s="23"/>
      <c r="G1462" s="26"/>
      <c r="H1462" s="27"/>
      <c r="J1462" s="28"/>
      <c r="K1462" s="23"/>
    </row>
    <row r="1463" spans="1:11" ht="15" customHeight="1">
      <c r="A1463" s="22"/>
      <c r="B1463" s="22"/>
      <c r="C1463" s="23"/>
      <c r="D1463" s="24"/>
      <c r="E1463" s="25"/>
      <c r="F1463" s="23"/>
      <c r="G1463" s="26"/>
      <c r="H1463" s="27"/>
      <c r="J1463" s="28"/>
      <c r="K1463" s="23"/>
    </row>
    <row r="1464" spans="1:11" ht="15" customHeight="1">
      <c r="A1464" s="22"/>
      <c r="B1464" s="22"/>
      <c r="C1464" s="23"/>
      <c r="D1464" s="24"/>
      <c r="E1464" s="25"/>
      <c r="F1464" s="23"/>
      <c r="G1464" s="26"/>
      <c r="H1464" s="27"/>
      <c r="J1464" s="28"/>
      <c r="K1464" s="23"/>
    </row>
    <row r="1465" spans="1:11" ht="15" customHeight="1">
      <c r="A1465" s="22"/>
      <c r="B1465" s="22"/>
      <c r="C1465" s="23"/>
      <c r="D1465" s="24"/>
      <c r="E1465" s="25"/>
      <c r="F1465" s="23"/>
      <c r="G1465" s="26"/>
      <c r="H1465" s="27"/>
      <c r="J1465" s="28"/>
      <c r="K1465" s="23"/>
    </row>
    <row r="1466" spans="1:11" ht="15" customHeight="1">
      <c r="A1466" s="22"/>
      <c r="B1466" s="22"/>
      <c r="C1466" s="23"/>
      <c r="D1466" s="24"/>
      <c r="E1466" s="25"/>
      <c r="F1466" s="23"/>
      <c r="G1466" s="26"/>
      <c r="H1466" s="27"/>
      <c r="J1466" s="28"/>
      <c r="K1466" s="23"/>
    </row>
    <row r="1467" spans="1:11" ht="15" customHeight="1">
      <c r="A1467" s="22"/>
      <c r="B1467" s="22"/>
      <c r="C1467" s="23"/>
      <c r="D1467" s="24"/>
      <c r="E1467" s="25"/>
      <c r="F1467" s="23"/>
      <c r="G1467" s="26"/>
      <c r="H1467" s="27"/>
      <c r="J1467" s="28"/>
      <c r="K1467" s="23"/>
    </row>
    <row r="1468" spans="1:11" ht="15" customHeight="1">
      <c r="A1468" s="22"/>
      <c r="B1468" s="22"/>
      <c r="C1468" s="23"/>
      <c r="D1468" s="24"/>
      <c r="E1468" s="25"/>
      <c r="F1468" s="23"/>
      <c r="G1468" s="26"/>
      <c r="H1468" s="27"/>
      <c r="J1468" s="28"/>
      <c r="K1468" s="23"/>
    </row>
    <row r="1469" spans="1:11" ht="15" customHeight="1">
      <c r="A1469" s="22"/>
      <c r="B1469" s="22"/>
      <c r="C1469" s="23"/>
      <c r="D1469" s="24"/>
      <c r="E1469" s="25"/>
      <c r="F1469" s="23"/>
      <c r="G1469" s="26"/>
      <c r="H1469" s="27"/>
      <c r="J1469" s="28"/>
      <c r="K1469" s="23"/>
    </row>
    <row r="1470" spans="1:11" ht="15" customHeight="1">
      <c r="A1470" s="22"/>
      <c r="B1470" s="22"/>
      <c r="C1470" s="23"/>
      <c r="D1470" s="24"/>
      <c r="E1470" s="25"/>
      <c r="F1470" s="23"/>
      <c r="G1470" s="26"/>
      <c r="H1470" s="27"/>
      <c r="J1470" s="28"/>
      <c r="K1470" s="23"/>
    </row>
    <row r="1471" spans="1:11" ht="15" customHeight="1">
      <c r="A1471" s="22"/>
      <c r="B1471" s="22"/>
      <c r="C1471" s="23"/>
      <c r="D1471" s="24"/>
      <c r="E1471" s="25"/>
      <c r="F1471" s="23"/>
      <c r="G1471" s="26"/>
      <c r="H1471" s="27"/>
      <c r="J1471" s="28"/>
      <c r="K1471" s="23"/>
    </row>
    <row r="1472" spans="1:11" ht="15" customHeight="1">
      <c r="A1472" s="22"/>
      <c r="B1472" s="22"/>
      <c r="C1472" s="23"/>
      <c r="D1472" s="24"/>
      <c r="E1472" s="25"/>
      <c r="F1472" s="23"/>
      <c r="G1472" s="26"/>
      <c r="H1472" s="27"/>
      <c r="J1472" s="28"/>
      <c r="K1472" s="23"/>
    </row>
    <row r="1473" spans="1:11" ht="15" customHeight="1">
      <c r="A1473" s="22"/>
      <c r="B1473" s="22"/>
      <c r="C1473" s="23"/>
      <c r="D1473" s="24"/>
      <c r="E1473" s="25"/>
      <c r="F1473" s="23"/>
      <c r="G1473" s="26"/>
      <c r="H1473" s="27"/>
      <c r="J1473" s="28"/>
      <c r="K1473" s="23"/>
    </row>
    <row r="1474" spans="1:11" ht="15" customHeight="1">
      <c r="A1474" s="22"/>
      <c r="B1474" s="22"/>
      <c r="C1474" s="23"/>
      <c r="D1474" s="24"/>
      <c r="E1474" s="25"/>
      <c r="F1474" s="23"/>
      <c r="G1474" s="26"/>
      <c r="H1474" s="27"/>
      <c r="J1474" s="28"/>
      <c r="K1474" s="23"/>
    </row>
    <row r="1475" spans="1:11" ht="15" customHeight="1">
      <c r="A1475" s="22"/>
      <c r="B1475" s="22"/>
      <c r="C1475" s="23"/>
      <c r="D1475" s="24"/>
      <c r="E1475" s="25"/>
      <c r="F1475" s="23"/>
      <c r="G1475" s="26"/>
      <c r="H1475" s="27"/>
      <c r="J1475" s="28"/>
      <c r="K1475" s="23"/>
    </row>
    <row r="1476" spans="1:11" ht="15" customHeight="1">
      <c r="A1476" s="22"/>
      <c r="B1476" s="22"/>
      <c r="C1476" s="23"/>
      <c r="D1476" s="24"/>
      <c r="E1476" s="25"/>
      <c r="F1476" s="23"/>
      <c r="G1476" s="26"/>
      <c r="H1476" s="27"/>
      <c r="J1476" s="28"/>
      <c r="K1476" s="23"/>
    </row>
    <row r="1477" spans="1:11" ht="15" customHeight="1">
      <c r="A1477" s="22"/>
      <c r="B1477" s="22"/>
      <c r="C1477" s="23"/>
      <c r="D1477" s="24"/>
      <c r="E1477" s="25"/>
      <c r="F1477" s="23"/>
      <c r="G1477" s="26"/>
      <c r="H1477" s="27"/>
      <c r="J1477" s="28"/>
      <c r="K1477" s="23"/>
    </row>
    <row r="1478" spans="1:11" ht="15" customHeight="1">
      <c r="A1478" s="22"/>
      <c r="B1478" s="22"/>
      <c r="C1478" s="23"/>
      <c r="D1478" s="24"/>
      <c r="E1478" s="25"/>
      <c r="F1478" s="23"/>
      <c r="G1478" s="26"/>
      <c r="H1478" s="27"/>
      <c r="J1478" s="28"/>
      <c r="K1478" s="23"/>
    </row>
    <row r="1479" spans="1:11" ht="15" customHeight="1">
      <c r="A1479" s="22"/>
      <c r="B1479" s="22"/>
      <c r="C1479" s="23"/>
      <c r="D1479" s="24"/>
      <c r="E1479" s="25"/>
      <c r="F1479" s="23"/>
      <c r="G1479" s="26"/>
      <c r="H1479" s="27"/>
      <c r="J1479" s="28"/>
      <c r="K1479" s="23"/>
    </row>
    <row r="1480" spans="1:11" ht="15" customHeight="1">
      <c r="A1480" s="22"/>
      <c r="B1480" s="22"/>
      <c r="C1480" s="23"/>
      <c r="D1480" s="24"/>
      <c r="E1480" s="25"/>
      <c r="F1480" s="23"/>
      <c r="G1480" s="26"/>
      <c r="H1480" s="27"/>
      <c r="J1480" s="28"/>
      <c r="K1480" s="23"/>
    </row>
    <row r="1481" spans="1:11" ht="15" customHeight="1">
      <c r="A1481" s="22"/>
      <c r="B1481" s="22"/>
      <c r="C1481" s="23"/>
      <c r="D1481" s="24"/>
      <c r="E1481" s="25"/>
      <c r="F1481" s="23"/>
      <c r="G1481" s="26"/>
      <c r="H1481" s="27"/>
      <c r="J1481" s="28"/>
      <c r="K1481" s="23"/>
    </row>
    <row r="1482" spans="1:11" ht="15" customHeight="1">
      <c r="A1482" s="22"/>
      <c r="B1482" s="22"/>
      <c r="C1482" s="23"/>
      <c r="D1482" s="24"/>
      <c r="E1482" s="25"/>
      <c r="F1482" s="23"/>
      <c r="G1482" s="26"/>
      <c r="H1482" s="27"/>
      <c r="J1482" s="28"/>
      <c r="K1482" s="23"/>
    </row>
    <row r="1483" spans="1:11" ht="15" customHeight="1">
      <c r="A1483" s="22"/>
      <c r="B1483" s="22"/>
      <c r="C1483" s="23"/>
      <c r="D1483" s="24"/>
      <c r="E1483" s="25"/>
      <c r="F1483" s="23"/>
      <c r="G1483" s="26"/>
      <c r="H1483" s="27"/>
      <c r="J1483" s="28"/>
      <c r="K1483" s="23"/>
    </row>
    <row r="1484" spans="1:11" ht="15" customHeight="1">
      <c r="A1484" s="22"/>
      <c r="B1484" s="22"/>
      <c r="C1484" s="23"/>
      <c r="D1484" s="24"/>
      <c r="E1484" s="25"/>
      <c r="F1484" s="23"/>
      <c r="G1484" s="26"/>
      <c r="H1484" s="27"/>
      <c r="J1484" s="28"/>
      <c r="K1484" s="23"/>
    </row>
    <row r="1485" spans="1:11" ht="15" customHeight="1">
      <c r="A1485" s="22"/>
      <c r="B1485" s="22"/>
      <c r="C1485" s="23"/>
      <c r="D1485" s="24"/>
      <c r="E1485" s="25"/>
      <c r="F1485" s="23"/>
      <c r="G1485" s="26"/>
      <c r="H1485" s="27"/>
      <c r="J1485" s="28"/>
      <c r="K1485" s="23"/>
    </row>
    <row r="1486" spans="1:11" ht="15" customHeight="1">
      <c r="A1486" s="22"/>
      <c r="B1486" s="22"/>
      <c r="C1486" s="23"/>
      <c r="D1486" s="24"/>
      <c r="E1486" s="25"/>
      <c r="F1486" s="23"/>
      <c r="G1486" s="26"/>
      <c r="H1486" s="27"/>
      <c r="J1486" s="28"/>
      <c r="K1486" s="23"/>
    </row>
    <row r="1487" spans="1:11" ht="15" customHeight="1">
      <c r="A1487" s="22"/>
      <c r="B1487" s="22"/>
      <c r="C1487" s="23"/>
      <c r="D1487" s="24"/>
      <c r="E1487" s="25"/>
      <c r="F1487" s="23"/>
      <c r="G1487" s="26"/>
      <c r="H1487" s="27"/>
      <c r="J1487" s="28"/>
      <c r="K1487" s="23"/>
    </row>
    <row r="1488" spans="1:11" ht="15" customHeight="1">
      <c r="A1488" s="22"/>
      <c r="B1488" s="22"/>
      <c r="C1488" s="23"/>
      <c r="D1488" s="24"/>
      <c r="E1488" s="25"/>
      <c r="F1488" s="23"/>
      <c r="G1488" s="26"/>
      <c r="H1488" s="27"/>
      <c r="J1488" s="28"/>
      <c r="K1488" s="23"/>
    </row>
    <row r="1489" spans="1:11" ht="15" customHeight="1">
      <c r="A1489" s="22"/>
      <c r="B1489" s="22"/>
      <c r="C1489" s="23"/>
      <c r="D1489" s="24"/>
      <c r="E1489" s="25"/>
      <c r="F1489" s="23"/>
      <c r="G1489" s="26"/>
      <c r="H1489" s="27"/>
      <c r="J1489" s="28"/>
      <c r="K1489" s="23"/>
    </row>
    <row r="1490" spans="1:11" ht="15" customHeight="1">
      <c r="A1490" s="22"/>
      <c r="B1490" s="22"/>
      <c r="C1490" s="23"/>
      <c r="D1490" s="24"/>
      <c r="E1490" s="25"/>
      <c r="F1490" s="23"/>
      <c r="G1490" s="26"/>
      <c r="H1490" s="27"/>
      <c r="J1490" s="28"/>
      <c r="K1490" s="23"/>
    </row>
    <row r="1491" spans="1:11" ht="15" customHeight="1">
      <c r="A1491" s="22"/>
      <c r="B1491" s="22"/>
      <c r="C1491" s="23"/>
      <c r="D1491" s="24"/>
      <c r="E1491" s="25"/>
      <c r="F1491" s="23"/>
      <c r="G1491" s="26"/>
      <c r="H1491" s="27"/>
      <c r="J1491" s="28"/>
      <c r="K1491" s="23"/>
    </row>
    <row r="1492" spans="1:11" ht="15" customHeight="1">
      <c r="A1492" s="22"/>
      <c r="B1492" s="22"/>
      <c r="C1492" s="23"/>
      <c r="D1492" s="24"/>
      <c r="E1492" s="25"/>
      <c r="F1492" s="23"/>
      <c r="G1492" s="26"/>
      <c r="H1492" s="27"/>
      <c r="J1492" s="28"/>
      <c r="K1492" s="23"/>
    </row>
    <row r="1493" spans="1:11" ht="15" customHeight="1">
      <c r="A1493" s="22"/>
      <c r="B1493" s="22"/>
      <c r="C1493" s="23"/>
      <c r="D1493" s="24"/>
      <c r="E1493" s="25"/>
      <c r="F1493" s="23"/>
      <c r="G1493" s="26"/>
      <c r="H1493" s="27"/>
      <c r="J1493" s="28"/>
      <c r="K1493" s="23"/>
    </row>
    <row r="1494" spans="1:11" ht="15" customHeight="1">
      <c r="A1494" s="22"/>
      <c r="B1494" s="22"/>
      <c r="C1494" s="23"/>
      <c r="D1494" s="24"/>
      <c r="E1494" s="25"/>
      <c r="F1494" s="23"/>
      <c r="G1494" s="26"/>
      <c r="H1494" s="27"/>
      <c r="J1494" s="28"/>
      <c r="K1494" s="23"/>
    </row>
    <row r="1495" spans="1:11" ht="15" customHeight="1">
      <c r="A1495" s="22"/>
      <c r="B1495" s="22"/>
      <c r="C1495" s="23"/>
      <c r="D1495" s="24"/>
      <c r="E1495" s="25"/>
      <c r="F1495" s="23"/>
      <c r="G1495" s="26"/>
      <c r="H1495" s="27"/>
      <c r="J1495" s="28"/>
      <c r="K1495" s="23"/>
    </row>
    <row r="1496" spans="1:11" ht="15" customHeight="1">
      <c r="A1496" s="22"/>
      <c r="B1496" s="22"/>
      <c r="C1496" s="23"/>
      <c r="D1496" s="24"/>
      <c r="E1496" s="25"/>
      <c r="F1496" s="23"/>
      <c r="G1496" s="26"/>
      <c r="H1496" s="27"/>
      <c r="J1496" s="28"/>
      <c r="K1496" s="23"/>
    </row>
    <row r="1497" spans="1:11" ht="15" customHeight="1">
      <c r="A1497" s="22"/>
      <c r="B1497" s="22"/>
      <c r="C1497" s="23"/>
      <c r="D1497" s="24"/>
      <c r="E1497" s="25"/>
      <c r="F1497" s="23"/>
      <c r="G1497" s="26"/>
      <c r="H1497" s="27"/>
      <c r="J1497" s="28"/>
      <c r="K1497" s="23"/>
    </row>
    <row r="1498" spans="1:11" ht="15" customHeight="1">
      <c r="A1498" s="22"/>
      <c r="B1498" s="22"/>
      <c r="C1498" s="23"/>
      <c r="D1498" s="24"/>
      <c r="E1498" s="25"/>
      <c r="F1498" s="23"/>
      <c r="G1498" s="26"/>
      <c r="H1498" s="27"/>
      <c r="J1498" s="28"/>
      <c r="K1498" s="23"/>
    </row>
    <row r="1499" spans="1:11" ht="15" customHeight="1">
      <c r="A1499" s="22"/>
      <c r="B1499" s="22"/>
      <c r="C1499" s="23"/>
      <c r="D1499" s="24"/>
      <c r="E1499" s="25"/>
      <c r="F1499" s="23"/>
      <c r="G1499" s="26"/>
      <c r="H1499" s="27"/>
      <c r="J1499" s="28"/>
      <c r="K1499" s="23"/>
    </row>
    <row r="1500" spans="1:11" ht="15" customHeight="1">
      <c r="A1500" s="22"/>
      <c r="B1500" s="22"/>
      <c r="C1500" s="23"/>
      <c r="D1500" s="24"/>
      <c r="E1500" s="25"/>
      <c r="F1500" s="23"/>
      <c r="G1500" s="26"/>
      <c r="H1500" s="27"/>
      <c r="J1500" s="28"/>
      <c r="K1500" s="23"/>
    </row>
    <row r="1501" spans="1:11" ht="15" customHeight="1">
      <c r="A1501" s="22"/>
      <c r="B1501" s="22"/>
      <c r="C1501" s="23"/>
      <c r="D1501" s="24"/>
      <c r="E1501" s="25"/>
      <c r="F1501" s="23"/>
      <c r="G1501" s="26"/>
      <c r="H1501" s="27"/>
      <c r="J1501" s="28"/>
      <c r="K1501" s="23"/>
    </row>
    <row r="1502" spans="1:11" ht="15" customHeight="1">
      <c r="A1502" s="22"/>
      <c r="B1502" s="22"/>
      <c r="C1502" s="23"/>
      <c r="D1502" s="24"/>
      <c r="E1502" s="25"/>
      <c r="F1502" s="23"/>
      <c r="G1502" s="26"/>
      <c r="H1502" s="27"/>
      <c r="J1502" s="28"/>
      <c r="K1502" s="23"/>
    </row>
    <row r="1503" spans="1:11" ht="15" customHeight="1">
      <c r="A1503" s="22"/>
      <c r="B1503" s="22"/>
      <c r="C1503" s="23"/>
      <c r="D1503" s="24"/>
      <c r="E1503" s="25"/>
      <c r="F1503" s="23"/>
      <c r="G1503" s="26"/>
      <c r="H1503" s="27"/>
      <c r="J1503" s="28"/>
      <c r="K1503" s="23"/>
    </row>
    <row r="1504" spans="1:11" ht="15" customHeight="1">
      <c r="A1504" s="22"/>
      <c r="B1504" s="22"/>
      <c r="C1504" s="23"/>
      <c r="D1504" s="24"/>
      <c r="E1504" s="25"/>
      <c r="F1504" s="23"/>
      <c r="G1504" s="26"/>
      <c r="H1504" s="27"/>
      <c r="J1504" s="28"/>
      <c r="K1504" s="23"/>
    </row>
    <row r="1505" spans="1:11" ht="15" customHeight="1">
      <c r="A1505" s="22"/>
      <c r="B1505" s="22"/>
      <c r="C1505" s="23"/>
      <c r="D1505" s="24"/>
      <c r="E1505" s="25"/>
      <c r="F1505" s="23"/>
      <c r="G1505" s="26"/>
      <c r="H1505" s="27"/>
      <c r="J1505" s="28"/>
      <c r="K1505" s="23"/>
    </row>
    <row r="1506" spans="1:11" ht="15" customHeight="1">
      <c r="A1506" s="22"/>
      <c r="B1506" s="22"/>
      <c r="C1506" s="23"/>
      <c r="D1506" s="24"/>
      <c r="E1506" s="25"/>
      <c r="F1506" s="23"/>
      <c r="G1506" s="26"/>
      <c r="H1506" s="27"/>
      <c r="J1506" s="28"/>
      <c r="K1506" s="23"/>
    </row>
    <row r="1507" spans="1:11" ht="15" customHeight="1">
      <c r="A1507" s="22"/>
      <c r="B1507" s="22"/>
      <c r="C1507" s="23"/>
      <c r="D1507" s="24"/>
      <c r="E1507" s="25"/>
      <c r="F1507" s="23"/>
      <c r="G1507" s="26"/>
      <c r="H1507" s="27"/>
      <c r="J1507" s="28"/>
      <c r="K1507" s="23"/>
    </row>
    <row r="1508" spans="1:11" ht="15" customHeight="1">
      <c r="A1508" s="22"/>
      <c r="B1508" s="22"/>
      <c r="C1508" s="23"/>
      <c r="D1508" s="24"/>
      <c r="E1508" s="25"/>
      <c r="F1508" s="23"/>
      <c r="G1508" s="26"/>
      <c r="H1508" s="27"/>
      <c r="J1508" s="28"/>
      <c r="K1508" s="23"/>
    </row>
    <row r="1509" spans="1:11" ht="15" customHeight="1">
      <c r="A1509" s="22"/>
      <c r="B1509" s="22"/>
      <c r="C1509" s="23"/>
      <c r="D1509" s="24"/>
      <c r="E1509" s="25"/>
      <c r="F1509" s="23"/>
      <c r="G1509" s="26"/>
      <c r="H1509" s="27"/>
      <c r="J1509" s="28"/>
      <c r="K1509" s="23"/>
    </row>
    <row r="1510" spans="1:11" ht="15" customHeight="1">
      <c r="A1510" s="22"/>
      <c r="B1510" s="22"/>
      <c r="C1510" s="23"/>
      <c r="D1510" s="24"/>
      <c r="E1510" s="25"/>
      <c r="F1510" s="23"/>
      <c r="G1510" s="26"/>
      <c r="H1510" s="27"/>
      <c r="J1510" s="28"/>
      <c r="K1510" s="23"/>
    </row>
    <row r="1511" spans="1:11" ht="15" customHeight="1">
      <c r="A1511" s="22"/>
      <c r="B1511" s="22"/>
      <c r="C1511" s="23"/>
      <c r="D1511" s="24"/>
      <c r="E1511" s="25"/>
      <c r="F1511" s="23"/>
      <c r="G1511" s="26"/>
      <c r="H1511" s="27"/>
      <c r="J1511" s="28"/>
      <c r="K1511" s="23"/>
    </row>
    <row r="1512" spans="1:11" ht="15" customHeight="1">
      <c r="A1512" s="22"/>
      <c r="B1512" s="22"/>
      <c r="C1512" s="23"/>
      <c r="D1512" s="24"/>
      <c r="E1512" s="25"/>
      <c r="F1512" s="23"/>
      <c r="G1512" s="26"/>
      <c r="H1512" s="27"/>
      <c r="J1512" s="28"/>
      <c r="K1512" s="23"/>
    </row>
    <row r="1513" spans="1:11" ht="15" customHeight="1">
      <c r="A1513" s="22"/>
      <c r="B1513" s="22"/>
      <c r="C1513" s="23"/>
      <c r="D1513" s="24"/>
      <c r="E1513" s="25"/>
      <c r="F1513" s="23"/>
      <c r="G1513" s="26"/>
      <c r="H1513" s="27"/>
      <c r="J1513" s="28"/>
      <c r="K1513" s="23"/>
    </row>
    <row r="1514" spans="1:11" ht="15" customHeight="1">
      <c r="A1514" s="22"/>
      <c r="B1514" s="22"/>
      <c r="C1514" s="23"/>
      <c r="D1514" s="24"/>
      <c r="E1514" s="25"/>
      <c r="F1514" s="23"/>
      <c r="G1514" s="26"/>
      <c r="H1514" s="27"/>
      <c r="J1514" s="28"/>
      <c r="K1514" s="23"/>
    </row>
    <row r="1515" spans="1:11" ht="15" customHeight="1">
      <c r="A1515" s="22"/>
      <c r="B1515" s="22"/>
      <c r="C1515" s="23"/>
      <c r="D1515" s="24"/>
      <c r="E1515" s="25"/>
      <c r="F1515" s="23"/>
      <c r="G1515" s="26"/>
      <c r="H1515" s="27"/>
      <c r="J1515" s="28"/>
      <c r="K1515" s="23"/>
    </row>
    <row r="1516" spans="1:11" ht="15" customHeight="1">
      <c r="A1516" s="22"/>
      <c r="B1516" s="22"/>
      <c r="C1516" s="23"/>
      <c r="D1516" s="24"/>
      <c r="E1516" s="25"/>
      <c r="F1516" s="23"/>
      <c r="G1516" s="26"/>
      <c r="H1516" s="27"/>
      <c r="J1516" s="28"/>
      <c r="K1516" s="23"/>
    </row>
    <row r="1517" spans="1:11" ht="15" customHeight="1">
      <c r="A1517" s="22"/>
      <c r="B1517" s="22"/>
      <c r="C1517" s="23"/>
      <c r="D1517" s="24"/>
      <c r="E1517" s="25"/>
      <c r="F1517" s="23"/>
      <c r="G1517" s="26"/>
      <c r="H1517" s="27"/>
      <c r="J1517" s="28"/>
      <c r="K1517" s="23"/>
    </row>
    <row r="1518" spans="1:11" ht="15" customHeight="1">
      <c r="A1518" s="22"/>
      <c r="B1518" s="22"/>
      <c r="C1518" s="23"/>
      <c r="D1518" s="24"/>
      <c r="E1518" s="25"/>
      <c r="F1518" s="23"/>
      <c r="G1518" s="26"/>
      <c r="H1518" s="27"/>
      <c r="J1518" s="28"/>
      <c r="K1518" s="23"/>
    </row>
    <row r="1519" spans="1:11" ht="15" customHeight="1">
      <c r="A1519" s="22"/>
      <c r="B1519" s="22"/>
      <c r="C1519" s="23"/>
      <c r="D1519" s="24"/>
      <c r="E1519" s="25"/>
      <c r="F1519" s="23"/>
      <c r="G1519" s="26"/>
      <c r="H1519" s="27"/>
      <c r="J1519" s="28"/>
      <c r="K1519" s="23"/>
    </row>
    <row r="1520" spans="1:11" ht="15" customHeight="1">
      <c r="A1520" s="22"/>
      <c r="B1520" s="22"/>
      <c r="C1520" s="23"/>
      <c r="D1520" s="24"/>
      <c r="E1520" s="25"/>
      <c r="F1520" s="23"/>
      <c r="G1520" s="26"/>
      <c r="H1520" s="27"/>
      <c r="J1520" s="28"/>
      <c r="K1520" s="23"/>
    </row>
    <row r="1521" spans="1:11" ht="15" customHeight="1">
      <c r="A1521" s="22"/>
      <c r="B1521" s="22"/>
      <c r="C1521" s="23"/>
      <c r="D1521" s="24"/>
      <c r="E1521" s="25"/>
      <c r="F1521" s="23"/>
      <c r="G1521" s="26"/>
      <c r="H1521" s="27"/>
      <c r="J1521" s="28"/>
      <c r="K1521" s="23"/>
    </row>
    <row r="1522" spans="1:11" ht="15" customHeight="1">
      <c r="A1522" s="22"/>
      <c r="B1522" s="22"/>
      <c r="C1522" s="23"/>
      <c r="D1522" s="24"/>
      <c r="E1522" s="25"/>
      <c r="F1522" s="23"/>
      <c r="G1522" s="26"/>
      <c r="H1522" s="27"/>
      <c r="J1522" s="28"/>
      <c r="K1522" s="23"/>
    </row>
    <row r="1523" spans="1:11" ht="15" customHeight="1">
      <c r="A1523" s="22"/>
      <c r="B1523" s="22"/>
      <c r="C1523" s="23"/>
      <c r="D1523" s="24"/>
      <c r="E1523" s="25"/>
      <c r="F1523" s="23"/>
      <c r="G1523" s="26"/>
      <c r="H1523" s="27"/>
      <c r="J1523" s="28"/>
      <c r="K1523" s="23"/>
    </row>
    <row r="1524" spans="1:11" ht="15" customHeight="1">
      <c r="A1524" s="22"/>
      <c r="B1524" s="22"/>
      <c r="C1524" s="23"/>
      <c r="D1524" s="24"/>
      <c r="E1524" s="25"/>
      <c r="F1524" s="23"/>
      <c r="G1524" s="26"/>
      <c r="H1524" s="27"/>
      <c r="J1524" s="28"/>
      <c r="K1524" s="23"/>
    </row>
    <row r="1525" spans="1:11" ht="15" customHeight="1">
      <c r="A1525" s="22"/>
      <c r="B1525" s="22"/>
      <c r="C1525" s="23"/>
      <c r="D1525" s="24"/>
      <c r="E1525" s="25"/>
      <c r="F1525" s="23"/>
      <c r="G1525" s="26"/>
      <c r="H1525" s="27"/>
      <c r="J1525" s="28"/>
      <c r="K1525" s="23"/>
    </row>
    <row r="1526" spans="1:11" ht="15" customHeight="1">
      <c r="A1526" s="22"/>
      <c r="B1526" s="22"/>
      <c r="C1526" s="23"/>
      <c r="D1526" s="24"/>
      <c r="E1526" s="25"/>
      <c r="F1526" s="23"/>
      <c r="G1526" s="26"/>
      <c r="H1526" s="27"/>
      <c r="J1526" s="28"/>
      <c r="K1526" s="23"/>
    </row>
    <row r="1527" spans="1:11" ht="15" customHeight="1">
      <c r="A1527" s="22"/>
      <c r="B1527" s="22"/>
      <c r="C1527" s="23"/>
      <c r="D1527" s="24"/>
      <c r="E1527" s="25"/>
      <c r="F1527" s="23"/>
      <c r="G1527" s="26"/>
      <c r="H1527" s="27"/>
      <c r="J1527" s="28"/>
      <c r="K1527" s="23"/>
    </row>
    <row r="1528" spans="1:11" ht="15" customHeight="1">
      <c r="A1528" s="22"/>
      <c r="B1528" s="22"/>
      <c r="C1528" s="23"/>
      <c r="D1528" s="24"/>
      <c r="E1528" s="25"/>
      <c r="F1528" s="23"/>
      <c r="G1528" s="26"/>
      <c r="H1528" s="27"/>
      <c r="J1528" s="28"/>
      <c r="K1528" s="23"/>
    </row>
    <row r="1529" spans="1:11" ht="15" customHeight="1">
      <c r="A1529" s="22"/>
      <c r="B1529" s="22"/>
      <c r="C1529" s="23"/>
      <c r="D1529" s="24"/>
      <c r="E1529" s="25"/>
      <c r="F1529" s="23"/>
      <c r="G1529" s="26"/>
      <c r="H1529" s="27"/>
      <c r="J1529" s="28"/>
      <c r="K1529" s="23"/>
    </row>
    <row r="1530" spans="1:11" ht="15" customHeight="1">
      <c r="A1530" s="22"/>
      <c r="B1530" s="22"/>
      <c r="C1530" s="23"/>
      <c r="D1530" s="24"/>
      <c r="E1530" s="25"/>
      <c r="F1530" s="23"/>
      <c r="G1530" s="26"/>
      <c r="H1530" s="27"/>
      <c r="J1530" s="28"/>
      <c r="K1530" s="23"/>
    </row>
    <row r="1531" spans="1:11" ht="15" customHeight="1">
      <c r="A1531" s="22"/>
      <c r="B1531" s="22"/>
      <c r="C1531" s="23"/>
      <c r="D1531" s="24"/>
      <c r="E1531" s="25"/>
      <c r="F1531" s="23"/>
      <c r="G1531" s="26"/>
      <c r="H1531" s="27"/>
      <c r="J1531" s="28"/>
      <c r="K1531" s="23"/>
    </row>
    <row r="1532" spans="1:11" ht="15" customHeight="1">
      <c r="A1532" s="22"/>
      <c r="B1532" s="22"/>
      <c r="C1532" s="23"/>
      <c r="D1532" s="24"/>
      <c r="E1532" s="25"/>
      <c r="F1532" s="23"/>
      <c r="G1532" s="26"/>
      <c r="H1532" s="27"/>
      <c r="J1532" s="28"/>
      <c r="K1532" s="23"/>
    </row>
    <row r="1533" spans="1:11" ht="15" customHeight="1">
      <c r="A1533" s="22"/>
      <c r="B1533" s="22"/>
      <c r="C1533" s="23"/>
      <c r="D1533" s="24"/>
      <c r="E1533" s="25"/>
      <c r="F1533" s="23"/>
      <c r="G1533" s="26"/>
      <c r="H1533" s="27"/>
      <c r="J1533" s="28"/>
      <c r="K1533" s="23"/>
    </row>
    <row r="1534" spans="1:11" ht="15" customHeight="1">
      <c r="A1534" s="22"/>
      <c r="B1534" s="22"/>
      <c r="C1534" s="23"/>
      <c r="D1534" s="24"/>
      <c r="E1534" s="25"/>
      <c r="F1534" s="23"/>
      <c r="G1534" s="26"/>
      <c r="H1534" s="27"/>
      <c r="J1534" s="28"/>
      <c r="K1534" s="23"/>
    </row>
    <row r="1535" spans="1:11" ht="15" customHeight="1">
      <c r="A1535" s="22"/>
      <c r="B1535" s="22"/>
      <c r="C1535" s="23"/>
      <c r="D1535" s="24"/>
      <c r="E1535" s="25"/>
      <c r="F1535" s="23"/>
      <c r="G1535" s="26"/>
      <c r="H1535" s="27"/>
      <c r="J1535" s="28"/>
      <c r="K1535" s="23"/>
    </row>
    <row r="1536" spans="1:11" ht="15" customHeight="1">
      <c r="A1536" s="22"/>
      <c r="B1536" s="22"/>
      <c r="C1536" s="23"/>
      <c r="D1536" s="24"/>
      <c r="E1536" s="25"/>
      <c r="F1536" s="23"/>
      <c r="G1536" s="26"/>
      <c r="H1536" s="27"/>
      <c r="J1536" s="28"/>
      <c r="K1536" s="23"/>
    </row>
    <row r="1537" spans="1:11" ht="15" customHeight="1">
      <c r="A1537" s="22"/>
      <c r="B1537" s="22"/>
      <c r="C1537" s="23"/>
      <c r="D1537" s="24"/>
      <c r="E1537" s="25"/>
      <c r="F1537" s="23"/>
      <c r="G1537" s="26"/>
      <c r="H1537" s="27"/>
      <c r="J1537" s="28"/>
      <c r="K1537" s="23"/>
    </row>
    <row r="1538" spans="1:11" ht="15" customHeight="1">
      <c r="A1538" s="22"/>
      <c r="B1538" s="22"/>
      <c r="C1538" s="23"/>
      <c r="D1538" s="24"/>
      <c r="E1538" s="25"/>
      <c r="F1538" s="23"/>
      <c r="G1538" s="26"/>
      <c r="H1538" s="27"/>
      <c r="J1538" s="28"/>
      <c r="K1538" s="23"/>
    </row>
    <row r="1539" spans="1:11" ht="15" customHeight="1">
      <c r="A1539" s="22"/>
      <c r="B1539" s="22"/>
      <c r="C1539" s="23"/>
      <c r="D1539" s="24"/>
      <c r="E1539" s="25"/>
      <c r="F1539" s="23"/>
      <c r="G1539" s="26"/>
      <c r="H1539" s="27"/>
      <c r="J1539" s="28"/>
      <c r="K1539" s="23"/>
    </row>
    <row r="1540" spans="1:11" ht="15" customHeight="1">
      <c r="A1540" s="22"/>
      <c r="B1540" s="22"/>
      <c r="C1540" s="23"/>
      <c r="D1540" s="24"/>
      <c r="E1540" s="25"/>
      <c r="F1540" s="23"/>
      <c r="G1540" s="26"/>
      <c r="H1540" s="27"/>
      <c r="J1540" s="28"/>
      <c r="K1540" s="23"/>
    </row>
    <row r="1541" spans="1:11" ht="15" customHeight="1">
      <c r="A1541" s="22"/>
      <c r="B1541" s="22"/>
      <c r="C1541" s="23"/>
      <c r="D1541" s="24"/>
      <c r="E1541" s="25"/>
      <c r="F1541" s="23"/>
      <c r="G1541" s="26"/>
      <c r="H1541" s="27"/>
      <c r="J1541" s="28"/>
      <c r="K1541" s="23"/>
    </row>
    <row r="1542" spans="1:11" ht="15" customHeight="1">
      <c r="A1542" s="22"/>
      <c r="B1542" s="22"/>
      <c r="C1542" s="23"/>
      <c r="D1542" s="24"/>
      <c r="E1542" s="25"/>
      <c r="F1542" s="23"/>
      <c r="G1542" s="26"/>
      <c r="H1542" s="27"/>
      <c r="J1542" s="28"/>
      <c r="K1542" s="23"/>
    </row>
    <row r="1543" spans="1:11" ht="15" customHeight="1">
      <c r="A1543" s="22"/>
      <c r="B1543" s="22"/>
      <c r="C1543" s="23"/>
      <c r="D1543" s="24"/>
      <c r="E1543" s="25"/>
      <c r="F1543" s="23"/>
      <c r="G1543" s="26"/>
      <c r="H1543" s="27"/>
      <c r="J1543" s="28"/>
      <c r="K1543" s="23"/>
    </row>
    <row r="1544" spans="1:11" ht="15" customHeight="1">
      <c r="A1544" s="22"/>
      <c r="B1544" s="22"/>
      <c r="C1544" s="23"/>
      <c r="D1544" s="24"/>
      <c r="E1544" s="25"/>
      <c r="F1544" s="23"/>
      <c r="G1544" s="26"/>
      <c r="H1544" s="27"/>
      <c r="J1544" s="28"/>
      <c r="K1544" s="23"/>
    </row>
    <row r="1545" spans="1:11" ht="15" customHeight="1">
      <c r="A1545" s="22"/>
      <c r="B1545" s="22"/>
      <c r="C1545" s="23"/>
      <c r="D1545" s="24"/>
      <c r="E1545" s="25"/>
      <c r="F1545" s="23"/>
      <c r="G1545" s="26"/>
      <c r="H1545" s="27"/>
      <c r="J1545" s="28"/>
      <c r="K1545" s="23"/>
    </row>
    <row r="1546" spans="1:11" ht="15" customHeight="1">
      <c r="A1546" s="22"/>
      <c r="B1546" s="22"/>
      <c r="C1546" s="23"/>
      <c r="D1546" s="24"/>
      <c r="E1546" s="25"/>
      <c r="F1546" s="23"/>
      <c r="G1546" s="26"/>
      <c r="H1546" s="27"/>
      <c r="J1546" s="28"/>
      <c r="K1546" s="23"/>
    </row>
    <row r="1547" spans="1:11" ht="15" customHeight="1">
      <c r="A1547" s="22"/>
      <c r="B1547" s="22"/>
      <c r="C1547" s="23"/>
      <c r="D1547" s="24"/>
      <c r="E1547" s="25"/>
      <c r="F1547" s="23"/>
      <c r="G1547" s="26"/>
      <c r="H1547" s="27"/>
      <c r="J1547" s="28"/>
      <c r="K1547" s="23"/>
    </row>
    <row r="1548" spans="1:11" ht="15" customHeight="1">
      <c r="A1548" s="22"/>
      <c r="B1548" s="22"/>
      <c r="C1548" s="23"/>
      <c r="D1548" s="24"/>
      <c r="E1548" s="25"/>
      <c r="F1548" s="23"/>
      <c r="G1548" s="26"/>
      <c r="H1548" s="27"/>
      <c r="J1548" s="28"/>
      <c r="K1548" s="23"/>
    </row>
    <row r="1549" spans="1:11" ht="15" customHeight="1">
      <c r="A1549" s="22"/>
      <c r="B1549" s="22"/>
      <c r="C1549" s="23"/>
      <c r="D1549" s="24"/>
      <c r="E1549" s="25"/>
      <c r="F1549" s="23"/>
      <c r="G1549" s="26"/>
      <c r="H1549" s="27"/>
      <c r="J1549" s="28"/>
      <c r="K1549" s="23"/>
    </row>
    <row r="1550" spans="1:11" ht="15" customHeight="1">
      <c r="A1550" s="22"/>
      <c r="B1550" s="22"/>
      <c r="C1550" s="23"/>
      <c r="D1550" s="24"/>
      <c r="E1550" s="25"/>
      <c r="F1550" s="23"/>
      <c r="G1550" s="26"/>
      <c r="H1550" s="27"/>
      <c r="J1550" s="28"/>
      <c r="K1550" s="23"/>
    </row>
    <row r="1551" spans="1:11" ht="15" customHeight="1">
      <c r="A1551" s="22"/>
      <c r="B1551" s="22"/>
      <c r="C1551" s="23"/>
      <c r="D1551" s="24"/>
      <c r="E1551" s="25"/>
      <c r="F1551" s="23"/>
      <c r="G1551" s="26"/>
      <c r="H1551" s="27"/>
      <c r="J1551" s="28"/>
      <c r="K1551" s="23"/>
    </row>
    <row r="1552" spans="1:11" ht="15" customHeight="1">
      <c r="A1552" s="22"/>
      <c r="B1552" s="22"/>
      <c r="C1552" s="23"/>
      <c r="D1552" s="24"/>
      <c r="E1552" s="25"/>
      <c r="F1552" s="23"/>
      <c r="G1552" s="26"/>
      <c r="H1552" s="27"/>
      <c r="J1552" s="28"/>
      <c r="K1552" s="23"/>
    </row>
    <row r="1553" spans="1:11" ht="15" customHeight="1">
      <c r="A1553" s="22"/>
      <c r="B1553" s="22"/>
      <c r="C1553" s="23"/>
      <c r="D1553" s="24"/>
      <c r="E1553" s="25"/>
      <c r="F1553" s="23"/>
      <c r="G1553" s="26"/>
      <c r="H1553" s="27"/>
      <c r="J1553" s="28"/>
      <c r="K1553" s="23"/>
    </row>
    <row r="1554" spans="1:11" ht="15" customHeight="1">
      <c r="A1554" s="22"/>
      <c r="B1554" s="22"/>
      <c r="C1554" s="23"/>
      <c r="D1554" s="24"/>
      <c r="E1554" s="25"/>
      <c r="F1554" s="23"/>
      <c r="G1554" s="26"/>
      <c r="H1554" s="27"/>
      <c r="J1554" s="28"/>
      <c r="K1554" s="23"/>
    </row>
    <row r="1555" spans="1:11" ht="15" customHeight="1">
      <c r="A1555" s="22"/>
      <c r="B1555" s="22"/>
      <c r="C1555" s="23"/>
      <c r="D1555" s="24"/>
      <c r="E1555" s="25"/>
      <c r="F1555" s="23"/>
      <c r="G1555" s="26"/>
      <c r="H1555" s="27"/>
      <c r="J1555" s="28"/>
      <c r="K1555" s="23"/>
    </row>
    <row r="1556" spans="1:11" ht="15" customHeight="1">
      <c r="A1556" s="22"/>
      <c r="B1556" s="22"/>
      <c r="C1556" s="23"/>
      <c r="D1556" s="24"/>
      <c r="E1556" s="25"/>
      <c r="F1556" s="23"/>
      <c r="G1556" s="26"/>
      <c r="H1556" s="27"/>
      <c r="J1556" s="28"/>
      <c r="K1556" s="23"/>
    </row>
    <row r="1557" spans="1:11" ht="15" customHeight="1">
      <c r="A1557" s="22"/>
      <c r="B1557" s="22"/>
      <c r="C1557" s="23"/>
      <c r="D1557" s="24"/>
      <c r="E1557" s="25"/>
      <c r="F1557" s="23"/>
      <c r="G1557" s="26"/>
      <c r="H1557" s="27"/>
      <c r="J1557" s="28"/>
      <c r="K1557" s="23"/>
    </row>
    <row r="1558" spans="1:11" ht="15" customHeight="1">
      <c r="A1558" s="22"/>
      <c r="B1558" s="22"/>
      <c r="C1558" s="23"/>
      <c r="D1558" s="24"/>
      <c r="E1558" s="25"/>
      <c r="F1558" s="23"/>
      <c r="G1558" s="26"/>
      <c r="H1558" s="27"/>
      <c r="J1558" s="28"/>
      <c r="K1558" s="23"/>
    </row>
    <row r="1559" spans="1:11" ht="15" customHeight="1">
      <c r="A1559" s="22"/>
      <c r="B1559" s="22"/>
      <c r="C1559" s="23"/>
      <c r="D1559" s="24"/>
      <c r="E1559" s="25"/>
      <c r="F1559" s="23"/>
      <c r="G1559" s="26"/>
      <c r="H1559" s="27"/>
      <c r="J1559" s="28"/>
      <c r="K1559" s="23"/>
    </row>
    <row r="1560" spans="1:11" ht="15" customHeight="1">
      <c r="A1560" s="22"/>
      <c r="B1560" s="22"/>
      <c r="C1560" s="23"/>
      <c r="D1560" s="24"/>
      <c r="E1560" s="25"/>
      <c r="F1560" s="23"/>
      <c r="G1560" s="26"/>
      <c r="H1560" s="27"/>
      <c r="J1560" s="28"/>
      <c r="K1560" s="23"/>
    </row>
    <row r="1561" spans="1:11" ht="15" customHeight="1">
      <c r="A1561" s="22"/>
      <c r="B1561" s="22"/>
      <c r="C1561" s="23"/>
      <c r="D1561" s="24"/>
      <c r="E1561" s="25"/>
      <c r="F1561" s="23"/>
      <c r="G1561" s="26"/>
      <c r="H1561" s="27"/>
      <c r="J1561" s="28"/>
      <c r="K1561" s="23"/>
    </row>
    <row r="1562" spans="1:11" ht="15" customHeight="1">
      <c r="A1562" s="22"/>
      <c r="B1562" s="22"/>
      <c r="C1562" s="23"/>
      <c r="D1562" s="24"/>
      <c r="E1562" s="25"/>
      <c r="F1562" s="23"/>
      <c r="G1562" s="26"/>
      <c r="H1562" s="27"/>
      <c r="J1562" s="28"/>
      <c r="K1562" s="23"/>
    </row>
    <row r="1563" spans="1:11" ht="15" customHeight="1">
      <c r="A1563" s="22"/>
      <c r="B1563" s="22"/>
      <c r="C1563" s="23"/>
      <c r="D1563" s="24"/>
      <c r="E1563" s="25"/>
      <c r="F1563" s="23"/>
      <c r="G1563" s="26"/>
      <c r="H1563" s="27"/>
      <c r="J1563" s="28"/>
      <c r="K1563" s="23"/>
    </row>
    <row r="1564" spans="1:11" ht="15" customHeight="1">
      <c r="A1564" s="22"/>
      <c r="B1564" s="22"/>
      <c r="C1564" s="23"/>
      <c r="D1564" s="24"/>
      <c r="E1564" s="25"/>
      <c r="F1564" s="23"/>
      <c r="G1564" s="26"/>
      <c r="H1564" s="27"/>
      <c r="J1564" s="28"/>
      <c r="K1564" s="23"/>
    </row>
    <row r="1565" spans="1:11" ht="15" customHeight="1">
      <c r="A1565" s="22"/>
      <c r="B1565" s="22"/>
      <c r="C1565" s="23"/>
      <c r="D1565" s="24"/>
      <c r="E1565" s="25"/>
      <c r="F1565" s="23"/>
      <c r="G1565" s="26"/>
      <c r="H1565" s="27"/>
      <c r="J1565" s="28"/>
      <c r="K1565" s="23"/>
    </row>
    <row r="1566" spans="1:11" ht="15" customHeight="1">
      <c r="A1566" s="22"/>
      <c r="B1566" s="22"/>
      <c r="C1566" s="23"/>
      <c r="D1566" s="24"/>
      <c r="E1566" s="25"/>
      <c r="F1566" s="23"/>
      <c r="G1566" s="26"/>
      <c r="H1566" s="27"/>
      <c r="J1566" s="28"/>
      <c r="K1566" s="23"/>
    </row>
    <row r="1567" spans="1:11" ht="15" customHeight="1">
      <c r="A1567" s="22"/>
      <c r="B1567" s="22"/>
      <c r="C1567" s="23"/>
      <c r="D1567" s="24"/>
      <c r="E1567" s="25"/>
      <c r="F1567" s="23"/>
      <c r="G1567" s="26"/>
      <c r="H1567" s="27"/>
      <c r="J1567" s="28"/>
      <c r="K1567" s="23"/>
    </row>
    <row r="1568" spans="1:11" ht="15" customHeight="1">
      <c r="A1568" s="22"/>
      <c r="B1568" s="22"/>
      <c r="C1568" s="23"/>
      <c r="D1568" s="24"/>
      <c r="E1568" s="25"/>
      <c r="F1568" s="23"/>
      <c r="G1568" s="26"/>
      <c r="H1568" s="27"/>
      <c r="J1568" s="28"/>
      <c r="K1568" s="23"/>
    </row>
    <row r="1569" spans="1:11" ht="15" customHeight="1">
      <c r="A1569" s="22"/>
      <c r="B1569" s="22"/>
      <c r="C1569" s="23"/>
      <c r="D1569" s="24"/>
      <c r="E1569" s="25"/>
      <c r="F1569" s="23"/>
      <c r="G1569" s="26"/>
      <c r="H1569" s="27"/>
      <c r="J1569" s="28"/>
      <c r="K1569" s="23"/>
    </row>
    <row r="1570" spans="1:11" ht="15" customHeight="1">
      <c r="A1570" s="22"/>
      <c r="B1570" s="22"/>
      <c r="C1570" s="23"/>
      <c r="D1570" s="24"/>
      <c r="E1570" s="25"/>
      <c r="F1570" s="23"/>
      <c r="G1570" s="26"/>
      <c r="H1570" s="27"/>
      <c r="J1570" s="28"/>
      <c r="K1570" s="23"/>
    </row>
    <row r="1571" spans="1:11" ht="15" customHeight="1">
      <c r="A1571" s="22"/>
      <c r="B1571" s="22"/>
      <c r="C1571" s="23"/>
      <c r="D1571" s="24"/>
      <c r="E1571" s="25"/>
      <c r="F1571" s="23"/>
      <c r="G1571" s="26"/>
      <c r="H1571" s="27"/>
      <c r="J1571" s="28"/>
      <c r="K1571" s="23"/>
    </row>
    <row r="1572" spans="1:11" ht="15" customHeight="1">
      <c r="A1572" s="22"/>
      <c r="B1572" s="22"/>
      <c r="C1572" s="23"/>
      <c r="D1572" s="24"/>
      <c r="E1572" s="25"/>
      <c r="F1572" s="23"/>
      <c r="G1572" s="26"/>
      <c r="H1572" s="27"/>
      <c r="J1572" s="28"/>
      <c r="K1572" s="23"/>
    </row>
    <row r="1573" spans="1:11" ht="15" customHeight="1">
      <c r="A1573" s="22"/>
      <c r="B1573" s="22"/>
      <c r="C1573" s="23"/>
      <c r="D1573" s="24"/>
      <c r="E1573" s="25"/>
      <c r="F1573" s="23"/>
      <c r="G1573" s="26"/>
      <c r="H1573" s="27"/>
      <c r="J1573" s="28"/>
      <c r="K1573" s="23"/>
    </row>
    <row r="1574" spans="1:11" ht="15" customHeight="1">
      <c r="A1574" s="22"/>
      <c r="B1574" s="22"/>
      <c r="C1574" s="23"/>
      <c r="D1574" s="24"/>
      <c r="E1574" s="25"/>
      <c r="F1574" s="23"/>
      <c r="G1574" s="26"/>
      <c r="H1574" s="27"/>
      <c r="J1574" s="28"/>
      <c r="K1574" s="23"/>
    </row>
    <row r="1575" spans="1:11" ht="15" customHeight="1">
      <c r="A1575" s="22"/>
      <c r="B1575" s="22"/>
      <c r="C1575" s="23"/>
      <c r="D1575" s="24"/>
      <c r="E1575" s="25"/>
      <c r="F1575" s="23"/>
      <c r="G1575" s="26"/>
      <c r="H1575" s="27"/>
      <c r="J1575" s="28"/>
      <c r="K1575" s="23"/>
    </row>
    <row r="1576" spans="1:11" ht="15" customHeight="1">
      <c r="A1576" s="22"/>
      <c r="B1576" s="22"/>
      <c r="C1576" s="23"/>
      <c r="D1576" s="24"/>
      <c r="E1576" s="25"/>
      <c r="F1576" s="23"/>
      <c r="G1576" s="26"/>
      <c r="H1576" s="27"/>
      <c r="J1576" s="28"/>
      <c r="K1576" s="23"/>
    </row>
    <row r="1577" spans="1:11" ht="15" customHeight="1">
      <c r="A1577" s="22"/>
      <c r="B1577" s="22"/>
      <c r="C1577" s="23"/>
      <c r="D1577" s="24"/>
      <c r="E1577" s="25"/>
      <c r="F1577" s="23"/>
      <c r="G1577" s="26"/>
      <c r="H1577" s="27"/>
      <c r="J1577" s="28"/>
      <c r="K1577" s="23"/>
    </row>
    <row r="1578" spans="1:11" ht="15" customHeight="1">
      <c r="A1578" s="22"/>
      <c r="B1578" s="22"/>
      <c r="C1578" s="23"/>
      <c r="D1578" s="24"/>
      <c r="E1578" s="25"/>
      <c r="F1578" s="23"/>
      <c r="G1578" s="26"/>
      <c r="H1578" s="27"/>
      <c r="J1578" s="28"/>
      <c r="K1578" s="23"/>
    </row>
    <row r="1579" spans="1:11" ht="15" customHeight="1">
      <c r="A1579" s="22"/>
      <c r="B1579" s="22"/>
      <c r="C1579" s="23"/>
      <c r="D1579" s="24"/>
      <c r="E1579" s="25"/>
      <c r="F1579" s="23"/>
      <c r="G1579" s="26"/>
      <c r="H1579" s="27"/>
      <c r="J1579" s="28"/>
      <c r="K1579" s="23"/>
    </row>
    <row r="1580" spans="1:11" ht="15" customHeight="1">
      <c r="A1580" s="22"/>
      <c r="B1580" s="22"/>
      <c r="C1580" s="23"/>
      <c r="D1580" s="24"/>
      <c r="E1580" s="25"/>
      <c r="F1580" s="23"/>
      <c r="G1580" s="26"/>
      <c r="H1580" s="27"/>
      <c r="J1580" s="28"/>
      <c r="K1580" s="23"/>
    </row>
    <row r="1581" spans="1:11" ht="15" customHeight="1">
      <c r="A1581" s="22"/>
      <c r="B1581" s="22"/>
      <c r="C1581" s="23"/>
      <c r="D1581" s="24"/>
      <c r="E1581" s="25"/>
      <c r="F1581" s="23"/>
      <c r="G1581" s="26"/>
      <c r="H1581" s="27"/>
      <c r="J1581" s="28"/>
      <c r="K1581" s="23"/>
    </row>
    <row r="1582" spans="1:11" ht="15" customHeight="1">
      <c r="A1582" s="22"/>
      <c r="B1582" s="22"/>
      <c r="C1582" s="23"/>
      <c r="D1582" s="24"/>
      <c r="E1582" s="25"/>
      <c r="F1582" s="23"/>
      <c r="G1582" s="26"/>
      <c r="H1582" s="27"/>
      <c r="J1582" s="28"/>
      <c r="K1582" s="23"/>
    </row>
    <row r="1583" spans="1:11" ht="15" customHeight="1">
      <c r="A1583" s="22"/>
      <c r="B1583" s="22"/>
      <c r="C1583" s="23"/>
      <c r="D1583" s="24"/>
      <c r="E1583" s="25"/>
      <c r="F1583" s="23"/>
      <c r="G1583" s="26"/>
      <c r="H1583" s="27"/>
      <c r="J1583" s="28"/>
      <c r="K1583" s="23"/>
    </row>
    <row r="1584" spans="1:11" ht="15" customHeight="1">
      <c r="A1584" s="22"/>
      <c r="B1584" s="22"/>
      <c r="C1584" s="23"/>
      <c r="D1584" s="24"/>
      <c r="E1584" s="25"/>
      <c r="F1584" s="23"/>
      <c r="G1584" s="26"/>
      <c r="H1584" s="27"/>
      <c r="J1584" s="28"/>
      <c r="K1584" s="23"/>
    </row>
    <row r="1585" spans="1:11" ht="15" customHeight="1">
      <c r="A1585" s="22"/>
      <c r="B1585" s="22"/>
      <c r="C1585" s="23"/>
      <c r="D1585" s="24"/>
      <c r="E1585" s="25"/>
      <c r="F1585" s="23"/>
      <c r="G1585" s="26"/>
      <c r="H1585" s="27"/>
      <c r="J1585" s="28"/>
      <c r="K1585" s="23"/>
    </row>
    <row r="1586" spans="1:11" ht="15" customHeight="1">
      <c r="A1586" s="22"/>
      <c r="B1586" s="22"/>
      <c r="C1586" s="23"/>
      <c r="D1586" s="24"/>
      <c r="E1586" s="25"/>
      <c r="F1586" s="23"/>
      <c r="G1586" s="26"/>
      <c r="H1586" s="27"/>
      <c r="J1586" s="28"/>
      <c r="K1586" s="23"/>
    </row>
    <row r="1587" spans="1:11" ht="15" customHeight="1">
      <c r="A1587" s="22"/>
      <c r="B1587" s="22"/>
      <c r="C1587" s="23"/>
      <c r="D1587" s="24"/>
      <c r="E1587" s="25"/>
      <c r="F1587" s="23"/>
      <c r="G1587" s="26"/>
      <c r="H1587" s="27"/>
      <c r="J1587" s="28"/>
      <c r="K1587" s="23"/>
    </row>
    <row r="1588" spans="1:11" ht="15" customHeight="1">
      <c r="A1588" s="22"/>
      <c r="B1588" s="22"/>
      <c r="C1588" s="23"/>
      <c r="D1588" s="24"/>
      <c r="E1588" s="25"/>
      <c r="F1588" s="23"/>
      <c r="G1588" s="26"/>
      <c r="H1588" s="27"/>
      <c r="J1588" s="28"/>
      <c r="K1588" s="23"/>
    </row>
    <row r="1589" spans="1:11" ht="15" customHeight="1">
      <c r="A1589" s="22"/>
      <c r="B1589" s="22"/>
      <c r="C1589" s="23"/>
      <c r="D1589" s="24"/>
      <c r="E1589" s="25"/>
      <c r="F1589" s="23"/>
      <c r="G1589" s="26"/>
      <c r="H1589" s="27"/>
      <c r="J1589" s="28"/>
      <c r="K1589" s="23"/>
    </row>
    <row r="1590" spans="1:11" ht="15" customHeight="1">
      <c r="A1590" s="22"/>
      <c r="B1590" s="22"/>
      <c r="C1590" s="23"/>
      <c r="D1590" s="24"/>
      <c r="E1590" s="25"/>
      <c r="F1590" s="23"/>
      <c r="G1590" s="26"/>
      <c r="H1590" s="27"/>
      <c r="J1590" s="28"/>
      <c r="K1590" s="23"/>
    </row>
    <row r="1591" spans="1:11" ht="15" customHeight="1">
      <c r="A1591" s="22"/>
      <c r="B1591" s="22"/>
      <c r="C1591" s="23"/>
      <c r="D1591" s="24"/>
      <c r="E1591" s="25"/>
      <c r="F1591" s="23"/>
      <c r="G1591" s="26"/>
      <c r="H1591" s="27"/>
      <c r="J1591" s="28"/>
      <c r="K1591" s="23"/>
    </row>
    <row r="1592" spans="1:11" ht="15" customHeight="1">
      <c r="A1592" s="22"/>
      <c r="B1592" s="22"/>
      <c r="C1592" s="23"/>
      <c r="D1592" s="24"/>
      <c r="E1592" s="25"/>
      <c r="F1592" s="23"/>
      <c r="G1592" s="26"/>
      <c r="H1592" s="27"/>
      <c r="J1592" s="28"/>
      <c r="K1592" s="23"/>
    </row>
    <row r="1593" spans="1:11" ht="15" customHeight="1">
      <c r="A1593" s="22"/>
      <c r="B1593" s="22"/>
      <c r="C1593" s="23"/>
      <c r="D1593" s="24"/>
      <c r="E1593" s="25"/>
      <c r="F1593" s="23"/>
      <c r="G1593" s="26"/>
      <c r="H1593" s="27"/>
      <c r="J1593" s="28"/>
      <c r="K1593" s="23"/>
    </row>
    <row r="1594" spans="1:11" ht="15" customHeight="1">
      <c r="A1594" s="22"/>
      <c r="B1594" s="22"/>
      <c r="C1594" s="23"/>
      <c r="D1594" s="24"/>
      <c r="E1594" s="25"/>
      <c r="F1594" s="23"/>
      <c r="G1594" s="26"/>
      <c r="H1594" s="27"/>
      <c r="J1594" s="28"/>
      <c r="K1594" s="23"/>
    </row>
    <row r="1595" spans="1:11" ht="15" customHeight="1">
      <c r="A1595" s="22"/>
      <c r="B1595" s="22"/>
      <c r="C1595" s="23"/>
      <c r="D1595" s="24"/>
      <c r="E1595" s="25"/>
      <c r="F1595" s="23"/>
      <c r="G1595" s="26"/>
      <c r="H1595" s="27"/>
      <c r="J1595" s="28"/>
      <c r="K1595" s="23"/>
    </row>
    <row r="1596" spans="1:11" ht="15" customHeight="1">
      <c r="A1596" s="22"/>
      <c r="B1596" s="22"/>
      <c r="C1596" s="23"/>
      <c r="D1596" s="24"/>
      <c r="E1596" s="25"/>
      <c r="F1596" s="23"/>
      <c r="G1596" s="26"/>
      <c r="H1596" s="27"/>
      <c r="J1596" s="28"/>
      <c r="K1596" s="23"/>
    </row>
    <row r="1597" spans="1:11" ht="15" customHeight="1">
      <c r="A1597" s="22"/>
      <c r="B1597" s="22"/>
      <c r="C1597" s="23"/>
      <c r="D1597" s="24"/>
      <c r="E1597" s="25"/>
      <c r="F1597" s="23"/>
      <c r="G1597" s="26"/>
      <c r="H1597" s="27"/>
      <c r="J1597" s="28"/>
      <c r="K1597" s="23"/>
    </row>
    <row r="1598" spans="1:11" ht="15" customHeight="1">
      <c r="A1598" s="22"/>
      <c r="B1598" s="22"/>
      <c r="C1598" s="23"/>
      <c r="D1598" s="24"/>
      <c r="E1598" s="25"/>
      <c r="F1598" s="23"/>
      <c r="G1598" s="26"/>
      <c r="H1598" s="27"/>
      <c r="J1598" s="28"/>
      <c r="K1598" s="23"/>
    </row>
    <row r="1599" spans="1:11" ht="15" customHeight="1">
      <c r="A1599" s="22"/>
      <c r="B1599" s="22"/>
      <c r="C1599" s="23"/>
      <c r="D1599" s="24"/>
      <c r="E1599" s="25"/>
      <c r="F1599" s="23"/>
      <c r="G1599" s="26"/>
      <c r="H1599" s="27"/>
      <c r="J1599" s="28"/>
      <c r="K1599" s="23"/>
    </row>
    <row r="1600" spans="1:11" ht="15" customHeight="1">
      <c r="A1600" s="22"/>
      <c r="B1600" s="22"/>
      <c r="C1600" s="23"/>
      <c r="D1600" s="24"/>
      <c r="E1600" s="25"/>
      <c r="F1600" s="23"/>
      <c r="G1600" s="26"/>
      <c r="H1600" s="27"/>
      <c r="J1600" s="28"/>
      <c r="K1600" s="23"/>
    </row>
    <row r="1601" spans="1:11" ht="15" customHeight="1">
      <c r="A1601" s="22"/>
      <c r="B1601" s="22"/>
      <c r="C1601" s="23"/>
      <c r="D1601" s="24"/>
      <c r="E1601" s="25"/>
      <c r="F1601" s="23"/>
      <c r="G1601" s="26"/>
      <c r="H1601" s="27"/>
      <c r="J1601" s="28"/>
      <c r="K1601" s="23"/>
    </row>
    <row r="1602" spans="1:11" ht="15" customHeight="1">
      <c r="A1602" s="22"/>
      <c r="B1602" s="22"/>
      <c r="C1602" s="23"/>
      <c r="D1602" s="24"/>
      <c r="E1602" s="25"/>
      <c r="F1602" s="23"/>
      <c r="G1602" s="26"/>
      <c r="H1602" s="27"/>
      <c r="J1602" s="28"/>
      <c r="K1602" s="23"/>
    </row>
    <row r="1603" spans="1:11" ht="15" customHeight="1">
      <c r="A1603" s="22"/>
      <c r="B1603" s="22"/>
      <c r="C1603" s="23"/>
      <c r="D1603" s="24"/>
      <c r="E1603" s="25"/>
      <c r="F1603" s="23"/>
      <c r="G1603" s="26"/>
      <c r="H1603" s="27"/>
      <c r="J1603" s="28"/>
      <c r="K1603" s="23"/>
    </row>
    <row r="1604" spans="1:11" ht="15" customHeight="1">
      <c r="A1604" s="22"/>
      <c r="B1604" s="22"/>
      <c r="C1604" s="23"/>
      <c r="D1604" s="24"/>
      <c r="E1604" s="25"/>
      <c r="F1604" s="23"/>
      <c r="G1604" s="26"/>
      <c r="H1604" s="27"/>
      <c r="J1604" s="28"/>
      <c r="K1604" s="23"/>
    </row>
    <row r="1605" spans="1:11" ht="15" customHeight="1">
      <c r="A1605" s="22"/>
      <c r="B1605" s="22"/>
      <c r="C1605" s="23"/>
      <c r="D1605" s="24"/>
      <c r="E1605" s="25"/>
      <c r="F1605" s="23"/>
      <c r="G1605" s="26"/>
      <c r="H1605" s="27"/>
      <c r="J1605" s="28"/>
      <c r="K1605" s="23"/>
    </row>
    <row r="1606" spans="1:11" ht="15" customHeight="1">
      <c r="A1606" s="22"/>
      <c r="B1606" s="22"/>
      <c r="C1606" s="23"/>
      <c r="D1606" s="24"/>
      <c r="E1606" s="25"/>
      <c r="F1606" s="23"/>
      <c r="G1606" s="26"/>
      <c r="H1606" s="27"/>
      <c r="J1606" s="28"/>
      <c r="K1606" s="23"/>
    </row>
    <row r="1607" spans="1:11" ht="15" customHeight="1">
      <c r="A1607" s="22"/>
      <c r="B1607" s="22"/>
      <c r="C1607" s="23"/>
      <c r="D1607" s="24"/>
      <c r="E1607" s="25"/>
      <c r="F1607" s="23"/>
      <c r="G1607" s="26"/>
      <c r="H1607" s="27"/>
      <c r="J1607" s="28"/>
      <c r="K1607" s="23"/>
    </row>
    <row r="1608" spans="1:11" ht="15" customHeight="1">
      <c r="A1608" s="22"/>
      <c r="B1608" s="22"/>
      <c r="C1608" s="23"/>
      <c r="D1608" s="24"/>
      <c r="E1608" s="25"/>
      <c r="F1608" s="23"/>
      <c r="G1608" s="26"/>
      <c r="H1608" s="27"/>
      <c r="J1608" s="28"/>
      <c r="K1608" s="23"/>
    </row>
    <row r="1609" spans="1:11" ht="15" customHeight="1">
      <c r="A1609" s="22"/>
      <c r="B1609" s="22"/>
      <c r="C1609" s="23"/>
      <c r="D1609" s="24"/>
      <c r="E1609" s="25"/>
      <c r="F1609" s="23"/>
      <c r="G1609" s="26"/>
      <c r="H1609" s="27"/>
      <c r="J1609" s="28"/>
      <c r="K1609" s="23"/>
    </row>
    <row r="1610" spans="1:11" ht="15" customHeight="1">
      <c r="A1610" s="22"/>
      <c r="B1610" s="22"/>
      <c r="C1610" s="23"/>
      <c r="D1610" s="24"/>
      <c r="E1610" s="25"/>
      <c r="F1610" s="23"/>
      <c r="G1610" s="26"/>
      <c r="H1610" s="27"/>
      <c r="J1610" s="28"/>
      <c r="K1610" s="23"/>
    </row>
    <row r="1611" spans="1:11" ht="15" customHeight="1">
      <c r="A1611" s="22"/>
      <c r="B1611" s="22"/>
      <c r="C1611" s="23"/>
      <c r="D1611" s="24"/>
      <c r="E1611" s="25"/>
      <c r="F1611" s="23"/>
      <c r="G1611" s="26"/>
      <c r="H1611" s="27"/>
      <c r="J1611" s="28"/>
      <c r="K1611" s="23"/>
    </row>
    <row r="1612" spans="1:11" ht="15" customHeight="1">
      <c r="A1612" s="22"/>
      <c r="B1612" s="22"/>
      <c r="C1612" s="23"/>
      <c r="D1612" s="24"/>
      <c r="E1612" s="25"/>
      <c r="F1612" s="23"/>
      <c r="G1612" s="26"/>
      <c r="H1612" s="27"/>
      <c r="J1612" s="28"/>
      <c r="K1612" s="23"/>
    </row>
    <row r="1613" spans="1:11" ht="15" customHeight="1">
      <c r="A1613" s="22"/>
      <c r="B1613" s="22"/>
      <c r="C1613" s="23"/>
      <c r="D1613" s="24"/>
      <c r="E1613" s="25"/>
      <c r="F1613" s="23"/>
      <c r="G1613" s="26"/>
      <c r="H1613" s="27"/>
      <c r="J1613" s="28"/>
      <c r="K1613" s="23"/>
    </row>
    <row r="1614" spans="1:11" ht="15" customHeight="1">
      <c r="A1614" s="22"/>
      <c r="B1614" s="22"/>
      <c r="C1614" s="23"/>
      <c r="D1614" s="24"/>
      <c r="E1614" s="25"/>
      <c r="F1614" s="23"/>
      <c r="G1614" s="26"/>
      <c r="H1614" s="27"/>
      <c r="J1614" s="28"/>
      <c r="K1614" s="23"/>
    </row>
    <row r="1615" spans="1:11" ht="15" customHeight="1">
      <c r="A1615" s="22"/>
      <c r="B1615" s="22"/>
      <c r="C1615" s="23"/>
      <c r="D1615" s="24"/>
      <c r="E1615" s="25"/>
      <c r="F1615" s="23"/>
      <c r="G1615" s="26"/>
      <c r="H1615" s="27"/>
      <c r="J1615" s="28"/>
      <c r="K1615" s="23"/>
    </row>
    <row r="1616" spans="1:11" ht="15" customHeight="1">
      <c r="A1616" s="22"/>
      <c r="B1616" s="22"/>
      <c r="C1616" s="23"/>
      <c r="D1616" s="24"/>
      <c r="E1616" s="25"/>
      <c r="F1616" s="23"/>
      <c r="G1616" s="26"/>
      <c r="H1616" s="27"/>
      <c r="J1616" s="28"/>
      <c r="K1616" s="23"/>
    </row>
    <row r="1617" spans="1:11" ht="15" customHeight="1">
      <c r="A1617" s="22"/>
      <c r="B1617" s="22"/>
      <c r="C1617" s="23"/>
      <c r="D1617" s="24"/>
      <c r="E1617" s="25"/>
      <c r="F1617" s="23"/>
      <c r="G1617" s="26"/>
      <c r="H1617" s="27"/>
      <c r="J1617" s="28"/>
      <c r="K1617" s="23"/>
    </row>
    <row r="1618" spans="1:11" ht="15" customHeight="1">
      <c r="A1618" s="22"/>
      <c r="B1618" s="22"/>
      <c r="C1618" s="23"/>
      <c r="D1618" s="24"/>
      <c r="E1618" s="25"/>
      <c r="F1618" s="23"/>
      <c r="G1618" s="26"/>
      <c r="H1618" s="27"/>
      <c r="J1618" s="28"/>
      <c r="K1618" s="23"/>
    </row>
    <row r="1619" spans="1:11" ht="15" customHeight="1">
      <c r="A1619" s="22"/>
      <c r="B1619" s="22"/>
      <c r="C1619" s="23"/>
      <c r="D1619" s="24"/>
      <c r="E1619" s="25"/>
      <c r="F1619" s="23"/>
      <c r="G1619" s="26"/>
      <c r="H1619" s="27"/>
      <c r="J1619" s="28"/>
      <c r="K1619" s="23"/>
    </row>
    <row r="1620" spans="1:11" ht="15" customHeight="1">
      <c r="A1620" s="22"/>
      <c r="B1620" s="22"/>
      <c r="C1620" s="23"/>
      <c r="D1620" s="24"/>
      <c r="E1620" s="25"/>
      <c r="F1620" s="23"/>
      <c r="G1620" s="26"/>
      <c r="H1620" s="27"/>
      <c r="J1620" s="28"/>
      <c r="K1620" s="23"/>
    </row>
  </sheetData>
  <sortState xmlns:xlrd2="http://schemas.microsoft.com/office/spreadsheetml/2017/richdata2" ref="M493:M608">
    <sortCondition ref="M493:M608"/>
  </sortState>
  <phoneticPr fontId="14" type="noConversion"/>
  <conditionalFormatting sqref="K15:K16 K19:K32">
    <cfRule type="expression" dxfId="2" priority="3">
      <formula>OR(AND(YEAR(K15)=YEAR(TODAY()), MONTH(K15)+1=MONTH(TODAY())), AND(YEAR(K15)+1=YEAR(TODAY()), MONTH(K15)=12, MONTH(TODAY())=1))</formula>
    </cfRule>
  </conditionalFormatting>
  <conditionalFormatting sqref="K58">
    <cfRule type="expression" dxfId="1" priority="1">
      <formula>OR(AND(YEAR(K58)=YEAR(TODAY()), MONTH(K58)+1=MONTH(TODAY())), AND(YEAR(K58)+1=YEAR(TODAY()), MONTH(K58)=12, MONTH(TODAY())=1))</formula>
    </cfRule>
  </conditionalFormatting>
  <hyperlinks>
    <hyperlink ref="E129" r:id="rId1" xr:uid="{4C5F85F9-0EAC-E547-BC5B-7B67310C44FF}"/>
    <hyperlink ref="E65" r:id="rId2" xr:uid="{E5062419-96F3-49CE-AD36-2072F006709B}"/>
  </hyperlinks>
  <pageMargins left="0.25" right="0.25" top="0.75" bottom="0.75" header="0" footer="0"/>
  <pageSetup paperSize="12" orientation="landscape" r:id="rId3"/>
  <drawing r:id="rId4"/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Error - Producto inexistente" xr:uid="{00000000-0002-0000-0000-000000000000}">
          <x14:formula1>
            <xm:f>Productos!$A$1:$A$19</xm:f>
          </x14:formula1>
          <xm:sqref>C1:C608</xm:sqref>
        </x14:dataValidation>
        <x14:dataValidation type="list" allowBlank="1" showErrorMessage="1" xr:uid="{00000000-0002-0000-0000-000001000000}">
          <x14:formula1>
            <xm:f>Productos!$C$1:$C$14</xm:f>
          </x14:formula1>
          <xm:sqref>D1:D608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1A708D-5092-4126-A19E-133ED0E53692}">
  <dimension ref="A1:XFD2364"/>
  <sheetViews>
    <sheetView zoomScale="114" zoomScaleNormal="85" workbookViewId="0">
      <pane ySplit="1" topLeftCell="A150" activePane="bottomLeft" state="frozen"/>
      <selection pane="bottomLeft" activeCell="H170" sqref="H170"/>
      <selection activeCell="B1" sqref="B1"/>
    </sheetView>
  </sheetViews>
  <sheetFormatPr defaultColWidth="12.28515625" defaultRowHeight="15" customHeight="1"/>
  <cols>
    <col min="1" max="1" width="11.42578125" customWidth="1"/>
    <col min="2" max="2" width="23.42578125" customWidth="1"/>
    <col min="3" max="3" width="11.85546875" bestFit="1" customWidth="1"/>
    <col min="4" max="4" width="14" bestFit="1" customWidth="1"/>
    <col min="5" max="5" width="12.28515625" bestFit="1" customWidth="1"/>
    <col min="6" max="6" width="10.28515625" customWidth="1"/>
    <col min="7" max="7" width="13" customWidth="1"/>
    <col min="8" max="8" width="19.42578125" customWidth="1"/>
    <col min="9" max="9" width="10.28515625" customWidth="1"/>
    <col min="10" max="10" width="13" customWidth="1"/>
    <col min="11" max="11" width="15.28515625" customWidth="1"/>
    <col min="12" max="26" width="10.28515625" customWidth="1"/>
  </cols>
  <sheetData>
    <row r="1" spans="1:26" ht="12.75" customHeight="1">
      <c r="A1" s="29" t="s">
        <v>1352</v>
      </c>
      <c r="B1" s="30" t="s">
        <v>1353</v>
      </c>
      <c r="C1" s="31" t="s">
        <v>1354</v>
      </c>
      <c r="D1" s="31" t="s">
        <v>1355</v>
      </c>
      <c r="E1" s="31" t="s">
        <v>1356</v>
      </c>
      <c r="F1" s="32"/>
      <c r="G1" s="177" t="s">
        <v>1352</v>
      </c>
      <c r="H1" s="178" t="s">
        <v>1357</v>
      </c>
      <c r="J1" s="177" t="s">
        <v>1352</v>
      </c>
      <c r="K1" s="178" t="s">
        <v>1358</v>
      </c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</row>
    <row r="2" spans="1:26" ht="12.75" customHeight="1">
      <c r="A2" s="69">
        <v>46025</v>
      </c>
      <c r="B2" s="75" t="s">
        <v>17</v>
      </c>
      <c r="C2" s="79">
        <v>6100</v>
      </c>
      <c r="D2" s="79">
        <v>6500</v>
      </c>
      <c r="E2" s="71">
        <f t="shared" ref="E2:E65" si="0">+D2-C2</f>
        <v>400</v>
      </c>
      <c r="G2" s="179">
        <v>45659</v>
      </c>
      <c r="H2" s="194">
        <v>7510</v>
      </c>
      <c r="J2" s="179">
        <v>45659</v>
      </c>
      <c r="K2" s="194">
        <v>17500</v>
      </c>
    </row>
    <row r="3" spans="1:26" ht="12.75" customHeight="1">
      <c r="A3" s="69">
        <v>46025</v>
      </c>
      <c r="B3" s="75" t="s">
        <v>19</v>
      </c>
      <c r="C3" s="79">
        <v>12990</v>
      </c>
      <c r="D3" s="79">
        <v>25000</v>
      </c>
      <c r="E3" s="71">
        <f t="shared" si="0"/>
        <v>12010</v>
      </c>
      <c r="G3" s="180">
        <v>45735</v>
      </c>
      <c r="H3" s="195">
        <v>29600</v>
      </c>
      <c r="J3" s="180">
        <v>45677</v>
      </c>
      <c r="K3" s="195">
        <v>25000</v>
      </c>
    </row>
    <row r="4" spans="1:26" ht="12.75" customHeight="1">
      <c r="A4" s="69">
        <v>45659</v>
      </c>
      <c r="B4" s="75" t="s">
        <v>1359</v>
      </c>
      <c r="C4" s="79">
        <v>1990</v>
      </c>
      <c r="D4" s="79">
        <v>6000</v>
      </c>
      <c r="E4" s="71">
        <f t="shared" si="0"/>
        <v>4010</v>
      </c>
      <c r="G4" s="180" t="s">
        <v>1360</v>
      </c>
      <c r="H4" s="195">
        <v>0</v>
      </c>
      <c r="J4" s="180">
        <v>45735</v>
      </c>
      <c r="K4" s="195">
        <v>90000</v>
      </c>
    </row>
    <row r="5" spans="1:26" ht="12.75" customHeight="1">
      <c r="A5" s="69">
        <v>45659</v>
      </c>
      <c r="B5" s="144" t="s">
        <v>22</v>
      </c>
      <c r="C5" s="79">
        <v>8000</v>
      </c>
      <c r="D5" s="79">
        <v>11500</v>
      </c>
      <c r="E5" s="71">
        <f t="shared" si="0"/>
        <v>3500</v>
      </c>
      <c r="F5" s="58"/>
      <c r="G5" s="180">
        <v>46025</v>
      </c>
      <c r="H5" s="195">
        <v>12410</v>
      </c>
      <c r="J5" s="180">
        <v>46023</v>
      </c>
      <c r="K5" s="195">
        <v>23000</v>
      </c>
    </row>
    <row r="6" spans="1:26" ht="12.75" customHeight="1">
      <c r="A6" s="69">
        <v>46023</v>
      </c>
      <c r="B6" s="144" t="s">
        <v>22</v>
      </c>
      <c r="C6" s="79">
        <v>8000</v>
      </c>
      <c r="D6" s="79">
        <v>11500</v>
      </c>
      <c r="E6" s="71">
        <f t="shared" si="0"/>
        <v>3500</v>
      </c>
      <c r="F6" s="58"/>
      <c r="G6" s="180">
        <v>46023</v>
      </c>
      <c r="H6" s="195">
        <v>7000</v>
      </c>
      <c r="J6" s="180">
        <v>46025</v>
      </c>
      <c r="K6" s="195">
        <v>31500</v>
      </c>
    </row>
    <row r="7" spans="1:26" ht="12.75" customHeight="1">
      <c r="A7" s="69">
        <v>46023</v>
      </c>
      <c r="B7" s="144" t="s">
        <v>22</v>
      </c>
      <c r="C7" s="79">
        <v>8000</v>
      </c>
      <c r="D7" s="79">
        <v>11500</v>
      </c>
      <c r="E7" s="71">
        <f t="shared" si="0"/>
        <v>3500</v>
      </c>
      <c r="F7" s="58"/>
      <c r="G7" s="180">
        <v>46026</v>
      </c>
      <c r="H7" s="195">
        <v>30829</v>
      </c>
      <c r="J7" s="180">
        <v>46026</v>
      </c>
      <c r="K7" s="195">
        <v>96000</v>
      </c>
    </row>
    <row r="8" spans="1:26" ht="12.75" customHeight="1">
      <c r="A8" s="35">
        <v>46026</v>
      </c>
      <c r="B8" s="144" t="s">
        <v>22</v>
      </c>
      <c r="C8" s="79">
        <v>9000</v>
      </c>
      <c r="D8" s="37">
        <v>10000</v>
      </c>
      <c r="E8" s="71">
        <f t="shared" si="0"/>
        <v>1000</v>
      </c>
      <c r="G8" s="180">
        <v>46028</v>
      </c>
      <c r="H8" s="195">
        <v>8200</v>
      </c>
      <c r="J8" s="180">
        <v>46027</v>
      </c>
      <c r="K8" s="195">
        <v>69500</v>
      </c>
    </row>
    <row r="9" spans="1:26" ht="12.75" customHeight="1">
      <c r="A9" s="35">
        <v>46026</v>
      </c>
      <c r="B9" s="36" t="s">
        <v>13</v>
      </c>
      <c r="C9" s="37">
        <v>1171</v>
      </c>
      <c r="D9" s="37">
        <v>5000</v>
      </c>
      <c r="E9" s="71">
        <f t="shared" si="0"/>
        <v>3829</v>
      </c>
      <c r="G9" s="180">
        <v>46027</v>
      </c>
      <c r="H9" s="195">
        <v>31800</v>
      </c>
      <c r="J9" s="180">
        <v>46028</v>
      </c>
      <c r="K9" s="195">
        <v>30500</v>
      </c>
    </row>
    <row r="10" spans="1:26" ht="12.75" customHeight="1">
      <c r="A10" s="35">
        <v>46026</v>
      </c>
      <c r="B10" s="36" t="s">
        <v>43</v>
      </c>
      <c r="C10" s="37">
        <v>4300</v>
      </c>
      <c r="D10" s="37">
        <v>8000</v>
      </c>
      <c r="E10" s="71">
        <f t="shared" si="0"/>
        <v>3700</v>
      </c>
      <c r="G10" s="180">
        <v>46030</v>
      </c>
      <c r="H10" s="195">
        <v>3000</v>
      </c>
      <c r="J10" s="180">
        <v>46030</v>
      </c>
      <c r="K10" s="195">
        <v>12000</v>
      </c>
    </row>
    <row r="11" spans="1:26" ht="12.75" customHeight="1">
      <c r="A11" s="35">
        <v>46026</v>
      </c>
      <c r="B11" s="144" t="s">
        <v>22</v>
      </c>
      <c r="C11" s="79">
        <v>9000</v>
      </c>
      <c r="D11" s="37">
        <v>10000</v>
      </c>
      <c r="E11" s="71">
        <f t="shared" si="0"/>
        <v>1000</v>
      </c>
      <c r="G11" s="180">
        <v>46031</v>
      </c>
      <c r="H11" s="195">
        <v>22100</v>
      </c>
      <c r="J11" s="180">
        <v>46031</v>
      </c>
      <c r="K11" s="195">
        <v>57000</v>
      </c>
    </row>
    <row r="12" spans="1:26" ht="12.75" customHeight="1">
      <c r="A12" s="35">
        <v>46026</v>
      </c>
      <c r="B12" s="36" t="s">
        <v>43</v>
      </c>
      <c r="C12" s="37">
        <v>4300</v>
      </c>
      <c r="D12" s="37">
        <v>8000</v>
      </c>
      <c r="E12" s="71">
        <f t="shared" si="0"/>
        <v>3700</v>
      </c>
      <c r="G12" s="180">
        <v>46032</v>
      </c>
      <c r="H12" s="195">
        <v>35100</v>
      </c>
      <c r="J12" s="180">
        <v>46032</v>
      </c>
      <c r="K12" s="195">
        <v>66000</v>
      </c>
    </row>
    <row r="13" spans="1:26" ht="12.75" customHeight="1">
      <c r="A13" s="35">
        <v>46026</v>
      </c>
      <c r="B13" s="144" t="s">
        <v>22</v>
      </c>
      <c r="C13" s="79">
        <v>9000</v>
      </c>
      <c r="D13" s="37">
        <v>12000</v>
      </c>
      <c r="E13" s="71">
        <f t="shared" si="0"/>
        <v>3000</v>
      </c>
      <c r="G13" s="180">
        <v>46033</v>
      </c>
      <c r="H13" s="195">
        <v>8700</v>
      </c>
      <c r="J13" s="180">
        <v>46033</v>
      </c>
      <c r="K13" s="195">
        <v>22000</v>
      </c>
    </row>
    <row r="14" spans="1:26" ht="12.75" customHeight="1">
      <c r="A14" s="35">
        <v>46026</v>
      </c>
      <c r="B14" s="144" t="s">
        <v>22</v>
      </c>
      <c r="C14" s="79">
        <v>9000</v>
      </c>
      <c r="D14" s="37">
        <v>12000</v>
      </c>
      <c r="E14" s="71">
        <f t="shared" si="0"/>
        <v>3000</v>
      </c>
      <c r="G14" s="180">
        <v>46034</v>
      </c>
      <c r="H14" s="195">
        <v>21210</v>
      </c>
      <c r="J14" s="180">
        <v>46034</v>
      </c>
      <c r="K14" s="195">
        <v>46000</v>
      </c>
    </row>
    <row r="15" spans="1:26" ht="12.75" customHeight="1">
      <c r="A15" s="35">
        <v>46026</v>
      </c>
      <c r="B15" s="75" t="s">
        <v>17</v>
      </c>
      <c r="C15" s="79">
        <v>6100</v>
      </c>
      <c r="D15" s="37">
        <v>9000</v>
      </c>
      <c r="E15" s="71">
        <f t="shared" si="0"/>
        <v>2900</v>
      </c>
      <c r="G15" s="180">
        <v>46035</v>
      </c>
      <c r="H15" s="195">
        <v>27710</v>
      </c>
      <c r="J15" s="180">
        <v>46035</v>
      </c>
      <c r="K15" s="195">
        <v>152000</v>
      </c>
    </row>
    <row r="16" spans="1:26" ht="12.75" customHeight="1">
      <c r="A16" s="35">
        <v>46026</v>
      </c>
      <c r="B16" s="144" t="s">
        <v>22</v>
      </c>
      <c r="C16" s="79">
        <v>9000</v>
      </c>
      <c r="D16" s="37">
        <v>12000</v>
      </c>
      <c r="E16" s="71">
        <f t="shared" si="0"/>
        <v>3000</v>
      </c>
      <c r="G16" s="180">
        <v>46036</v>
      </c>
      <c r="H16" s="195">
        <v>29600</v>
      </c>
      <c r="J16" s="180">
        <v>46036</v>
      </c>
      <c r="K16" s="195">
        <v>58000</v>
      </c>
    </row>
    <row r="17" spans="1:11" ht="12.75" customHeight="1">
      <c r="A17" s="35">
        <v>46026</v>
      </c>
      <c r="B17" s="36" t="s">
        <v>43</v>
      </c>
      <c r="C17" s="37">
        <v>4300</v>
      </c>
      <c r="D17" s="37">
        <v>10000</v>
      </c>
      <c r="E17" s="71">
        <f t="shared" si="0"/>
        <v>5700</v>
      </c>
      <c r="G17" s="180">
        <v>46037</v>
      </c>
      <c r="H17" s="195">
        <v>2900</v>
      </c>
      <c r="J17" s="180">
        <v>46037</v>
      </c>
      <c r="K17" s="195">
        <v>9000</v>
      </c>
    </row>
    <row r="18" spans="1:11" ht="12.75" customHeight="1">
      <c r="A18" s="35">
        <v>46027</v>
      </c>
      <c r="B18" s="144" t="s">
        <v>22</v>
      </c>
      <c r="C18" s="79">
        <v>9000</v>
      </c>
      <c r="D18" s="37">
        <v>12000</v>
      </c>
      <c r="E18" s="71">
        <f t="shared" si="0"/>
        <v>3000</v>
      </c>
      <c r="G18" s="180">
        <v>46038</v>
      </c>
      <c r="H18" s="195">
        <v>21700</v>
      </c>
      <c r="J18" s="180">
        <v>46038</v>
      </c>
      <c r="K18" s="195">
        <v>73000</v>
      </c>
    </row>
    <row r="19" spans="1:11" ht="12.75" customHeight="1">
      <c r="A19" s="35">
        <v>46027</v>
      </c>
      <c r="B19" s="36" t="s">
        <v>65</v>
      </c>
      <c r="C19" s="37">
        <v>2000</v>
      </c>
      <c r="D19" s="37">
        <v>6000</v>
      </c>
      <c r="E19" s="71">
        <f t="shared" si="0"/>
        <v>4000</v>
      </c>
      <c r="G19" s="180">
        <v>46039</v>
      </c>
      <c r="H19" s="195">
        <v>4000</v>
      </c>
      <c r="J19" s="180">
        <v>46039</v>
      </c>
      <c r="K19" s="195">
        <v>10000</v>
      </c>
    </row>
    <row r="20" spans="1:11" ht="12.75" customHeight="1">
      <c r="A20" s="35">
        <v>46027</v>
      </c>
      <c r="B20" s="36" t="s">
        <v>43</v>
      </c>
      <c r="C20" s="37">
        <v>4300</v>
      </c>
      <c r="D20" s="37">
        <v>10000</v>
      </c>
      <c r="E20" s="71">
        <f t="shared" si="0"/>
        <v>5700</v>
      </c>
      <c r="F20" s="58"/>
      <c r="G20" s="180">
        <v>46040</v>
      </c>
      <c r="H20" s="195">
        <v>10000</v>
      </c>
      <c r="J20" s="180">
        <v>46040</v>
      </c>
      <c r="K20" s="195">
        <v>18000</v>
      </c>
    </row>
    <row r="21" spans="1:11" ht="12.75" customHeight="1">
      <c r="A21" s="35">
        <v>46027</v>
      </c>
      <c r="B21" s="36" t="s">
        <v>25</v>
      </c>
      <c r="C21" s="37">
        <v>1200</v>
      </c>
      <c r="D21" s="37">
        <v>5000</v>
      </c>
      <c r="E21" s="71">
        <f t="shared" si="0"/>
        <v>3800</v>
      </c>
      <c r="G21" s="180">
        <v>46041</v>
      </c>
      <c r="H21" s="195">
        <v>25510</v>
      </c>
      <c r="J21" s="180">
        <v>46041</v>
      </c>
      <c r="K21" s="195">
        <v>79000</v>
      </c>
    </row>
    <row r="22" spans="1:11" ht="12.75" customHeight="1">
      <c r="A22" s="35">
        <v>46027</v>
      </c>
      <c r="B22" s="75" t="s">
        <v>22</v>
      </c>
      <c r="C22" s="79">
        <v>9000</v>
      </c>
      <c r="D22" s="37">
        <v>10500</v>
      </c>
      <c r="E22" s="71">
        <f t="shared" si="0"/>
        <v>1500</v>
      </c>
      <c r="G22" s="180">
        <v>46043</v>
      </c>
      <c r="H22" s="195">
        <v>29010</v>
      </c>
      <c r="J22" s="180">
        <v>46043</v>
      </c>
      <c r="K22" s="195">
        <v>79500</v>
      </c>
    </row>
    <row r="23" spans="1:11" ht="12.75" customHeight="1">
      <c r="A23" s="35">
        <v>46027</v>
      </c>
      <c r="B23" s="36" t="s">
        <v>25</v>
      </c>
      <c r="C23" s="37">
        <v>1200</v>
      </c>
      <c r="D23" s="37">
        <v>8000</v>
      </c>
      <c r="E23" s="71">
        <f t="shared" si="0"/>
        <v>6800</v>
      </c>
      <c r="G23" s="180">
        <v>45677</v>
      </c>
      <c r="H23" s="195">
        <v>9700</v>
      </c>
      <c r="J23" s="180">
        <v>46045</v>
      </c>
      <c r="K23" s="195">
        <v>32000</v>
      </c>
    </row>
    <row r="24" spans="1:11" ht="12.75" customHeight="1">
      <c r="A24" s="35">
        <v>46027</v>
      </c>
      <c r="B24" s="75" t="s">
        <v>22</v>
      </c>
      <c r="C24" s="79">
        <v>9000</v>
      </c>
      <c r="D24" s="37">
        <v>12000</v>
      </c>
      <c r="E24" s="71">
        <f t="shared" si="0"/>
        <v>3000</v>
      </c>
      <c r="G24" s="180">
        <v>46045</v>
      </c>
      <c r="H24" s="195">
        <v>6500</v>
      </c>
      <c r="J24" s="180">
        <v>46046</v>
      </c>
      <c r="K24" s="195">
        <v>24500</v>
      </c>
    </row>
    <row r="25" spans="1:11" ht="12.75" customHeight="1">
      <c r="A25" s="35">
        <v>46027</v>
      </c>
      <c r="B25" s="36" t="s">
        <v>65</v>
      </c>
      <c r="C25" s="37">
        <v>2000</v>
      </c>
      <c r="D25" s="37">
        <v>6000</v>
      </c>
      <c r="E25" s="71">
        <f t="shared" si="0"/>
        <v>4000</v>
      </c>
      <c r="G25" s="180">
        <v>46046</v>
      </c>
      <c r="H25" s="195">
        <v>12900</v>
      </c>
      <c r="J25" s="180">
        <v>46047</v>
      </c>
      <c r="K25" s="195">
        <v>25000</v>
      </c>
    </row>
    <row r="26" spans="1:11" ht="12.75" customHeight="1">
      <c r="A26" s="35">
        <v>46028</v>
      </c>
      <c r="B26" s="75" t="s">
        <v>22</v>
      </c>
      <c r="C26" s="79">
        <v>9000</v>
      </c>
      <c r="D26" s="37">
        <v>12000</v>
      </c>
      <c r="E26" s="71">
        <f t="shared" si="0"/>
        <v>3000</v>
      </c>
      <c r="G26" s="180">
        <v>46047</v>
      </c>
      <c r="H26" s="195">
        <v>16500</v>
      </c>
      <c r="J26" s="180">
        <v>46048</v>
      </c>
      <c r="K26" s="195">
        <v>22000</v>
      </c>
    </row>
    <row r="27" spans="1:11" ht="12.75" customHeight="1">
      <c r="A27" s="35">
        <v>46028</v>
      </c>
      <c r="B27" s="36" t="s">
        <v>43</v>
      </c>
      <c r="C27" s="37">
        <v>4300</v>
      </c>
      <c r="D27" s="37">
        <v>8000</v>
      </c>
      <c r="E27" s="71">
        <f t="shared" si="0"/>
        <v>3700</v>
      </c>
      <c r="G27" s="180">
        <v>46048</v>
      </c>
      <c r="H27" s="195">
        <v>8700</v>
      </c>
      <c r="J27" s="180">
        <v>46050</v>
      </c>
      <c r="K27" s="195">
        <v>30000</v>
      </c>
    </row>
    <row r="28" spans="1:11" ht="12.75" customHeight="1">
      <c r="A28" s="35">
        <v>46028</v>
      </c>
      <c r="B28" s="75" t="s">
        <v>22</v>
      </c>
      <c r="C28" s="79">
        <v>9000</v>
      </c>
      <c r="D28" s="37">
        <v>10500</v>
      </c>
      <c r="E28" s="71">
        <f t="shared" si="0"/>
        <v>1500</v>
      </c>
      <c r="G28" s="180">
        <v>46050</v>
      </c>
      <c r="H28" s="195">
        <v>15500</v>
      </c>
      <c r="J28" s="180">
        <v>46051</v>
      </c>
      <c r="K28" s="195">
        <v>97000</v>
      </c>
    </row>
    <row r="29" spans="1:11" ht="12.75" customHeight="1">
      <c r="A29" s="35">
        <v>46030</v>
      </c>
      <c r="B29" s="75" t="s">
        <v>22</v>
      </c>
      <c r="C29" s="79">
        <v>9000</v>
      </c>
      <c r="D29" s="37">
        <v>12000</v>
      </c>
      <c r="E29" s="71">
        <f t="shared" si="0"/>
        <v>3000</v>
      </c>
      <c r="G29" s="180">
        <v>46051</v>
      </c>
      <c r="H29" s="195">
        <v>52500</v>
      </c>
      <c r="J29" s="180">
        <v>46052</v>
      </c>
      <c r="K29" s="195">
        <v>20000</v>
      </c>
    </row>
    <row r="30" spans="1:11" ht="12.75" customHeight="1">
      <c r="A30" s="35">
        <v>46031</v>
      </c>
      <c r="B30" s="36" t="s">
        <v>43</v>
      </c>
      <c r="C30" s="37">
        <v>4300</v>
      </c>
      <c r="D30" s="37">
        <v>8000</v>
      </c>
      <c r="E30" s="71">
        <f t="shared" si="0"/>
        <v>3700</v>
      </c>
      <c r="F30" s="58"/>
      <c r="G30" s="180">
        <v>46052</v>
      </c>
      <c r="H30" s="195">
        <v>9800</v>
      </c>
      <c r="J30" s="180">
        <v>46053</v>
      </c>
      <c r="K30" s="195">
        <v>12000</v>
      </c>
    </row>
    <row r="31" spans="1:11" ht="12.75" customHeight="1">
      <c r="A31" s="35">
        <v>46031</v>
      </c>
      <c r="B31" s="36" t="s">
        <v>25</v>
      </c>
      <c r="C31" s="37">
        <v>1200</v>
      </c>
      <c r="D31" s="37">
        <v>5000</v>
      </c>
      <c r="E31" s="71">
        <f t="shared" si="0"/>
        <v>3800</v>
      </c>
      <c r="G31" s="180">
        <v>46054</v>
      </c>
      <c r="H31" s="195">
        <v>19600</v>
      </c>
      <c r="J31" s="180">
        <v>46054</v>
      </c>
      <c r="K31" s="195">
        <v>44500</v>
      </c>
    </row>
    <row r="32" spans="1:11" ht="12.75" customHeight="1">
      <c r="A32" s="35">
        <v>46031</v>
      </c>
      <c r="B32" s="75" t="s">
        <v>22</v>
      </c>
      <c r="C32" s="79">
        <v>9000</v>
      </c>
      <c r="D32" s="37">
        <v>12000</v>
      </c>
      <c r="E32" s="71">
        <f t="shared" si="0"/>
        <v>3000</v>
      </c>
      <c r="G32" s="180">
        <v>46053</v>
      </c>
      <c r="H32" s="195">
        <v>3000</v>
      </c>
      <c r="J32" s="180">
        <v>46055</v>
      </c>
      <c r="K32" s="195">
        <v>180000</v>
      </c>
    </row>
    <row r="33" spans="1:11" ht="12.75" customHeight="1">
      <c r="A33" s="35">
        <v>46031</v>
      </c>
      <c r="B33" s="36" t="s">
        <v>25</v>
      </c>
      <c r="C33" s="37">
        <v>1200</v>
      </c>
      <c r="D33" s="37">
        <v>5000</v>
      </c>
      <c r="E33" s="71">
        <f t="shared" si="0"/>
        <v>3800</v>
      </c>
      <c r="G33" s="180">
        <v>46055</v>
      </c>
      <c r="H33" s="195">
        <v>71600</v>
      </c>
      <c r="J33" s="180">
        <v>46056</v>
      </c>
      <c r="K33" s="195">
        <v>40000</v>
      </c>
    </row>
    <row r="34" spans="1:11" ht="12.75" customHeight="1">
      <c r="A34" s="35">
        <v>46031</v>
      </c>
      <c r="B34" s="75" t="s">
        <v>22</v>
      </c>
      <c r="C34" s="79">
        <v>9000</v>
      </c>
      <c r="D34" s="37">
        <v>11000</v>
      </c>
      <c r="E34" s="71">
        <f t="shared" si="0"/>
        <v>2000</v>
      </c>
      <c r="G34" s="180">
        <v>46056</v>
      </c>
      <c r="H34" s="195">
        <v>11700</v>
      </c>
      <c r="J34" s="180">
        <v>46058</v>
      </c>
      <c r="K34" s="195">
        <v>60000</v>
      </c>
    </row>
    <row r="35" spans="1:11" ht="12.75" customHeight="1">
      <c r="A35" s="35">
        <v>46031</v>
      </c>
      <c r="B35" s="36" t="s">
        <v>25</v>
      </c>
      <c r="C35" s="37">
        <v>1200</v>
      </c>
      <c r="D35" s="37">
        <v>5000</v>
      </c>
      <c r="E35" s="71">
        <f t="shared" si="0"/>
        <v>3800</v>
      </c>
      <c r="G35" s="180">
        <v>46058</v>
      </c>
      <c r="H35" s="195">
        <v>27210</v>
      </c>
      <c r="J35" s="180">
        <v>46059</v>
      </c>
      <c r="K35" s="195">
        <v>8000</v>
      </c>
    </row>
    <row r="36" spans="1:11" ht="12.75" customHeight="1">
      <c r="A36" s="35">
        <v>46031</v>
      </c>
      <c r="B36" s="75" t="s">
        <v>22</v>
      </c>
      <c r="C36" s="79">
        <v>9000</v>
      </c>
      <c r="D36" s="37">
        <v>11000</v>
      </c>
      <c r="E36" s="71">
        <f t="shared" si="0"/>
        <v>2000</v>
      </c>
      <c r="F36" s="58"/>
      <c r="G36" s="180">
        <v>46059</v>
      </c>
      <c r="H36" s="195">
        <v>6600</v>
      </c>
      <c r="J36" s="180">
        <v>46060</v>
      </c>
      <c r="K36" s="195">
        <v>52000</v>
      </c>
    </row>
    <row r="37" spans="1:11" ht="12.75" customHeight="1">
      <c r="A37" s="35">
        <v>46032</v>
      </c>
      <c r="B37" s="54" t="s">
        <v>1361</v>
      </c>
      <c r="C37" s="37">
        <v>2000</v>
      </c>
      <c r="D37" s="37">
        <v>8000</v>
      </c>
      <c r="E37" s="71">
        <f t="shared" si="0"/>
        <v>6000</v>
      </c>
      <c r="F37" s="58"/>
      <c r="G37" s="180">
        <v>46060</v>
      </c>
      <c r="H37" s="195">
        <v>14000</v>
      </c>
      <c r="J37" s="180">
        <v>46061</v>
      </c>
      <c r="K37" s="195">
        <v>12000</v>
      </c>
    </row>
    <row r="38" spans="1:11" ht="12.75" customHeight="1">
      <c r="A38" s="35">
        <v>46032</v>
      </c>
      <c r="B38" s="36" t="s">
        <v>25</v>
      </c>
      <c r="C38" s="37">
        <v>1200</v>
      </c>
      <c r="D38" s="37">
        <v>8000</v>
      </c>
      <c r="E38" s="71">
        <f t="shared" si="0"/>
        <v>6800</v>
      </c>
      <c r="F38" s="58"/>
      <c r="G38" s="180">
        <v>46061</v>
      </c>
      <c r="H38" s="195">
        <v>3000</v>
      </c>
      <c r="J38" s="180">
        <v>46062</v>
      </c>
      <c r="K38" s="195">
        <v>67000</v>
      </c>
    </row>
    <row r="39" spans="1:11" ht="12.75" customHeight="1">
      <c r="A39" s="35">
        <v>46032</v>
      </c>
      <c r="B39" s="75" t="s">
        <v>22</v>
      </c>
      <c r="C39" s="79">
        <v>9000</v>
      </c>
      <c r="D39" s="37">
        <v>11000</v>
      </c>
      <c r="E39" s="71">
        <f t="shared" si="0"/>
        <v>2000</v>
      </c>
      <c r="F39" s="58"/>
      <c r="G39" s="180">
        <v>46062</v>
      </c>
      <c r="H39" s="195">
        <v>25600</v>
      </c>
      <c r="J39" s="180">
        <v>46063</v>
      </c>
      <c r="K39" s="195">
        <v>77000</v>
      </c>
    </row>
    <row r="40" spans="1:11" ht="12.75" customHeight="1">
      <c r="A40" s="35">
        <v>46032</v>
      </c>
      <c r="B40" s="36" t="s">
        <v>43</v>
      </c>
      <c r="C40" s="37">
        <v>6000</v>
      </c>
      <c r="D40" s="37">
        <v>8000</v>
      </c>
      <c r="E40" s="71">
        <f t="shared" si="0"/>
        <v>2000</v>
      </c>
      <c r="F40" s="58"/>
      <c r="G40" s="180">
        <v>46063</v>
      </c>
      <c r="H40" s="195">
        <v>23200</v>
      </c>
      <c r="J40" s="180">
        <v>46064</v>
      </c>
      <c r="K40" s="195">
        <v>63000</v>
      </c>
    </row>
    <row r="41" spans="1:11" ht="12.75" customHeight="1">
      <c r="A41" s="35">
        <v>46032</v>
      </c>
      <c r="B41" s="36" t="s">
        <v>43</v>
      </c>
      <c r="C41" s="37">
        <v>4300</v>
      </c>
      <c r="D41" s="37">
        <v>10000</v>
      </c>
      <c r="E41" s="71">
        <f t="shared" si="0"/>
        <v>5700</v>
      </c>
      <c r="F41" s="58"/>
      <c r="G41" s="180">
        <v>46064</v>
      </c>
      <c r="H41" s="195">
        <v>21900</v>
      </c>
      <c r="J41" s="180">
        <v>46065</v>
      </c>
      <c r="K41" s="195">
        <v>13000</v>
      </c>
    </row>
    <row r="42" spans="1:11" ht="12.75" customHeight="1">
      <c r="A42" s="35">
        <v>46032</v>
      </c>
      <c r="B42" s="36" t="s">
        <v>43</v>
      </c>
      <c r="C42" s="37">
        <v>6000</v>
      </c>
      <c r="D42" s="37">
        <v>8000</v>
      </c>
      <c r="E42" s="71">
        <f t="shared" si="0"/>
        <v>2000</v>
      </c>
      <c r="F42" s="58"/>
      <c r="G42" s="180">
        <v>46065</v>
      </c>
      <c r="H42" s="195">
        <v>8610</v>
      </c>
      <c r="J42" s="180">
        <v>46066</v>
      </c>
      <c r="K42" s="195">
        <v>86000</v>
      </c>
    </row>
    <row r="43" spans="1:11" ht="12.75" customHeight="1">
      <c r="A43" s="35">
        <v>46032</v>
      </c>
      <c r="B43" s="36" t="s">
        <v>25</v>
      </c>
      <c r="C43" s="37">
        <v>1200</v>
      </c>
      <c r="D43" s="37">
        <v>5000</v>
      </c>
      <c r="E43" s="71">
        <f t="shared" si="0"/>
        <v>3800</v>
      </c>
      <c r="F43" s="58"/>
      <c r="G43" s="180">
        <v>46066</v>
      </c>
      <c r="H43" s="195">
        <v>35500</v>
      </c>
      <c r="J43" s="180">
        <v>46067</v>
      </c>
      <c r="K43" s="195">
        <v>65000</v>
      </c>
    </row>
    <row r="44" spans="1:11" ht="12.75" customHeight="1">
      <c r="A44" s="35">
        <v>46032</v>
      </c>
      <c r="B44" s="36" t="s">
        <v>25</v>
      </c>
      <c r="C44" s="37">
        <v>1200</v>
      </c>
      <c r="D44" s="37">
        <v>8000</v>
      </c>
      <c r="E44" s="71">
        <f t="shared" si="0"/>
        <v>6800</v>
      </c>
      <c r="G44" s="180">
        <v>46067</v>
      </c>
      <c r="H44" s="195">
        <v>27100</v>
      </c>
      <c r="J44" s="180">
        <v>46069</v>
      </c>
      <c r="K44" s="195">
        <v>28000</v>
      </c>
    </row>
    <row r="45" spans="1:11" ht="12.75" customHeight="1">
      <c r="A45" s="35">
        <v>46033</v>
      </c>
      <c r="B45" s="36" t="s">
        <v>43</v>
      </c>
      <c r="C45" s="37">
        <v>4300</v>
      </c>
      <c r="D45" s="37">
        <v>10000</v>
      </c>
      <c r="E45" s="71">
        <f t="shared" si="0"/>
        <v>5700</v>
      </c>
      <c r="F45" s="58"/>
      <c r="G45" s="180">
        <v>46069</v>
      </c>
      <c r="H45" s="195">
        <v>12700</v>
      </c>
      <c r="J45" s="180">
        <v>46070</v>
      </c>
      <c r="K45" s="195">
        <v>64000</v>
      </c>
    </row>
    <row r="46" spans="1:11" ht="12.75" customHeight="1">
      <c r="A46" s="35">
        <v>46033</v>
      </c>
      <c r="B46" s="75" t="s">
        <v>22</v>
      </c>
      <c r="C46" s="79">
        <v>9000</v>
      </c>
      <c r="D46" s="37">
        <v>12000</v>
      </c>
      <c r="E46" s="71">
        <f t="shared" si="0"/>
        <v>3000</v>
      </c>
      <c r="G46" s="180">
        <v>46070</v>
      </c>
      <c r="H46" s="195">
        <v>14010</v>
      </c>
      <c r="J46" s="180">
        <v>46071</v>
      </c>
      <c r="K46" s="195">
        <v>20000</v>
      </c>
    </row>
    <row r="47" spans="1:11" ht="12.75" customHeight="1">
      <c r="A47" s="35">
        <v>46034</v>
      </c>
      <c r="B47" s="75" t="s">
        <v>22</v>
      </c>
      <c r="C47" s="79">
        <v>9000</v>
      </c>
      <c r="D47" s="37">
        <v>11000</v>
      </c>
      <c r="E47" s="71">
        <f t="shared" si="0"/>
        <v>2000</v>
      </c>
      <c r="F47" s="58"/>
      <c r="G47" s="180">
        <v>46071</v>
      </c>
      <c r="H47" s="195">
        <v>12000</v>
      </c>
      <c r="J47" s="180">
        <v>46073</v>
      </c>
      <c r="K47" s="195">
        <v>28000</v>
      </c>
    </row>
    <row r="48" spans="1:11" ht="12.75" customHeight="1">
      <c r="A48" s="35">
        <v>46034</v>
      </c>
      <c r="B48" s="36" t="s">
        <v>25</v>
      </c>
      <c r="C48" s="37">
        <v>1200</v>
      </c>
      <c r="D48" s="37">
        <v>5000</v>
      </c>
      <c r="E48" s="71">
        <f t="shared" si="0"/>
        <v>3800</v>
      </c>
      <c r="F48" s="58"/>
      <c r="G48" s="180">
        <v>46073</v>
      </c>
      <c r="H48" s="195">
        <v>8600</v>
      </c>
      <c r="J48" s="180">
        <v>46074</v>
      </c>
      <c r="K48" s="195">
        <v>118000</v>
      </c>
    </row>
    <row r="49" spans="1:11" ht="12.75" customHeight="1">
      <c r="A49" s="35">
        <v>46035</v>
      </c>
      <c r="B49" s="55" t="s">
        <v>22</v>
      </c>
      <c r="C49" s="56">
        <v>38000</v>
      </c>
      <c r="D49" s="56">
        <v>40000</v>
      </c>
      <c r="E49" s="71">
        <f t="shared" si="0"/>
        <v>2000</v>
      </c>
      <c r="F49" s="58"/>
      <c r="G49" s="180">
        <v>46074</v>
      </c>
      <c r="H49" s="195">
        <v>43300</v>
      </c>
      <c r="J49" s="180">
        <v>46075</v>
      </c>
      <c r="K49" s="195">
        <v>33000</v>
      </c>
    </row>
    <row r="50" spans="1:11" ht="12.75" customHeight="1">
      <c r="A50" s="35">
        <v>46035</v>
      </c>
      <c r="B50" s="36" t="s">
        <v>43</v>
      </c>
      <c r="C50" s="37">
        <v>32000</v>
      </c>
      <c r="D50" s="37">
        <v>35000</v>
      </c>
      <c r="E50" s="71">
        <f t="shared" si="0"/>
        <v>3000</v>
      </c>
      <c r="F50" s="58"/>
      <c r="G50" s="180">
        <v>46075</v>
      </c>
      <c r="H50" s="195">
        <v>15900</v>
      </c>
      <c r="J50" s="180">
        <v>46077</v>
      </c>
      <c r="K50" s="195">
        <v>9000</v>
      </c>
    </row>
    <row r="51" spans="1:11" ht="12.75" customHeight="1">
      <c r="A51" s="35">
        <v>46034</v>
      </c>
      <c r="B51" s="36" t="s">
        <v>17</v>
      </c>
      <c r="C51" s="37">
        <v>6100</v>
      </c>
      <c r="D51" s="37">
        <v>9000</v>
      </c>
      <c r="E51" s="71">
        <f t="shared" si="0"/>
        <v>2900</v>
      </c>
      <c r="F51" s="58"/>
      <c r="G51" s="180">
        <v>46077</v>
      </c>
      <c r="H51" s="195">
        <v>2900</v>
      </c>
      <c r="J51" s="180">
        <v>46079</v>
      </c>
      <c r="K51" s="195">
        <v>12000</v>
      </c>
    </row>
    <row r="52" spans="1:11" ht="12.75" customHeight="1">
      <c r="A52" s="35">
        <v>46035</v>
      </c>
      <c r="B52" s="36" t="s">
        <v>13</v>
      </c>
      <c r="C52" s="37">
        <v>2000</v>
      </c>
      <c r="D52" s="37">
        <v>8000</v>
      </c>
      <c r="E52" s="71">
        <f t="shared" si="0"/>
        <v>6000</v>
      </c>
      <c r="G52" s="180">
        <v>46079</v>
      </c>
      <c r="H52" s="195">
        <v>3000</v>
      </c>
      <c r="J52" s="180">
        <v>46080</v>
      </c>
      <c r="K52" s="195">
        <v>12000</v>
      </c>
    </row>
    <row r="53" spans="1:11" ht="12.75" customHeight="1">
      <c r="A53" s="35">
        <v>46034</v>
      </c>
      <c r="B53" s="36" t="s">
        <v>25</v>
      </c>
      <c r="C53" s="37">
        <v>1200</v>
      </c>
      <c r="D53" s="37">
        <v>5000</v>
      </c>
      <c r="E53" s="71">
        <f t="shared" si="0"/>
        <v>3800</v>
      </c>
      <c r="G53" s="180">
        <v>46080</v>
      </c>
      <c r="H53" s="195">
        <v>3000</v>
      </c>
      <c r="J53" s="180">
        <v>46081</v>
      </c>
      <c r="K53" s="195">
        <v>104500</v>
      </c>
    </row>
    <row r="54" spans="1:11" ht="12.75" customHeight="1">
      <c r="A54" s="35">
        <v>46034</v>
      </c>
      <c r="B54" s="36" t="s">
        <v>43</v>
      </c>
      <c r="C54" s="37">
        <v>4300</v>
      </c>
      <c r="D54" s="37">
        <v>8000</v>
      </c>
      <c r="E54" s="71">
        <f t="shared" si="0"/>
        <v>3700</v>
      </c>
      <c r="G54" s="180">
        <v>46081</v>
      </c>
      <c r="H54" s="195">
        <v>45200</v>
      </c>
      <c r="J54" s="180">
        <v>46082</v>
      </c>
      <c r="K54" s="195">
        <v>20000</v>
      </c>
    </row>
    <row r="55" spans="1:11" ht="12.75" customHeight="1">
      <c r="A55" s="35">
        <v>46034</v>
      </c>
      <c r="B55" s="55" t="s">
        <v>571</v>
      </c>
      <c r="C55" s="56">
        <v>2990</v>
      </c>
      <c r="D55" s="56">
        <v>8000</v>
      </c>
      <c r="E55" s="71">
        <f t="shared" si="0"/>
        <v>5010</v>
      </c>
      <c r="F55" s="58"/>
      <c r="G55" s="180">
        <v>46082</v>
      </c>
      <c r="H55" s="195">
        <v>9400</v>
      </c>
      <c r="J55" s="180">
        <v>46084</v>
      </c>
      <c r="K55" s="195">
        <v>44000</v>
      </c>
    </row>
    <row r="56" spans="1:11" ht="12.75" customHeight="1">
      <c r="A56" s="35">
        <v>46035</v>
      </c>
      <c r="B56" s="36" t="s">
        <v>25</v>
      </c>
      <c r="C56" s="37">
        <v>5290</v>
      </c>
      <c r="D56" s="37">
        <v>12000</v>
      </c>
      <c r="E56" s="71">
        <f t="shared" si="0"/>
        <v>6710</v>
      </c>
      <c r="F56" s="58"/>
      <c r="G56" s="180">
        <v>46084</v>
      </c>
      <c r="H56" s="195">
        <v>28600</v>
      </c>
      <c r="J56" s="180">
        <v>46085</v>
      </c>
      <c r="K56" s="195">
        <v>23500</v>
      </c>
    </row>
    <row r="57" spans="1:11" ht="12.75" customHeight="1">
      <c r="A57" s="35">
        <v>46035</v>
      </c>
      <c r="B57" s="36" t="s">
        <v>22</v>
      </c>
      <c r="C57" s="37">
        <v>38000</v>
      </c>
      <c r="D57" s="37">
        <v>45000</v>
      </c>
      <c r="E57" s="71">
        <f t="shared" si="0"/>
        <v>7000</v>
      </c>
      <c r="G57" s="180">
        <v>46085</v>
      </c>
      <c r="H57" s="195">
        <v>9300</v>
      </c>
      <c r="J57" s="180">
        <v>46086</v>
      </c>
      <c r="K57" s="195">
        <v>10000</v>
      </c>
    </row>
    <row r="58" spans="1:11" ht="12.75" customHeight="1">
      <c r="A58" s="35">
        <v>46035</v>
      </c>
      <c r="B58" s="55" t="s">
        <v>22</v>
      </c>
      <c r="C58" s="56">
        <v>9000</v>
      </c>
      <c r="D58" s="56">
        <v>12000</v>
      </c>
      <c r="E58" s="71">
        <f t="shared" si="0"/>
        <v>3000</v>
      </c>
      <c r="F58" s="58"/>
      <c r="G58" s="180">
        <v>46086</v>
      </c>
      <c r="H58" s="195">
        <v>4000</v>
      </c>
      <c r="J58" s="180">
        <v>46088</v>
      </c>
      <c r="K58" s="195">
        <v>22000</v>
      </c>
    </row>
    <row r="59" spans="1:11" ht="12.75" customHeight="1">
      <c r="A59" s="35">
        <v>46036</v>
      </c>
      <c r="B59" s="36" t="s">
        <v>13</v>
      </c>
      <c r="C59" s="37">
        <v>2000</v>
      </c>
      <c r="D59" s="37">
        <v>8000</v>
      </c>
      <c r="E59" s="71">
        <f t="shared" si="0"/>
        <v>6000</v>
      </c>
      <c r="G59" s="180">
        <v>46088</v>
      </c>
      <c r="H59" s="195">
        <v>7000</v>
      </c>
      <c r="J59" s="180">
        <v>46089</v>
      </c>
      <c r="K59" s="195">
        <v>82000</v>
      </c>
    </row>
    <row r="60" spans="1:11" ht="12.75" customHeight="1">
      <c r="A60" s="35">
        <v>46036</v>
      </c>
      <c r="B60" s="36" t="s">
        <v>43</v>
      </c>
      <c r="C60" s="56">
        <v>6000</v>
      </c>
      <c r="D60" s="56">
        <v>10000</v>
      </c>
      <c r="E60" s="71">
        <f t="shared" si="0"/>
        <v>4000</v>
      </c>
      <c r="F60" s="58"/>
      <c r="G60" s="180">
        <v>46089</v>
      </c>
      <c r="H60" s="195">
        <v>26900</v>
      </c>
      <c r="J60" s="180">
        <v>46090</v>
      </c>
      <c r="K60" s="195">
        <v>56000</v>
      </c>
    </row>
    <row r="61" spans="1:11" ht="12.75" customHeight="1">
      <c r="A61" s="35">
        <v>46036</v>
      </c>
      <c r="B61" s="36" t="s">
        <v>25</v>
      </c>
      <c r="C61" s="37">
        <v>1200</v>
      </c>
      <c r="D61" s="37">
        <v>8000</v>
      </c>
      <c r="E61" s="71">
        <f t="shared" si="0"/>
        <v>6800</v>
      </c>
      <c r="G61" s="180">
        <v>46090</v>
      </c>
      <c r="H61" s="195">
        <v>18600</v>
      </c>
      <c r="J61" s="180">
        <v>46091</v>
      </c>
      <c r="K61" s="195">
        <v>29000</v>
      </c>
    </row>
    <row r="62" spans="1:11" ht="12.75" customHeight="1">
      <c r="A62" s="35">
        <v>46036</v>
      </c>
      <c r="B62" s="36" t="s">
        <v>25</v>
      </c>
      <c r="C62" s="37">
        <v>1200</v>
      </c>
      <c r="D62" s="37">
        <v>8000</v>
      </c>
      <c r="E62" s="71">
        <f t="shared" si="0"/>
        <v>6800</v>
      </c>
      <c r="G62" s="180">
        <v>46091</v>
      </c>
      <c r="H62" s="195">
        <v>11900</v>
      </c>
      <c r="J62" s="180">
        <v>46092</v>
      </c>
      <c r="K62" s="195">
        <v>12000</v>
      </c>
    </row>
    <row r="63" spans="1:11" ht="12.75" customHeight="1">
      <c r="A63" s="35">
        <v>46036</v>
      </c>
      <c r="B63" s="55" t="s">
        <v>22</v>
      </c>
      <c r="C63" s="56">
        <v>9000</v>
      </c>
      <c r="D63" s="56">
        <v>12000</v>
      </c>
      <c r="E63" s="71">
        <f t="shared" si="0"/>
        <v>3000</v>
      </c>
      <c r="G63" s="180">
        <v>46092</v>
      </c>
      <c r="H63" s="195">
        <v>3000</v>
      </c>
      <c r="J63" s="180">
        <v>46094</v>
      </c>
      <c r="K63" s="195">
        <v>38000</v>
      </c>
    </row>
    <row r="64" spans="1:11" ht="12.75" customHeight="1">
      <c r="A64" s="35">
        <v>46036</v>
      </c>
      <c r="B64" s="55" t="s">
        <v>22</v>
      </c>
      <c r="C64" s="56">
        <v>9000</v>
      </c>
      <c r="D64" s="56">
        <v>12000</v>
      </c>
      <c r="E64" s="71">
        <f t="shared" si="0"/>
        <v>3000</v>
      </c>
      <c r="G64" s="180">
        <v>46094</v>
      </c>
      <c r="H64" s="195">
        <v>14000</v>
      </c>
      <c r="J64" s="180">
        <v>46095</v>
      </c>
      <c r="K64" s="195">
        <v>60000</v>
      </c>
    </row>
    <row r="65" spans="1:11" ht="12.75" customHeight="1">
      <c r="A65" s="35">
        <v>46037</v>
      </c>
      <c r="B65" s="54" t="s">
        <v>17</v>
      </c>
      <c r="C65" s="37">
        <v>6100</v>
      </c>
      <c r="D65" s="37">
        <v>9000</v>
      </c>
      <c r="E65" s="71">
        <f t="shared" si="0"/>
        <v>2900</v>
      </c>
      <c r="G65" s="180">
        <v>46095</v>
      </c>
      <c r="H65" s="195">
        <v>23400</v>
      </c>
      <c r="J65" s="180">
        <v>46096</v>
      </c>
      <c r="K65" s="195">
        <v>39000</v>
      </c>
    </row>
    <row r="66" spans="1:11" ht="12.75" customHeight="1">
      <c r="A66" s="35">
        <v>46038</v>
      </c>
      <c r="B66" s="55" t="s">
        <v>22</v>
      </c>
      <c r="C66" s="56">
        <v>9000</v>
      </c>
      <c r="D66" s="56">
        <v>12000</v>
      </c>
      <c r="E66" s="71">
        <f t="shared" ref="E66:E129" si="1">+D66-C66</f>
        <v>3000</v>
      </c>
      <c r="G66" s="180">
        <v>46096</v>
      </c>
      <c r="H66" s="195">
        <v>13900</v>
      </c>
      <c r="J66" s="180">
        <v>46097</v>
      </c>
      <c r="K66" s="195">
        <v>42000</v>
      </c>
    </row>
    <row r="67" spans="1:11" ht="12.75" customHeight="1">
      <c r="A67" s="35">
        <v>46038</v>
      </c>
      <c r="B67" s="55" t="s">
        <v>22</v>
      </c>
      <c r="C67" s="56">
        <v>9000</v>
      </c>
      <c r="D67" s="37">
        <v>11000</v>
      </c>
      <c r="E67" s="71">
        <f t="shared" si="1"/>
        <v>2000</v>
      </c>
      <c r="G67" s="180">
        <v>46097</v>
      </c>
      <c r="H67" s="195">
        <v>21200</v>
      </c>
      <c r="J67" s="180">
        <v>46098</v>
      </c>
      <c r="K67" s="195">
        <v>48000</v>
      </c>
    </row>
    <row r="68" spans="1:11" ht="12.75" customHeight="1">
      <c r="A68" s="35">
        <v>46038</v>
      </c>
      <c r="B68" s="36" t="s">
        <v>13</v>
      </c>
      <c r="C68" s="37">
        <v>2000</v>
      </c>
      <c r="D68" s="37">
        <v>5000</v>
      </c>
      <c r="E68" s="71">
        <f t="shared" si="1"/>
        <v>3000</v>
      </c>
      <c r="G68" s="180">
        <v>46098</v>
      </c>
      <c r="H68" s="195">
        <v>15800</v>
      </c>
      <c r="J68" s="180">
        <v>46099</v>
      </c>
      <c r="K68" s="195">
        <v>63000</v>
      </c>
    </row>
    <row r="69" spans="1:11" ht="12.75" customHeight="1">
      <c r="A69" s="35">
        <v>46038</v>
      </c>
      <c r="B69" s="36" t="s">
        <v>43</v>
      </c>
      <c r="C69" s="56">
        <v>6000</v>
      </c>
      <c r="D69" s="70">
        <v>8000</v>
      </c>
      <c r="E69" s="71">
        <f t="shared" si="1"/>
        <v>2000</v>
      </c>
      <c r="G69" s="180">
        <v>46099</v>
      </c>
      <c r="H69" s="195">
        <v>23000</v>
      </c>
      <c r="J69" s="180">
        <v>46105</v>
      </c>
      <c r="K69" s="195">
        <v>76500</v>
      </c>
    </row>
    <row r="70" spans="1:11" ht="12.75" customHeight="1">
      <c r="A70" s="35">
        <v>46038</v>
      </c>
      <c r="B70" s="36" t="s">
        <v>25</v>
      </c>
      <c r="C70" s="37">
        <v>1200</v>
      </c>
      <c r="D70" s="70">
        <v>5000</v>
      </c>
      <c r="E70" s="71">
        <f t="shared" si="1"/>
        <v>3800</v>
      </c>
      <c r="G70" s="180">
        <v>46105</v>
      </c>
      <c r="H70" s="195">
        <v>33400</v>
      </c>
      <c r="J70" s="180">
        <v>46106</v>
      </c>
      <c r="K70" s="195">
        <v>30000</v>
      </c>
    </row>
    <row r="71" spans="1:11" ht="12.75" customHeight="1">
      <c r="A71" s="35">
        <v>46038</v>
      </c>
      <c r="B71" s="55" t="s">
        <v>22</v>
      </c>
      <c r="C71" s="56">
        <v>9000</v>
      </c>
      <c r="D71" s="56">
        <v>12000</v>
      </c>
      <c r="E71" s="71">
        <f t="shared" si="1"/>
        <v>3000</v>
      </c>
      <c r="G71" s="180">
        <v>46106</v>
      </c>
      <c r="H71" s="195">
        <v>8800</v>
      </c>
      <c r="J71" s="180">
        <v>46107</v>
      </c>
      <c r="K71" s="195">
        <v>24000</v>
      </c>
    </row>
    <row r="72" spans="1:11" ht="12.75" customHeight="1">
      <c r="A72" s="35">
        <v>46038</v>
      </c>
      <c r="B72" s="55" t="s">
        <v>22</v>
      </c>
      <c r="C72" s="56">
        <v>9000</v>
      </c>
      <c r="D72" s="70">
        <v>11000</v>
      </c>
      <c r="E72" s="71">
        <f t="shared" si="1"/>
        <v>2000</v>
      </c>
      <c r="G72" s="180">
        <v>46107</v>
      </c>
      <c r="H72" s="195">
        <v>6000</v>
      </c>
      <c r="J72" s="180">
        <v>46108</v>
      </c>
      <c r="K72" s="195">
        <v>18500</v>
      </c>
    </row>
    <row r="73" spans="1:11" ht="12.75" customHeight="1">
      <c r="A73" s="35">
        <v>46038</v>
      </c>
      <c r="B73" s="54" t="s">
        <v>17</v>
      </c>
      <c r="C73" s="37">
        <v>6100</v>
      </c>
      <c r="D73" s="37">
        <v>9000</v>
      </c>
      <c r="E73" s="71">
        <f t="shared" si="1"/>
        <v>2900</v>
      </c>
      <c r="G73" s="180">
        <v>46108</v>
      </c>
      <c r="H73" s="195">
        <v>3400</v>
      </c>
      <c r="J73" s="180">
        <v>46109</v>
      </c>
      <c r="K73" s="195">
        <v>45000</v>
      </c>
    </row>
    <row r="74" spans="1:11" ht="12.75" customHeight="1">
      <c r="A74" s="69">
        <v>46039</v>
      </c>
      <c r="B74" s="36" t="s">
        <v>43</v>
      </c>
      <c r="C74" s="56">
        <v>6000</v>
      </c>
      <c r="D74" s="70">
        <v>10000</v>
      </c>
      <c r="E74" s="71">
        <f t="shared" si="1"/>
        <v>4000</v>
      </c>
      <c r="G74" s="180">
        <v>46109</v>
      </c>
      <c r="H74" s="195">
        <v>13500</v>
      </c>
      <c r="J74" s="180">
        <v>46110</v>
      </c>
      <c r="K74" s="195">
        <v>31000</v>
      </c>
    </row>
    <row r="75" spans="1:11" ht="12.75" customHeight="1">
      <c r="A75" s="69">
        <v>46040</v>
      </c>
      <c r="B75" s="36" t="s">
        <v>13</v>
      </c>
      <c r="C75" s="37">
        <v>2000</v>
      </c>
      <c r="D75" s="70">
        <v>8000</v>
      </c>
      <c r="E75" s="71">
        <f t="shared" si="1"/>
        <v>6000</v>
      </c>
      <c r="G75" s="180">
        <v>46110</v>
      </c>
      <c r="H75" s="195">
        <v>11300</v>
      </c>
      <c r="J75" s="180">
        <v>46111</v>
      </c>
      <c r="K75" s="195">
        <v>86000</v>
      </c>
    </row>
    <row r="76" spans="1:11" ht="12.75" customHeight="1">
      <c r="A76" s="69">
        <v>46040</v>
      </c>
      <c r="B76" s="36" t="s">
        <v>43</v>
      </c>
      <c r="C76" s="56">
        <v>6000</v>
      </c>
      <c r="D76" s="70">
        <v>10000</v>
      </c>
      <c r="E76" s="71">
        <f t="shared" si="1"/>
        <v>4000</v>
      </c>
      <c r="G76" s="180">
        <v>46111</v>
      </c>
      <c r="H76" s="195">
        <v>36600</v>
      </c>
      <c r="J76" s="180">
        <v>46112</v>
      </c>
      <c r="K76" s="195">
        <v>8000</v>
      </c>
    </row>
    <row r="77" spans="1:11" ht="12.75" customHeight="1">
      <c r="A77" s="69">
        <v>46041</v>
      </c>
      <c r="B77" s="55" t="s">
        <v>19</v>
      </c>
      <c r="C77" s="70">
        <v>12990</v>
      </c>
      <c r="D77" s="70">
        <v>25000</v>
      </c>
      <c r="E77" s="71">
        <f t="shared" si="1"/>
        <v>12010</v>
      </c>
      <c r="G77" s="180">
        <v>46112</v>
      </c>
      <c r="H77" s="195">
        <v>6000</v>
      </c>
      <c r="J77" s="180">
        <v>46114</v>
      </c>
      <c r="K77" s="195">
        <v>78500</v>
      </c>
    </row>
    <row r="78" spans="1:11" ht="12.75" customHeight="1">
      <c r="A78" s="69">
        <v>46041</v>
      </c>
      <c r="B78" s="55" t="s">
        <v>22</v>
      </c>
      <c r="C78" s="56">
        <f>9000*2</f>
        <v>18000</v>
      </c>
      <c r="D78" s="70">
        <f>11000*2</f>
        <v>22000</v>
      </c>
      <c r="E78" s="71">
        <f t="shared" si="1"/>
        <v>4000</v>
      </c>
      <c r="G78" s="180">
        <v>46114</v>
      </c>
      <c r="H78" s="195">
        <v>33400</v>
      </c>
      <c r="J78" s="180">
        <v>46115</v>
      </c>
      <c r="K78" s="195">
        <v>30000</v>
      </c>
    </row>
    <row r="79" spans="1:11" ht="12.75" customHeight="1">
      <c r="A79" s="69">
        <v>46041</v>
      </c>
      <c r="B79" s="55" t="s">
        <v>22</v>
      </c>
      <c r="C79" s="70">
        <v>9000</v>
      </c>
      <c r="D79" s="70">
        <v>12000</v>
      </c>
      <c r="E79" s="71">
        <f t="shared" si="1"/>
        <v>3000</v>
      </c>
      <c r="G79" s="180">
        <v>46115</v>
      </c>
      <c r="H79" s="195">
        <v>9200</v>
      </c>
      <c r="J79" s="180">
        <v>46116</v>
      </c>
      <c r="K79" s="195">
        <v>10000</v>
      </c>
    </row>
    <row r="80" spans="1:11" ht="12.75" customHeight="1">
      <c r="A80" s="69">
        <v>46041</v>
      </c>
      <c r="B80" s="55" t="s">
        <v>22</v>
      </c>
      <c r="C80" s="70">
        <v>9000</v>
      </c>
      <c r="D80" s="70">
        <v>12000</v>
      </c>
      <c r="E80" s="71">
        <f t="shared" si="1"/>
        <v>3000</v>
      </c>
      <c r="G80" s="180">
        <v>46116</v>
      </c>
      <c r="H80" s="195">
        <v>3000</v>
      </c>
      <c r="J80" s="180">
        <v>46118</v>
      </c>
      <c r="K80" s="195">
        <v>12000</v>
      </c>
    </row>
    <row r="81" spans="1:11" ht="12.75" customHeight="1">
      <c r="A81" s="69">
        <v>46041</v>
      </c>
      <c r="B81" s="36" t="s">
        <v>460</v>
      </c>
      <c r="C81" s="70">
        <v>4500</v>
      </c>
      <c r="D81" s="70">
        <v>8000</v>
      </c>
      <c r="E81" s="71">
        <f t="shared" si="1"/>
        <v>3500</v>
      </c>
      <c r="G81" s="180">
        <v>46118</v>
      </c>
      <c r="H81" s="195">
        <v>3000</v>
      </c>
      <c r="J81" s="180">
        <v>46119</v>
      </c>
      <c r="K81" s="195">
        <v>53000</v>
      </c>
    </row>
    <row r="82" spans="1:11" ht="12.75" customHeight="1">
      <c r="A82" s="69">
        <v>46043</v>
      </c>
      <c r="B82" s="36" t="s">
        <v>43</v>
      </c>
      <c r="C82" s="70">
        <v>4300</v>
      </c>
      <c r="D82" s="70">
        <v>8000</v>
      </c>
      <c r="E82" s="71">
        <f t="shared" si="1"/>
        <v>3700</v>
      </c>
      <c r="G82" s="180">
        <v>46119</v>
      </c>
      <c r="H82" s="195">
        <v>26510</v>
      </c>
      <c r="J82" s="180">
        <v>46120</v>
      </c>
      <c r="K82" s="195">
        <v>47000</v>
      </c>
    </row>
    <row r="83" spans="1:11" ht="12.75" customHeight="1">
      <c r="A83" s="69">
        <v>46043</v>
      </c>
      <c r="B83" s="55" t="s">
        <v>22</v>
      </c>
      <c r="C83" s="70">
        <v>9000</v>
      </c>
      <c r="D83" s="70">
        <v>11000</v>
      </c>
      <c r="E83" s="71">
        <f t="shared" si="1"/>
        <v>2000</v>
      </c>
      <c r="G83" s="180">
        <v>46120</v>
      </c>
      <c r="H83" s="195">
        <v>16500</v>
      </c>
      <c r="J83" s="180">
        <v>46122</v>
      </c>
      <c r="K83" s="195">
        <v>33000</v>
      </c>
    </row>
    <row r="84" spans="1:11" ht="12.75" customHeight="1">
      <c r="A84" s="69">
        <v>45677</v>
      </c>
      <c r="B84" s="36" t="s">
        <v>43</v>
      </c>
      <c r="C84" s="70">
        <v>4300</v>
      </c>
      <c r="D84" s="70">
        <v>8000</v>
      </c>
      <c r="E84" s="71">
        <f t="shared" si="1"/>
        <v>3700</v>
      </c>
      <c r="G84" s="180">
        <v>46122</v>
      </c>
      <c r="H84" s="195">
        <v>20900</v>
      </c>
      <c r="J84" s="180">
        <v>46123</v>
      </c>
      <c r="K84" s="195">
        <v>12000</v>
      </c>
    </row>
    <row r="85" spans="1:11" ht="12.75" customHeight="1">
      <c r="A85" s="69">
        <v>45677</v>
      </c>
      <c r="B85" s="36" t="s">
        <v>13</v>
      </c>
      <c r="C85" s="37">
        <v>2000</v>
      </c>
      <c r="D85" s="70">
        <v>5000</v>
      </c>
      <c r="E85" s="71">
        <f t="shared" si="1"/>
        <v>3000</v>
      </c>
      <c r="G85" s="180">
        <v>46123</v>
      </c>
      <c r="H85" s="195">
        <v>3000</v>
      </c>
      <c r="J85" s="180">
        <v>46124</v>
      </c>
      <c r="K85" s="195">
        <v>16000</v>
      </c>
    </row>
    <row r="86" spans="1:11" ht="12.75" customHeight="1">
      <c r="A86" s="69">
        <v>46043</v>
      </c>
      <c r="B86" s="36" t="s">
        <v>19</v>
      </c>
      <c r="C86" s="70">
        <v>12990</v>
      </c>
      <c r="D86" s="70">
        <v>25000</v>
      </c>
      <c r="E86" s="71">
        <f t="shared" si="1"/>
        <v>12010</v>
      </c>
      <c r="G86" s="180">
        <v>46124</v>
      </c>
      <c r="H86" s="195">
        <v>12100</v>
      </c>
      <c r="J86" s="180">
        <v>46125</v>
      </c>
      <c r="K86" s="195">
        <v>32000</v>
      </c>
    </row>
    <row r="87" spans="1:11" ht="12.75" customHeight="1">
      <c r="A87" s="69">
        <v>45677</v>
      </c>
      <c r="B87" s="55" t="s">
        <v>22</v>
      </c>
      <c r="C87" s="70">
        <v>9000</v>
      </c>
      <c r="D87" s="70">
        <v>12000</v>
      </c>
      <c r="E87" s="71">
        <f t="shared" si="1"/>
        <v>3000</v>
      </c>
      <c r="G87" s="180">
        <v>46125</v>
      </c>
      <c r="H87" s="195">
        <v>10200</v>
      </c>
      <c r="J87" s="180">
        <v>46126</v>
      </c>
      <c r="K87" s="195">
        <v>30000</v>
      </c>
    </row>
    <row r="88" spans="1:11" ht="12.75" customHeight="1">
      <c r="A88" s="69">
        <v>46043</v>
      </c>
      <c r="B88" s="36" t="s">
        <v>17</v>
      </c>
      <c r="C88" s="70">
        <v>6100</v>
      </c>
      <c r="D88" s="70">
        <v>9000</v>
      </c>
      <c r="E88" s="71">
        <f t="shared" si="1"/>
        <v>2900</v>
      </c>
      <c r="G88" s="180">
        <v>46126</v>
      </c>
      <c r="H88" s="195">
        <v>13010</v>
      </c>
      <c r="J88" s="180">
        <v>46127</v>
      </c>
      <c r="K88" s="195">
        <v>90000</v>
      </c>
    </row>
    <row r="89" spans="1:11" ht="12.75" customHeight="1">
      <c r="A89" s="69">
        <v>46043</v>
      </c>
      <c r="B89" s="36" t="s">
        <v>17</v>
      </c>
      <c r="C89" s="70">
        <v>6100</v>
      </c>
      <c r="D89" s="70">
        <v>6500</v>
      </c>
      <c r="E89" s="71">
        <f t="shared" si="1"/>
        <v>400</v>
      </c>
      <c r="G89" s="180">
        <v>46127</v>
      </c>
      <c r="H89" s="195">
        <v>43220</v>
      </c>
      <c r="J89" s="180">
        <v>46128</v>
      </c>
      <c r="K89" s="195">
        <v>19000</v>
      </c>
    </row>
    <row r="90" spans="1:11" ht="12.75" customHeight="1">
      <c r="A90" s="69">
        <v>46043</v>
      </c>
      <c r="B90" s="36" t="s">
        <v>43</v>
      </c>
      <c r="C90" s="70">
        <v>6000</v>
      </c>
      <c r="D90" s="70">
        <v>10000</v>
      </c>
      <c r="E90" s="71">
        <f t="shared" si="1"/>
        <v>4000</v>
      </c>
      <c r="G90" s="180">
        <v>46128</v>
      </c>
      <c r="H90" s="195">
        <v>4510</v>
      </c>
      <c r="J90" s="180">
        <v>46129</v>
      </c>
      <c r="K90" s="195">
        <v>39000</v>
      </c>
    </row>
    <row r="91" spans="1:11" ht="12.75" customHeight="1">
      <c r="A91" s="69">
        <v>46043</v>
      </c>
      <c r="B91" s="36" t="s">
        <v>43</v>
      </c>
      <c r="C91" s="70">
        <v>6000</v>
      </c>
      <c r="D91" s="70">
        <v>10000</v>
      </c>
      <c r="E91" s="71">
        <f t="shared" si="1"/>
        <v>4000</v>
      </c>
      <c r="G91" s="180">
        <v>46129</v>
      </c>
      <c r="H91" s="195">
        <v>16800</v>
      </c>
      <c r="J91" s="180">
        <v>46130</v>
      </c>
      <c r="K91" s="195">
        <v>10000</v>
      </c>
    </row>
    <row r="92" spans="1:11" ht="12.75" customHeight="1">
      <c r="A92" s="69">
        <v>46045</v>
      </c>
      <c r="B92" s="36" t="s">
        <v>43</v>
      </c>
      <c r="C92" s="70">
        <v>4300</v>
      </c>
      <c r="D92" s="70">
        <v>8000</v>
      </c>
      <c r="E92" s="71">
        <f t="shared" si="1"/>
        <v>3700</v>
      </c>
      <c r="G92" s="180">
        <v>46130</v>
      </c>
      <c r="H92" s="195">
        <v>3200</v>
      </c>
      <c r="J92" s="180">
        <v>46131</v>
      </c>
      <c r="K92" s="195">
        <v>22000</v>
      </c>
    </row>
    <row r="93" spans="1:11" ht="12.75" customHeight="1">
      <c r="A93" s="69">
        <v>46045</v>
      </c>
      <c r="B93" s="55" t="s">
        <v>22</v>
      </c>
      <c r="C93" s="70">
        <v>9000</v>
      </c>
      <c r="D93" s="70">
        <v>11000</v>
      </c>
      <c r="E93" s="71">
        <f t="shared" si="1"/>
        <v>2000</v>
      </c>
      <c r="G93" s="180">
        <v>46131</v>
      </c>
      <c r="H93" s="195">
        <v>8400</v>
      </c>
      <c r="J93" s="180">
        <v>46132</v>
      </c>
      <c r="K93" s="195">
        <v>21000</v>
      </c>
    </row>
    <row r="94" spans="1:11" ht="12.75" customHeight="1">
      <c r="A94" s="69">
        <v>46045</v>
      </c>
      <c r="B94" s="36" t="s">
        <v>17</v>
      </c>
      <c r="C94" s="70">
        <v>6100</v>
      </c>
      <c r="D94" s="70">
        <v>6500</v>
      </c>
      <c r="E94" s="71">
        <f t="shared" si="1"/>
        <v>400</v>
      </c>
      <c r="G94" s="180">
        <v>46132</v>
      </c>
      <c r="H94" s="195">
        <v>7400</v>
      </c>
      <c r="J94" s="180">
        <v>46133</v>
      </c>
      <c r="K94" s="195">
        <v>118000</v>
      </c>
    </row>
    <row r="95" spans="1:11" ht="12.75" customHeight="1">
      <c r="A95" s="69">
        <v>46045</v>
      </c>
      <c r="B95" s="36" t="s">
        <v>17</v>
      </c>
      <c r="C95" s="70">
        <v>6100</v>
      </c>
      <c r="D95" s="70">
        <v>6500</v>
      </c>
      <c r="E95" s="71">
        <f t="shared" si="1"/>
        <v>400</v>
      </c>
      <c r="G95" s="180">
        <v>46133</v>
      </c>
      <c r="H95" s="195">
        <v>51610</v>
      </c>
      <c r="J95" s="180">
        <v>46134</v>
      </c>
      <c r="K95" s="195">
        <v>53000</v>
      </c>
    </row>
    <row r="96" spans="1:11" ht="12.75" customHeight="1">
      <c r="A96" s="69">
        <v>46046</v>
      </c>
      <c r="B96" s="36" t="s">
        <v>17</v>
      </c>
      <c r="C96" s="70">
        <v>6100</v>
      </c>
      <c r="D96" s="70">
        <v>6500</v>
      </c>
      <c r="E96" s="71">
        <f t="shared" si="1"/>
        <v>400</v>
      </c>
      <c r="G96" s="180">
        <v>46134</v>
      </c>
      <c r="H96" s="195">
        <v>21800</v>
      </c>
      <c r="J96" s="180">
        <v>46135</v>
      </c>
      <c r="K96" s="195">
        <v>17000</v>
      </c>
    </row>
    <row r="97" spans="1:11" ht="12.75" customHeight="1">
      <c r="A97" s="69">
        <v>46046</v>
      </c>
      <c r="B97" s="36" t="s">
        <v>43</v>
      </c>
      <c r="C97" s="70">
        <v>4300</v>
      </c>
      <c r="D97" s="79">
        <v>10000</v>
      </c>
      <c r="E97" s="71">
        <f t="shared" si="1"/>
        <v>5700</v>
      </c>
      <c r="G97" s="180">
        <v>46135</v>
      </c>
      <c r="H97" s="195">
        <v>9000</v>
      </c>
      <c r="J97" s="180">
        <v>46136</v>
      </c>
      <c r="K97" s="195">
        <v>44000</v>
      </c>
    </row>
    <row r="98" spans="1:11" ht="12.75" customHeight="1">
      <c r="A98" s="75">
        <v>46046</v>
      </c>
      <c r="B98" s="36" t="s">
        <v>25</v>
      </c>
      <c r="C98" s="70">
        <v>1200</v>
      </c>
      <c r="D98" s="79">
        <v>8000</v>
      </c>
      <c r="E98" s="71">
        <f t="shared" si="1"/>
        <v>6800</v>
      </c>
      <c r="G98" s="180">
        <v>46136</v>
      </c>
      <c r="H98" s="195">
        <v>20900</v>
      </c>
      <c r="J98" s="180">
        <v>46138</v>
      </c>
      <c r="K98" s="195">
        <v>6000</v>
      </c>
    </row>
    <row r="99" spans="1:11" ht="12.75" customHeight="1">
      <c r="A99" s="75">
        <v>46047</v>
      </c>
      <c r="B99" s="36" t="s">
        <v>17</v>
      </c>
      <c r="C99" s="70">
        <v>6100</v>
      </c>
      <c r="D99" s="79">
        <v>9000</v>
      </c>
      <c r="E99" s="71">
        <f t="shared" si="1"/>
        <v>2900</v>
      </c>
      <c r="G99" s="180">
        <v>46138</v>
      </c>
      <c r="H99" s="195">
        <v>4000</v>
      </c>
      <c r="J99" s="180">
        <v>46139</v>
      </c>
      <c r="K99" s="195">
        <v>101000</v>
      </c>
    </row>
    <row r="100" spans="1:11" ht="12.75" customHeight="1">
      <c r="A100" s="75">
        <v>46047</v>
      </c>
      <c r="B100" s="36" t="s">
        <v>25</v>
      </c>
      <c r="C100" s="70">
        <v>1200</v>
      </c>
      <c r="D100" s="79">
        <v>8000</v>
      </c>
      <c r="E100" s="71">
        <f t="shared" si="1"/>
        <v>6800</v>
      </c>
      <c r="G100" s="180">
        <v>46139</v>
      </c>
      <c r="H100" s="195">
        <v>40200</v>
      </c>
      <c r="J100" s="180">
        <v>46140</v>
      </c>
      <c r="K100" s="195">
        <v>23000</v>
      </c>
    </row>
    <row r="101" spans="1:11" ht="12.75" customHeight="1">
      <c r="A101" s="75">
        <v>46047</v>
      </c>
      <c r="B101" s="36" t="s">
        <v>25</v>
      </c>
      <c r="C101" s="70">
        <v>1200</v>
      </c>
      <c r="D101" s="79">
        <v>8000</v>
      </c>
      <c r="E101" s="71">
        <f t="shared" si="1"/>
        <v>6800</v>
      </c>
      <c r="G101" s="180">
        <v>46140</v>
      </c>
      <c r="H101" s="195">
        <v>12400</v>
      </c>
      <c r="J101" s="180">
        <v>46141</v>
      </c>
      <c r="K101" s="195">
        <v>12000</v>
      </c>
    </row>
    <row r="102" spans="1:11" ht="12.75" customHeight="1">
      <c r="A102" s="75">
        <v>46048</v>
      </c>
      <c r="B102" s="36" t="s">
        <v>22</v>
      </c>
      <c r="C102" s="70">
        <v>9000</v>
      </c>
      <c r="D102" s="79">
        <v>12000</v>
      </c>
      <c r="E102" s="71">
        <f t="shared" si="1"/>
        <v>3000</v>
      </c>
      <c r="G102" s="180">
        <v>46141</v>
      </c>
      <c r="H102" s="195">
        <v>9700</v>
      </c>
      <c r="J102" s="181" t="s">
        <v>1362</v>
      </c>
      <c r="K102" s="196">
        <v>4359000</v>
      </c>
    </row>
    <row r="103" spans="1:11" ht="12.75" customHeight="1">
      <c r="A103" s="75">
        <v>46048</v>
      </c>
      <c r="B103" s="54" t="s">
        <v>43</v>
      </c>
      <c r="C103" s="70">
        <v>4300</v>
      </c>
      <c r="D103" s="79">
        <v>10000</v>
      </c>
      <c r="E103" s="71">
        <f t="shared" si="1"/>
        <v>5700</v>
      </c>
      <c r="G103" s="180">
        <v>46142</v>
      </c>
      <c r="H103" s="195">
        <v>12800</v>
      </c>
    </row>
    <row r="104" spans="1:11" ht="12.75" customHeight="1">
      <c r="A104" s="75">
        <v>46050</v>
      </c>
      <c r="B104" s="36" t="s">
        <v>22</v>
      </c>
      <c r="C104" s="70">
        <v>9000</v>
      </c>
      <c r="D104" s="79">
        <v>12000</v>
      </c>
      <c r="E104" s="71">
        <f t="shared" si="1"/>
        <v>3000</v>
      </c>
      <c r="G104" s="180">
        <v>46143</v>
      </c>
      <c r="H104" s="195">
        <v>21200</v>
      </c>
    </row>
    <row r="105" spans="1:11" ht="12.75" customHeight="1">
      <c r="A105" s="75">
        <v>46051</v>
      </c>
      <c r="B105" s="36" t="s">
        <v>43</v>
      </c>
      <c r="C105" s="70">
        <v>4300</v>
      </c>
      <c r="D105" s="79">
        <v>10000</v>
      </c>
      <c r="E105" s="71">
        <f t="shared" si="1"/>
        <v>5700</v>
      </c>
      <c r="G105" s="180">
        <v>46144</v>
      </c>
      <c r="H105" s="195">
        <v>16800</v>
      </c>
    </row>
    <row r="106" spans="1:11" ht="12.75" customHeight="1">
      <c r="A106" s="75">
        <v>46051</v>
      </c>
      <c r="B106" s="36" t="s">
        <v>17</v>
      </c>
      <c r="C106" s="70">
        <v>6100</v>
      </c>
      <c r="D106" s="79">
        <v>9000</v>
      </c>
      <c r="E106" s="71">
        <f t="shared" si="1"/>
        <v>2900</v>
      </c>
      <c r="G106" s="180">
        <v>46146</v>
      </c>
      <c r="H106" s="195">
        <v>11600</v>
      </c>
    </row>
    <row r="107" spans="1:11" ht="12.75" customHeight="1">
      <c r="A107" s="75">
        <v>46051</v>
      </c>
      <c r="B107" s="36" t="s">
        <v>13</v>
      </c>
      <c r="C107" s="37">
        <v>2000</v>
      </c>
      <c r="D107" s="79">
        <v>8000</v>
      </c>
      <c r="E107" s="71">
        <f t="shared" si="1"/>
        <v>6000</v>
      </c>
      <c r="G107" s="180">
        <v>46145</v>
      </c>
      <c r="H107" s="195">
        <v>2410</v>
      </c>
    </row>
    <row r="108" spans="1:11" ht="12.75" customHeight="1">
      <c r="A108" s="75">
        <v>46050</v>
      </c>
      <c r="B108" s="54" t="s">
        <v>43</v>
      </c>
      <c r="C108" s="70">
        <v>4300</v>
      </c>
      <c r="D108" s="79">
        <v>10000</v>
      </c>
      <c r="E108" s="71">
        <f t="shared" si="1"/>
        <v>5700</v>
      </c>
      <c r="G108" s="180">
        <v>46147</v>
      </c>
      <c r="H108" s="195">
        <v>5000</v>
      </c>
    </row>
    <row r="109" spans="1:11" ht="12.75" customHeight="1">
      <c r="A109" s="75">
        <v>46051</v>
      </c>
      <c r="B109" s="54" t="s">
        <v>43</v>
      </c>
      <c r="C109" s="70">
        <v>4300</v>
      </c>
      <c r="D109" s="79">
        <v>10000</v>
      </c>
      <c r="E109" s="71">
        <f t="shared" si="1"/>
        <v>5700</v>
      </c>
      <c r="G109" s="180">
        <v>46149</v>
      </c>
      <c r="H109" s="195">
        <v>28800</v>
      </c>
    </row>
    <row r="110" spans="1:11" ht="12.75" customHeight="1">
      <c r="A110" s="75">
        <v>46050</v>
      </c>
      <c r="B110" s="36" t="s">
        <v>25</v>
      </c>
      <c r="C110" s="70">
        <v>1200</v>
      </c>
      <c r="D110" s="79">
        <v>8000</v>
      </c>
      <c r="E110" s="71">
        <f t="shared" si="1"/>
        <v>6800</v>
      </c>
      <c r="G110" s="180">
        <v>46150</v>
      </c>
      <c r="H110" s="195">
        <v>10200</v>
      </c>
    </row>
    <row r="111" spans="1:11" ht="12.75" customHeight="1">
      <c r="A111" s="75">
        <v>46052</v>
      </c>
      <c r="B111" s="36" t="s">
        <v>25</v>
      </c>
      <c r="C111" s="70">
        <v>1200</v>
      </c>
      <c r="D111" s="79">
        <v>8000</v>
      </c>
      <c r="E111" s="71">
        <f t="shared" si="1"/>
        <v>6800</v>
      </c>
      <c r="G111" s="180">
        <v>46153</v>
      </c>
      <c r="H111" s="195">
        <v>21900</v>
      </c>
    </row>
    <row r="112" spans="1:11" ht="12.75" customHeight="1">
      <c r="A112" s="75">
        <v>46051</v>
      </c>
      <c r="B112" s="54" t="s">
        <v>263</v>
      </c>
      <c r="C112" s="37">
        <v>2000</v>
      </c>
      <c r="D112" s="79">
        <v>6000</v>
      </c>
      <c r="E112" s="71">
        <f t="shared" si="1"/>
        <v>4000</v>
      </c>
      <c r="G112" s="180">
        <v>46155</v>
      </c>
      <c r="H112" s="195">
        <v>2900</v>
      </c>
    </row>
    <row r="113" spans="1:8" ht="12.75" customHeight="1">
      <c r="A113" s="75">
        <v>46051</v>
      </c>
      <c r="B113" s="54" t="s">
        <v>43</v>
      </c>
      <c r="C113" s="70">
        <v>4300</v>
      </c>
      <c r="D113" s="79">
        <v>8000</v>
      </c>
      <c r="E113" s="71">
        <f t="shared" si="1"/>
        <v>3700</v>
      </c>
      <c r="G113" s="180">
        <v>46154</v>
      </c>
      <c r="H113" s="195">
        <v>13500</v>
      </c>
    </row>
    <row r="114" spans="1:8" ht="12.75" customHeight="1">
      <c r="A114" s="75">
        <v>46051</v>
      </c>
      <c r="B114" s="36" t="s">
        <v>22</v>
      </c>
      <c r="C114" s="70">
        <v>9000</v>
      </c>
      <c r="D114" s="79">
        <v>11000</v>
      </c>
      <c r="E114" s="71">
        <f t="shared" si="1"/>
        <v>2000</v>
      </c>
      <c r="G114" s="180">
        <v>46156</v>
      </c>
      <c r="H114" s="195">
        <v>21300</v>
      </c>
    </row>
    <row r="115" spans="1:8" ht="12.75" customHeight="1">
      <c r="A115" s="75">
        <v>46051</v>
      </c>
      <c r="B115" s="36" t="s">
        <v>25</v>
      </c>
      <c r="C115" s="70">
        <v>1200</v>
      </c>
      <c r="D115" s="79">
        <v>5000</v>
      </c>
      <c r="E115" s="71">
        <f t="shared" si="1"/>
        <v>3800</v>
      </c>
      <c r="G115" s="180">
        <v>46157</v>
      </c>
      <c r="H115" s="195">
        <v>8200</v>
      </c>
    </row>
    <row r="116" spans="1:8" ht="12.75" customHeight="1">
      <c r="A116" s="75">
        <v>46051</v>
      </c>
      <c r="B116" s="36" t="s">
        <v>13</v>
      </c>
      <c r="C116" s="37">
        <v>2000</v>
      </c>
      <c r="D116" s="79">
        <v>5000</v>
      </c>
      <c r="E116" s="71">
        <f t="shared" si="1"/>
        <v>3000</v>
      </c>
      <c r="G116" s="180">
        <v>46158</v>
      </c>
      <c r="H116" s="195">
        <v>12500</v>
      </c>
    </row>
    <row r="117" spans="1:8" ht="12.75" customHeight="1">
      <c r="A117" s="75">
        <v>46051</v>
      </c>
      <c r="B117" s="36" t="s">
        <v>17</v>
      </c>
      <c r="C117" s="70">
        <v>6100</v>
      </c>
      <c r="D117" s="79">
        <v>9000</v>
      </c>
      <c r="E117" s="71">
        <f t="shared" si="1"/>
        <v>2900</v>
      </c>
      <c r="G117" s="180">
        <v>46159</v>
      </c>
      <c r="H117" s="195">
        <v>18000</v>
      </c>
    </row>
    <row r="118" spans="1:8" ht="12.75" customHeight="1">
      <c r="A118" s="75">
        <v>46052</v>
      </c>
      <c r="B118" s="36" t="s">
        <v>22</v>
      </c>
      <c r="C118" s="70">
        <v>9000</v>
      </c>
      <c r="D118" s="79">
        <v>12000</v>
      </c>
      <c r="E118" s="71">
        <f t="shared" si="1"/>
        <v>3000</v>
      </c>
      <c r="G118" s="180">
        <v>46160</v>
      </c>
      <c r="H118" s="195">
        <v>8200</v>
      </c>
    </row>
    <row r="119" spans="1:8" ht="12.75" customHeight="1">
      <c r="A119" s="75">
        <v>46051</v>
      </c>
      <c r="B119" s="36" t="s">
        <v>13</v>
      </c>
      <c r="C119" s="37">
        <v>2000</v>
      </c>
      <c r="D119" s="79">
        <v>8000</v>
      </c>
      <c r="E119" s="71">
        <f t="shared" si="1"/>
        <v>6000</v>
      </c>
      <c r="G119" s="180">
        <v>46161</v>
      </c>
      <c r="H119" s="195">
        <v>17300</v>
      </c>
    </row>
    <row r="120" spans="1:8" ht="12.75" customHeight="1">
      <c r="A120" s="75">
        <v>46051</v>
      </c>
      <c r="B120" s="36" t="s">
        <v>25</v>
      </c>
      <c r="C120" s="70">
        <v>1200</v>
      </c>
      <c r="D120" s="79">
        <v>8000</v>
      </c>
      <c r="E120" s="71">
        <f t="shared" si="1"/>
        <v>6800</v>
      </c>
      <c r="G120" s="180">
        <v>46162</v>
      </c>
      <c r="H120" s="195">
        <v>11400</v>
      </c>
    </row>
    <row r="121" spans="1:8" ht="12.75" customHeight="1">
      <c r="A121" s="75">
        <v>46054</v>
      </c>
      <c r="B121" s="54" t="s">
        <v>25</v>
      </c>
      <c r="C121" s="79">
        <v>1900</v>
      </c>
      <c r="D121" s="79">
        <v>8000</v>
      </c>
      <c r="E121" s="71">
        <f t="shared" si="1"/>
        <v>6100</v>
      </c>
      <c r="G121" s="180">
        <v>46163</v>
      </c>
      <c r="H121" s="195">
        <v>400</v>
      </c>
    </row>
    <row r="122" spans="1:8" ht="12.75" customHeight="1">
      <c r="A122" s="75">
        <v>46053</v>
      </c>
      <c r="B122" s="54" t="s">
        <v>22</v>
      </c>
      <c r="C122" s="79">
        <v>9000</v>
      </c>
      <c r="D122" s="79">
        <v>12000</v>
      </c>
      <c r="E122" s="71">
        <f t="shared" si="1"/>
        <v>3000</v>
      </c>
      <c r="G122" s="180">
        <v>46164</v>
      </c>
      <c r="H122" s="195">
        <v>7200</v>
      </c>
    </row>
    <row r="123" spans="1:8" ht="12.75" customHeight="1">
      <c r="A123" s="75">
        <v>46054</v>
      </c>
      <c r="B123" s="54" t="s">
        <v>25</v>
      </c>
      <c r="C123" s="79">
        <v>1900</v>
      </c>
      <c r="D123" s="79">
        <v>8000</v>
      </c>
      <c r="E123" s="71">
        <f t="shared" si="1"/>
        <v>6100</v>
      </c>
      <c r="G123" s="180">
        <v>46165</v>
      </c>
      <c r="H123" s="195">
        <v>17700</v>
      </c>
    </row>
    <row r="124" spans="1:8" ht="12.75" customHeight="1">
      <c r="A124" s="75">
        <v>46054</v>
      </c>
      <c r="B124" s="36" t="s">
        <v>22</v>
      </c>
      <c r="C124" s="70">
        <v>9000</v>
      </c>
      <c r="D124" s="79">
        <v>12000</v>
      </c>
      <c r="E124" s="71">
        <f t="shared" si="1"/>
        <v>3000</v>
      </c>
      <c r="G124" s="180">
        <v>46167</v>
      </c>
      <c r="H124" s="195">
        <v>6500</v>
      </c>
    </row>
    <row r="125" spans="1:8" ht="12.75" customHeight="1">
      <c r="A125" s="75">
        <v>46054</v>
      </c>
      <c r="B125" s="54" t="s">
        <v>43</v>
      </c>
      <c r="C125" s="79">
        <v>6000</v>
      </c>
      <c r="D125" s="79">
        <v>10000</v>
      </c>
      <c r="E125" s="71">
        <f t="shared" si="1"/>
        <v>4000</v>
      </c>
      <c r="G125" s="180">
        <v>45803</v>
      </c>
      <c r="H125" s="195">
        <v>3600</v>
      </c>
    </row>
    <row r="126" spans="1:8" ht="12.75" customHeight="1">
      <c r="A126" s="75">
        <v>46054</v>
      </c>
      <c r="B126" s="54" t="s">
        <v>17</v>
      </c>
      <c r="C126" s="79">
        <v>6100</v>
      </c>
      <c r="D126" s="79">
        <v>6500</v>
      </c>
      <c r="E126" s="71">
        <f t="shared" si="1"/>
        <v>400</v>
      </c>
      <c r="G126" s="180">
        <v>46169</v>
      </c>
      <c r="H126" s="195">
        <v>4000</v>
      </c>
    </row>
    <row r="127" spans="1:8" ht="12.75" customHeight="1">
      <c r="A127" s="75">
        <v>46055</v>
      </c>
      <c r="B127" s="36" t="s">
        <v>22</v>
      </c>
      <c r="C127" s="70">
        <v>9000</v>
      </c>
      <c r="D127" s="79">
        <v>11000</v>
      </c>
      <c r="E127" s="71">
        <f t="shared" si="1"/>
        <v>2000</v>
      </c>
      <c r="G127" s="180">
        <v>46170</v>
      </c>
      <c r="H127" s="195">
        <v>7200</v>
      </c>
    </row>
    <row r="128" spans="1:8" ht="12.75" customHeight="1">
      <c r="A128" s="75">
        <v>46055</v>
      </c>
      <c r="B128" s="54" t="s">
        <v>43</v>
      </c>
      <c r="C128" s="70">
        <v>4300</v>
      </c>
      <c r="D128" s="79">
        <v>8000</v>
      </c>
      <c r="E128" s="71">
        <f t="shared" si="1"/>
        <v>3700</v>
      </c>
      <c r="G128" s="180">
        <v>46171</v>
      </c>
      <c r="H128" s="195">
        <v>8000</v>
      </c>
    </row>
    <row r="129" spans="1:11" ht="12.75" customHeight="1">
      <c r="A129" s="75">
        <v>46055</v>
      </c>
      <c r="B129" s="54" t="s">
        <v>25</v>
      </c>
      <c r="C129" s="79">
        <v>2000</v>
      </c>
      <c r="D129" s="79">
        <v>8000</v>
      </c>
      <c r="E129" s="71">
        <f t="shared" si="1"/>
        <v>6000</v>
      </c>
      <c r="G129" s="180">
        <v>46172</v>
      </c>
      <c r="H129" s="195">
        <v>52810</v>
      </c>
    </row>
    <row r="130" spans="1:11" ht="12.75" customHeight="1">
      <c r="A130" s="75">
        <v>46055</v>
      </c>
      <c r="B130" s="36" t="s">
        <v>22</v>
      </c>
      <c r="C130" s="70">
        <v>9000</v>
      </c>
      <c r="D130" s="79">
        <v>12000</v>
      </c>
      <c r="E130" s="71">
        <f t="shared" ref="E130:E193" si="2">+D130-C130</f>
        <v>3000</v>
      </c>
      <c r="G130" s="180">
        <v>46173</v>
      </c>
      <c r="H130" s="195">
        <v>8900</v>
      </c>
    </row>
    <row r="131" spans="1:11" ht="12.75" customHeight="1">
      <c r="A131" s="75">
        <v>46055</v>
      </c>
      <c r="B131" s="36" t="s">
        <v>22</v>
      </c>
      <c r="C131" s="70">
        <v>9000</v>
      </c>
      <c r="D131" s="79">
        <v>12000</v>
      </c>
      <c r="E131" s="71">
        <f t="shared" si="2"/>
        <v>3000</v>
      </c>
      <c r="G131" s="180">
        <v>46174</v>
      </c>
      <c r="H131" s="195">
        <v>24100</v>
      </c>
    </row>
    <row r="132" spans="1:11" ht="12.75" customHeight="1">
      <c r="A132" s="75">
        <v>46055</v>
      </c>
      <c r="B132" s="36" t="s">
        <v>22</v>
      </c>
      <c r="C132" s="70">
        <v>9000</v>
      </c>
      <c r="D132" s="79">
        <v>12000</v>
      </c>
      <c r="E132" s="71">
        <f t="shared" si="2"/>
        <v>3000</v>
      </c>
      <c r="G132" s="180">
        <v>46175</v>
      </c>
      <c r="H132" s="195">
        <v>3600</v>
      </c>
    </row>
    <row r="133" spans="1:11" ht="12.75" customHeight="1">
      <c r="A133" s="75">
        <v>46055</v>
      </c>
      <c r="B133" s="54" t="s">
        <v>25</v>
      </c>
      <c r="C133" s="79">
        <f>2000*6</f>
        <v>12000</v>
      </c>
      <c r="D133" s="79">
        <f>5000*6</f>
        <v>30000</v>
      </c>
      <c r="E133" s="71">
        <f t="shared" si="2"/>
        <v>18000</v>
      </c>
      <c r="G133" s="180">
        <v>46176</v>
      </c>
      <c r="H133" s="195">
        <v>15800</v>
      </c>
    </row>
    <row r="134" spans="1:11" ht="12.75" customHeight="1">
      <c r="A134" s="75">
        <v>46055</v>
      </c>
      <c r="B134" s="54" t="s">
        <v>43</v>
      </c>
      <c r="C134" s="79">
        <f>6000*6</f>
        <v>36000</v>
      </c>
      <c r="D134" s="79">
        <f>8000*6</f>
        <v>48000</v>
      </c>
      <c r="E134" s="71">
        <f t="shared" si="2"/>
        <v>12000</v>
      </c>
      <c r="G134" s="180">
        <v>46178</v>
      </c>
      <c r="H134" s="195">
        <v>28100</v>
      </c>
    </row>
    <row r="135" spans="1:11" ht="12.75" customHeight="1">
      <c r="A135" s="75">
        <v>46055</v>
      </c>
      <c r="B135" s="54" t="s">
        <v>13</v>
      </c>
      <c r="C135" s="79">
        <f>2000*6</f>
        <v>12000</v>
      </c>
      <c r="D135" s="79">
        <f>5000*6</f>
        <v>30000</v>
      </c>
      <c r="E135" s="71">
        <f t="shared" si="2"/>
        <v>18000</v>
      </c>
      <c r="G135" s="180">
        <v>46181</v>
      </c>
      <c r="H135" s="195">
        <v>3600</v>
      </c>
    </row>
    <row r="136" spans="1:11" ht="12.75" customHeight="1">
      <c r="A136" s="75">
        <v>46055</v>
      </c>
      <c r="B136" s="54" t="s">
        <v>17</v>
      </c>
      <c r="C136" s="79">
        <v>6100</v>
      </c>
      <c r="D136" s="79">
        <v>9000</v>
      </c>
      <c r="E136" s="71">
        <f t="shared" si="2"/>
        <v>2900</v>
      </c>
      <c r="G136" s="180">
        <v>46182</v>
      </c>
      <c r="H136" s="195">
        <v>35100</v>
      </c>
    </row>
    <row r="137" spans="1:11" ht="12.75" customHeight="1">
      <c r="A137" s="75">
        <v>46056</v>
      </c>
      <c r="B137" s="36" t="s">
        <v>22</v>
      </c>
      <c r="C137" s="70">
        <v>9000</v>
      </c>
      <c r="D137" s="79">
        <v>10000</v>
      </c>
      <c r="E137" s="71">
        <f t="shared" si="2"/>
        <v>1000</v>
      </c>
      <c r="G137" s="180">
        <v>46183</v>
      </c>
      <c r="H137" s="195">
        <v>17100</v>
      </c>
    </row>
    <row r="138" spans="1:11" ht="12.75" customHeight="1">
      <c r="A138" s="75">
        <v>46056</v>
      </c>
      <c r="B138" s="54" t="s">
        <v>43</v>
      </c>
      <c r="C138" s="79">
        <v>6000</v>
      </c>
      <c r="D138" s="79">
        <v>8000</v>
      </c>
      <c r="E138" s="71">
        <f t="shared" si="2"/>
        <v>2000</v>
      </c>
      <c r="G138" s="180">
        <v>46184</v>
      </c>
      <c r="H138" s="195">
        <v>13310</v>
      </c>
    </row>
    <row r="139" spans="1:11" ht="12.75" customHeight="1">
      <c r="A139" s="75">
        <v>46056</v>
      </c>
      <c r="B139" s="36" t="s">
        <v>22</v>
      </c>
      <c r="C139" s="70">
        <v>9000</v>
      </c>
      <c r="D139" s="79">
        <v>12000</v>
      </c>
      <c r="E139" s="71">
        <f t="shared" si="2"/>
        <v>3000</v>
      </c>
      <c r="G139" s="180">
        <v>46186</v>
      </c>
      <c r="H139" s="195">
        <v>28600</v>
      </c>
    </row>
    <row r="140" spans="1:11" ht="12.75" customHeight="1">
      <c r="A140" s="75">
        <v>46056</v>
      </c>
      <c r="B140" s="54" t="s">
        <v>43</v>
      </c>
      <c r="C140" s="70">
        <v>4300</v>
      </c>
      <c r="D140" s="79">
        <v>10000</v>
      </c>
      <c r="E140" s="71">
        <f t="shared" si="2"/>
        <v>5700</v>
      </c>
      <c r="G140" s="180">
        <v>46185</v>
      </c>
      <c r="H140" s="195">
        <v>8000</v>
      </c>
    </row>
    <row r="141" spans="1:11" ht="12.75" customHeight="1">
      <c r="A141" s="75">
        <v>46058</v>
      </c>
      <c r="B141" s="54" t="s">
        <v>65</v>
      </c>
      <c r="C141" s="79">
        <v>2000</v>
      </c>
      <c r="D141" s="79">
        <v>6000</v>
      </c>
      <c r="E141" s="71">
        <f t="shared" si="2"/>
        <v>4000</v>
      </c>
      <c r="G141" s="180">
        <v>46187</v>
      </c>
      <c r="H141" s="195">
        <v>6200</v>
      </c>
    </row>
    <row r="142" spans="1:11" ht="12.75" customHeight="1">
      <c r="A142" s="75">
        <v>46058</v>
      </c>
      <c r="B142" s="54" t="s">
        <v>19</v>
      </c>
      <c r="C142" s="79">
        <v>12990</v>
      </c>
      <c r="D142" s="79">
        <v>25000</v>
      </c>
      <c r="E142" s="71">
        <f t="shared" si="2"/>
        <v>12010</v>
      </c>
      <c r="G142" s="180">
        <v>46188</v>
      </c>
      <c r="H142" s="195">
        <v>11700</v>
      </c>
    </row>
    <row r="143" spans="1:11" ht="12.75" customHeight="1">
      <c r="A143" s="75">
        <v>46058</v>
      </c>
      <c r="B143" s="54" t="s">
        <v>43</v>
      </c>
      <c r="C143" s="79">
        <v>6000</v>
      </c>
      <c r="D143" s="79">
        <v>8000</v>
      </c>
      <c r="E143" s="71">
        <f t="shared" si="2"/>
        <v>2000</v>
      </c>
      <c r="G143" s="180">
        <v>46189</v>
      </c>
      <c r="H143" s="195">
        <v>61400</v>
      </c>
      <c r="I143" s="101"/>
      <c r="J143" s="101"/>
      <c r="K143" s="101"/>
    </row>
    <row r="144" spans="1:11" ht="12.75" customHeight="1">
      <c r="A144" s="75">
        <v>46058</v>
      </c>
      <c r="B144" s="54" t="s">
        <v>25</v>
      </c>
      <c r="C144" s="79">
        <v>1400</v>
      </c>
      <c r="D144" s="79">
        <v>5000</v>
      </c>
      <c r="E144" s="71">
        <f t="shared" si="2"/>
        <v>3600</v>
      </c>
      <c r="G144" s="180">
        <v>46190</v>
      </c>
      <c r="H144" s="195">
        <v>34200</v>
      </c>
      <c r="I144" s="101"/>
      <c r="J144" s="101"/>
      <c r="K144" s="101"/>
    </row>
    <row r="145" spans="1:11" ht="12.75" customHeight="1">
      <c r="A145" s="75">
        <v>46058</v>
      </c>
      <c r="B145" s="54" t="s">
        <v>25</v>
      </c>
      <c r="C145" s="79">
        <v>1400</v>
      </c>
      <c r="D145" s="79">
        <v>5000</v>
      </c>
      <c r="E145" s="71">
        <f t="shared" si="2"/>
        <v>3600</v>
      </c>
      <c r="G145" s="180">
        <v>46191</v>
      </c>
      <c r="H145" s="195">
        <v>7200</v>
      </c>
      <c r="I145" s="101"/>
      <c r="J145" s="101"/>
      <c r="K145" s="101"/>
    </row>
    <row r="146" spans="1:11" ht="12.75" customHeight="1">
      <c r="A146" s="75">
        <v>46058</v>
      </c>
      <c r="B146" s="54" t="s">
        <v>22</v>
      </c>
      <c r="C146" s="79">
        <v>9000</v>
      </c>
      <c r="D146" s="79">
        <v>11000</v>
      </c>
      <c r="E146" s="71">
        <f t="shared" si="2"/>
        <v>2000</v>
      </c>
      <c r="G146" s="180">
        <v>46192</v>
      </c>
      <c r="H146" s="195">
        <v>12200</v>
      </c>
      <c r="I146" s="101"/>
      <c r="J146" s="101"/>
      <c r="K146" s="101"/>
    </row>
    <row r="147" spans="1:11" ht="12.75" customHeight="1">
      <c r="A147" s="75">
        <v>46059</v>
      </c>
      <c r="B147" s="54" t="s">
        <v>25</v>
      </c>
      <c r="C147" s="79">
        <v>1400</v>
      </c>
      <c r="D147" s="79">
        <v>8000</v>
      </c>
      <c r="E147" s="71">
        <f t="shared" si="2"/>
        <v>6600</v>
      </c>
      <c r="G147" s="180">
        <v>46193</v>
      </c>
      <c r="H147" s="195">
        <v>31600</v>
      </c>
      <c r="I147" s="102"/>
      <c r="J147" s="103"/>
      <c r="K147" s="101"/>
    </row>
    <row r="148" spans="1:11" ht="12.75" customHeight="1">
      <c r="A148" s="75">
        <v>46060</v>
      </c>
      <c r="B148" s="54" t="s">
        <v>13</v>
      </c>
      <c r="C148" s="79">
        <v>2000</v>
      </c>
      <c r="D148" s="79">
        <v>5000</v>
      </c>
      <c r="E148" s="71">
        <f t="shared" si="2"/>
        <v>3000</v>
      </c>
      <c r="G148" s="180">
        <v>46194</v>
      </c>
      <c r="H148" s="195">
        <v>12200</v>
      </c>
      <c r="I148" s="101"/>
      <c r="J148" s="101"/>
      <c r="K148" s="101"/>
    </row>
    <row r="149" spans="1:11" ht="12.75" customHeight="1">
      <c r="A149" s="75">
        <v>46060</v>
      </c>
      <c r="B149" s="54" t="s">
        <v>22</v>
      </c>
      <c r="C149" s="79">
        <v>9000</v>
      </c>
      <c r="D149" s="79">
        <v>11000</v>
      </c>
      <c r="E149" s="71">
        <f t="shared" si="2"/>
        <v>2000</v>
      </c>
      <c r="G149" s="180">
        <v>46195</v>
      </c>
      <c r="H149" s="195">
        <v>6200</v>
      </c>
      <c r="I149" s="101"/>
      <c r="J149" s="101"/>
      <c r="K149" s="101"/>
    </row>
    <row r="150" spans="1:11" ht="12.75" customHeight="1">
      <c r="A150" s="75">
        <v>46060</v>
      </c>
      <c r="B150" s="54" t="s">
        <v>22</v>
      </c>
      <c r="C150" s="79">
        <v>9000</v>
      </c>
      <c r="D150" s="79">
        <v>12000</v>
      </c>
      <c r="E150" s="71">
        <f t="shared" si="2"/>
        <v>3000</v>
      </c>
      <c r="G150" s="180">
        <v>46196</v>
      </c>
      <c r="H150" s="195">
        <v>4700</v>
      </c>
      <c r="I150" s="101"/>
      <c r="J150" s="101"/>
      <c r="K150" s="101"/>
    </row>
    <row r="151" spans="1:11" ht="12.75" customHeight="1">
      <c r="A151" s="75">
        <v>46060</v>
      </c>
      <c r="B151" s="54" t="s">
        <v>22</v>
      </c>
      <c r="C151" s="79">
        <v>9000</v>
      </c>
      <c r="D151" s="79">
        <v>12000</v>
      </c>
      <c r="E151" s="71">
        <f t="shared" si="2"/>
        <v>3000</v>
      </c>
      <c r="G151" s="180">
        <v>46197</v>
      </c>
      <c r="H151" s="195">
        <v>11900</v>
      </c>
      <c r="I151" s="101"/>
      <c r="J151" s="101"/>
      <c r="K151" s="101"/>
    </row>
    <row r="152" spans="1:11" ht="12.75" customHeight="1">
      <c r="A152" s="75">
        <v>46060</v>
      </c>
      <c r="B152" s="54" t="s">
        <v>22</v>
      </c>
      <c r="C152" s="79">
        <v>9000</v>
      </c>
      <c r="D152" s="79">
        <v>12000</v>
      </c>
      <c r="E152" s="71">
        <f t="shared" si="2"/>
        <v>3000</v>
      </c>
      <c r="G152" s="180">
        <v>46201</v>
      </c>
      <c r="H152" s="195">
        <v>7200</v>
      </c>
    </row>
    <row r="153" spans="1:11" ht="12.75" customHeight="1">
      <c r="A153" s="69">
        <v>46061</v>
      </c>
      <c r="B153" s="54" t="s">
        <v>22</v>
      </c>
      <c r="C153" s="79">
        <v>9000</v>
      </c>
      <c r="D153" s="79">
        <v>12000</v>
      </c>
      <c r="E153" s="71">
        <f t="shared" si="2"/>
        <v>3000</v>
      </c>
      <c r="G153" s="180">
        <v>46202</v>
      </c>
      <c r="H153" s="195">
        <v>26410</v>
      </c>
    </row>
    <row r="154" spans="1:11" ht="12.75" customHeight="1">
      <c r="A154" s="69">
        <v>46062</v>
      </c>
      <c r="B154" s="54" t="s">
        <v>22</v>
      </c>
      <c r="C154" s="79">
        <v>9000</v>
      </c>
      <c r="D154" s="79">
        <v>11000</v>
      </c>
      <c r="E154" s="71">
        <f t="shared" si="2"/>
        <v>2000</v>
      </c>
      <c r="G154" s="180">
        <v>46203</v>
      </c>
      <c r="H154" s="195">
        <v>6900</v>
      </c>
    </row>
    <row r="155" spans="1:11" ht="12.75" customHeight="1">
      <c r="A155" s="69">
        <v>46062</v>
      </c>
      <c r="B155" s="149" t="s">
        <v>13</v>
      </c>
      <c r="C155" s="79">
        <v>2000</v>
      </c>
      <c r="D155" s="79">
        <v>5000</v>
      </c>
      <c r="E155" s="71">
        <f t="shared" si="2"/>
        <v>3000</v>
      </c>
      <c r="G155" s="180">
        <v>46204</v>
      </c>
      <c r="H155" s="195">
        <v>16600</v>
      </c>
    </row>
    <row r="156" spans="1:11" ht="12.75" customHeight="1">
      <c r="A156" s="69">
        <v>46062</v>
      </c>
      <c r="B156" s="149" t="s">
        <v>17</v>
      </c>
      <c r="C156" s="79">
        <v>6100</v>
      </c>
      <c r="D156" s="79">
        <v>9000</v>
      </c>
      <c r="E156" s="71">
        <f t="shared" si="2"/>
        <v>2900</v>
      </c>
      <c r="G156" s="180">
        <v>46206</v>
      </c>
      <c r="H156" s="195">
        <v>17400</v>
      </c>
    </row>
    <row r="157" spans="1:11" ht="12.75" customHeight="1">
      <c r="A157" s="69">
        <v>46062</v>
      </c>
      <c r="B157" s="149" t="s">
        <v>43</v>
      </c>
      <c r="C157" s="70">
        <v>4300</v>
      </c>
      <c r="D157" s="79">
        <v>10000</v>
      </c>
      <c r="E157" s="71">
        <f t="shared" si="2"/>
        <v>5700</v>
      </c>
      <c r="G157" s="180">
        <v>46209</v>
      </c>
      <c r="H157" s="195">
        <v>4000</v>
      </c>
    </row>
    <row r="158" spans="1:11" ht="12.75" customHeight="1">
      <c r="A158" s="69">
        <v>46062</v>
      </c>
      <c r="B158" s="54" t="s">
        <v>22</v>
      </c>
      <c r="C158" s="79">
        <v>9000</v>
      </c>
      <c r="D158" s="79">
        <v>12000</v>
      </c>
      <c r="E158" s="71">
        <f t="shared" si="2"/>
        <v>3000</v>
      </c>
      <c r="G158" s="180">
        <v>46211</v>
      </c>
      <c r="H158" s="195">
        <v>6000</v>
      </c>
    </row>
    <row r="159" spans="1:11" ht="12.75" customHeight="1">
      <c r="A159" s="69">
        <v>46062</v>
      </c>
      <c r="B159" s="149" t="s">
        <v>1361</v>
      </c>
      <c r="C159" s="79">
        <v>2000</v>
      </c>
      <c r="D159" s="79">
        <v>8000</v>
      </c>
      <c r="E159" s="71">
        <f t="shared" si="2"/>
        <v>6000</v>
      </c>
      <c r="G159" s="180">
        <v>46212</v>
      </c>
      <c r="H159" s="195">
        <v>33700</v>
      </c>
    </row>
    <row r="160" spans="1:11" ht="12.75" customHeight="1">
      <c r="A160" s="69">
        <v>46062</v>
      </c>
      <c r="B160" s="54" t="s">
        <v>22</v>
      </c>
      <c r="C160" s="79">
        <v>9000</v>
      </c>
      <c r="D160" s="79">
        <v>12000</v>
      </c>
      <c r="E160" s="71">
        <f t="shared" si="2"/>
        <v>3000</v>
      </c>
      <c r="G160" s="180">
        <v>46213</v>
      </c>
      <c r="H160" s="195">
        <v>6000</v>
      </c>
    </row>
    <row r="161" spans="1:8" ht="12.75" customHeight="1">
      <c r="A161" s="69">
        <v>46063</v>
      </c>
      <c r="B161" s="54" t="s">
        <v>22</v>
      </c>
      <c r="C161" s="79">
        <v>9000</v>
      </c>
      <c r="D161" s="79">
        <v>12000</v>
      </c>
      <c r="E161" s="71">
        <f t="shared" si="2"/>
        <v>3000</v>
      </c>
      <c r="G161" s="180">
        <v>46217</v>
      </c>
      <c r="H161" s="195">
        <v>3000</v>
      </c>
    </row>
    <row r="162" spans="1:8" ht="12.75" customHeight="1">
      <c r="A162" s="69">
        <v>46063</v>
      </c>
      <c r="B162" s="54" t="s">
        <v>1363</v>
      </c>
      <c r="C162" s="79">
        <v>28000</v>
      </c>
      <c r="D162" s="79">
        <v>35000</v>
      </c>
      <c r="E162" s="71">
        <f t="shared" si="2"/>
        <v>7000</v>
      </c>
      <c r="G162" s="180">
        <v>46218</v>
      </c>
      <c r="H162" s="195">
        <v>18100</v>
      </c>
    </row>
    <row r="163" spans="1:8" ht="12.75" customHeight="1">
      <c r="A163" s="69">
        <v>46063</v>
      </c>
      <c r="B163" s="54" t="s">
        <v>22</v>
      </c>
      <c r="C163" s="79">
        <v>9000</v>
      </c>
      <c r="D163" s="79">
        <v>12000</v>
      </c>
      <c r="E163" s="71">
        <f t="shared" si="2"/>
        <v>3000</v>
      </c>
      <c r="G163" s="180">
        <v>46219</v>
      </c>
      <c r="H163" s="195">
        <v>10900</v>
      </c>
    </row>
    <row r="164" spans="1:8" ht="12.75" customHeight="1">
      <c r="A164" s="69">
        <v>46063</v>
      </c>
      <c r="B164" s="54" t="s">
        <v>460</v>
      </c>
      <c r="C164" s="79">
        <v>3500</v>
      </c>
      <c r="D164" s="79">
        <v>8000</v>
      </c>
      <c r="E164" s="71">
        <f t="shared" si="2"/>
        <v>4500</v>
      </c>
      <c r="G164" s="180">
        <v>46220</v>
      </c>
      <c r="H164" s="195">
        <v>6100</v>
      </c>
    </row>
    <row r="165" spans="1:8" ht="12.75" customHeight="1">
      <c r="A165" s="69">
        <v>46063</v>
      </c>
      <c r="B165" s="54" t="s">
        <v>43</v>
      </c>
      <c r="C165" s="79">
        <v>4300</v>
      </c>
      <c r="D165" s="79">
        <v>10000</v>
      </c>
      <c r="E165" s="71">
        <f t="shared" si="2"/>
        <v>5700</v>
      </c>
      <c r="G165" s="180">
        <v>46221</v>
      </c>
      <c r="H165" s="195">
        <v>4000</v>
      </c>
    </row>
    <row r="166" spans="1:8" ht="12.75" customHeight="1">
      <c r="A166" s="69">
        <v>46064</v>
      </c>
      <c r="B166" s="54" t="s">
        <v>17</v>
      </c>
      <c r="C166" s="79">
        <v>6100</v>
      </c>
      <c r="D166" s="79">
        <v>9000</v>
      </c>
      <c r="E166" s="71">
        <f t="shared" si="2"/>
        <v>2900</v>
      </c>
      <c r="G166" s="180">
        <v>46222</v>
      </c>
      <c r="H166" s="195">
        <v>14600</v>
      </c>
    </row>
    <row r="167" spans="1:8" ht="12.75" customHeight="1">
      <c r="A167" s="69">
        <v>46065</v>
      </c>
      <c r="B167" s="54" t="s">
        <v>25</v>
      </c>
      <c r="C167" s="79">
        <v>1400</v>
      </c>
      <c r="D167" s="79">
        <v>5000</v>
      </c>
      <c r="E167" s="71">
        <f t="shared" si="2"/>
        <v>3600</v>
      </c>
      <c r="G167" s="180">
        <v>46224</v>
      </c>
      <c r="H167" s="195">
        <v>28000</v>
      </c>
    </row>
    <row r="168" spans="1:8" ht="12.75" customHeight="1">
      <c r="A168" s="69">
        <v>46065</v>
      </c>
      <c r="B168" t="s">
        <v>571</v>
      </c>
      <c r="C168" s="79">
        <v>2990</v>
      </c>
      <c r="D168" s="79">
        <v>8000</v>
      </c>
      <c r="E168" s="71">
        <f t="shared" si="2"/>
        <v>5010</v>
      </c>
      <c r="G168" s="180">
        <v>46225</v>
      </c>
      <c r="H168" s="195">
        <v>14500</v>
      </c>
    </row>
    <row r="169" spans="1:8" ht="12.75" customHeight="1">
      <c r="A169" s="69">
        <v>46066</v>
      </c>
      <c r="B169" s="54" t="s">
        <v>43</v>
      </c>
      <c r="C169" s="79">
        <v>6000</v>
      </c>
      <c r="D169" s="79">
        <v>8000</v>
      </c>
      <c r="E169" s="71">
        <f t="shared" si="2"/>
        <v>2000</v>
      </c>
      <c r="G169" s="180">
        <v>46226</v>
      </c>
      <c r="H169" s="195">
        <v>4000</v>
      </c>
    </row>
    <row r="170" spans="1:8" ht="12.75" customHeight="1">
      <c r="A170" s="69">
        <v>46066</v>
      </c>
      <c r="B170" s="54" t="s">
        <v>25</v>
      </c>
      <c r="C170" s="79">
        <v>1400</v>
      </c>
      <c r="D170" s="79">
        <v>5000</v>
      </c>
      <c r="E170" s="71">
        <f t="shared" si="2"/>
        <v>3600</v>
      </c>
      <c r="G170" s="180">
        <v>46227</v>
      </c>
      <c r="H170" s="195">
        <v>8500</v>
      </c>
    </row>
    <row r="171" spans="1:8" ht="12.75" customHeight="1">
      <c r="A171" s="69">
        <v>46064</v>
      </c>
      <c r="B171" s="54" t="s">
        <v>22</v>
      </c>
      <c r="C171" s="79">
        <v>9000</v>
      </c>
      <c r="D171" s="79">
        <v>12000</v>
      </c>
      <c r="E171" s="71">
        <f t="shared" si="2"/>
        <v>3000</v>
      </c>
      <c r="G171" s="180">
        <v>46228</v>
      </c>
      <c r="H171" s="195">
        <v>4000</v>
      </c>
    </row>
    <row r="172" spans="1:8" ht="12.75" customHeight="1">
      <c r="A172" s="69">
        <v>46064</v>
      </c>
      <c r="B172" t="s">
        <v>19</v>
      </c>
      <c r="C172" s="79">
        <v>8000</v>
      </c>
      <c r="D172" s="79">
        <v>20000</v>
      </c>
      <c r="E172" s="71">
        <f t="shared" si="2"/>
        <v>12000</v>
      </c>
      <c r="G172" s="180">
        <v>46229</v>
      </c>
      <c r="H172" s="195">
        <v>12000</v>
      </c>
    </row>
    <row r="173" spans="1:8" ht="12.75" customHeight="1">
      <c r="A173" s="69">
        <v>46064</v>
      </c>
      <c r="B173" s="54" t="s">
        <v>22</v>
      </c>
      <c r="C173" s="79">
        <v>18000</v>
      </c>
      <c r="D173" s="79">
        <v>22000</v>
      </c>
      <c r="E173" s="71">
        <f t="shared" si="2"/>
        <v>4000</v>
      </c>
      <c r="G173" s="180">
        <v>46230</v>
      </c>
      <c r="H173" s="195">
        <v>20500</v>
      </c>
    </row>
    <row r="174" spans="1:8" ht="12.75" customHeight="1">
      <c r="A174" s="69">
        <v>46066</v>
      </c>
      <c r="B174" s="54" t="s">
        <v>22</v>
      </c>
      <c r="C174" s="79">
        <v>9000</v>
      </c>
      <c r="D174" s="79">
        <v>12000</v>
      </c>
      <c r="E174" s="71">
        <f t="shared" si="2"/>
        <v>3000</v>
      </c>
      <c r="G174" s="180">
        <v>46231</v>
      </c>
      <c r="H174" s="195">
        <v>23000</v>
      </c>
    </row>
    <row r="175" spans="1:8" ht="12.75" customHeight="1">
      <c r="A175" s="69">
        <v>46066</v>
      </c>
      <c r="B175" s="54" t="s">
        <v>22</v>
      </c>
      <c r="C175" s="79">
        <v>9000</v>
      </c>
      <c r="D175" s="79">
        <v>12000</v>
      </c>
      <c r="E175" s="71">
        <f t="shared" si="2"/>
        <v>3000</v>
      </c>
      <c r="G175" s="181" t="s">
        <v>1362</v>
      </c>
      <c r="H175" s="196">
        <v>2744719</v>
      </c>
    </row>
    <row r="176" spans="1:8" ht="12.75" customHeight="1">
      <c r="A176" s="69">
        <v>46066</v>
      </c>
      <c r="B176" s="54" t="s">
        <v>25</v>
      </c>
      <c r="C176" s="79">
        <v>1400</v>
      </c>
      <c r="D176" s="79">
        <v>8000</v>
      </c>
      <c r="E176" s="71">
        <f t="shared" si="2"/>
        <v>6600</v>
      </c>
    </row>
    <row r="177" spans="1:5" ht="12.75" customHeight="1">
      <c r="A177" s="69">
        <v>46066</v>
      </c>
      <c r="B177" s="54" t="s">
        <v>22</v>
      </c>
      <c r="C177" s="79">
        <v>9000</v>
      </c>
      <c r="D177" s="79">
        <v>11000</v>
      </c>
      <c r="E177" s="71">
        <f t="shared" si="2"/>
        <v>2000</v>
      </c>
    </row>
    <row r="178" spans="1:5" ht="12.75" customHeight="1">
      <c r="A178" s="69">
        <v>46066</v>
      </c>
      <c r="B178" s="54" t="s">
        <v>25</v>
      </c>
      <c r="C178" s="79">
        <v>1400</v>
      </c>
      <c r="D178" s="79">
        <v>5000</v>
      </c>
      <c r="E178" s="71">
        <f t="shared" si="2"/>
        <v>3600</v>
      </c>
    </row>
    <row r="179" spans="1:5" ht="12.75" customHeight="1">
      <c r="A179" s="69">
        <v>46066</v>
      </c>
      <c r="B179" s="54" t="s">
        <v>43</v>
      </c>
      <c r="C179" s="79">
        <v>4300</v>
      </c>
      <c r="D179" s="79">
        <v>8000</v>
      </c>
      <c r="E179" s="71">
        <f t="shared" si="2"/>
        <v>3700</v>
      </c>
    </row>
    <row r="180" spans="1:5" ht="12.75" customHeight="1">
      <c r="A180" s="69">
        <v>46066</v>
      </c>
      <c r="B180" s="54" t="s">
        <v>13</v>
      </c>
      <c r="C180" s="79">
        <v>2000</v>
      </c>
      <c r="D180" s="79">
        <v>5000</v>
      </c>
      <c r="E180" s="71">
        <f t="shared" si="2"/>
        <v>3000</v>
      </c>
    </row>
    <row r="181" spans="1:5" ht="12.75" customHeight="1">
      <c r="A181" s="69">
        <v>46066</v>
      </c>
      <c r="B181" s="54" t="s">
        <v>25</v>
      </c>
      <c r="C181" s="79">
        <v>7000</v>
      </c>
      <c r="D181" s="79">
        <v>12000</v>
      </c>
      <c r="E181" s="71">
        <f t="shared" si="2"/>
        <v>5000</v>
      </c>
    </row>
    <row r="182" spans="1:5" ht="12.75" customHeight="1">
      <c r="A182" s="69">
        <v>46067</v>
      </c>
      <c r="B182" s="54" t="s">
        <v>43</v>
      </c>
      <c r="C182" s="79">
        <v>4300</v>
      </c>
      <c r="D182" s="79">
        <v>8000</v>
      </c>
      <c r="E182" s="71">
        <f t="shared" si="2"/>
        <v>3700</v>
      </c>
    </row>
    <row r="183" spans="1:5" ht="12.75" customHeight="1">
      <c r="A183" s="69">
        <v>46067</v>
      </c>
      <c r="B183" s="54" t="s">
        <v>22</v>
      </c>
      <c r="C183" s="79">
        <v>9000</v>
      </c>
      <c r="D183" s="79">
        <v>11000</v>
      </c>
      <c r="E183" s="71">
        <f t="shared" si="2"/>
        <v>2000</v>
      </c>
    </row>
    <row r="184" spans="1:5" ht="12.75" customHeight="1">
      <c r="A184" s="69">
        <v>46067</v>
      </c>
      <c r="B184" s="54" t="s">
        <v>22</v>
      </c>
      <c r="C184" s="79">
        <v>9000</v>
      </c>
      <c r="D184" s="79">
        <v>12000</v>
      </c>
      <c r="E184" s="71">
        <f t="shared" si="2"/>
        <v>3000</v>
      </c>
    </row>
    <row r="185" spans="1:5" ht="12.75" customHeight="1">
      <c r="A185" s="69">
        <v>46067</v>
      </c>
      <c r="B185" s="54" t="s">
        <v>13</v>
      </c>
      <c r="C185" s="79">
        <v>2000</v>
      </c>
      <c r="D185" s="79">
        <v>8000</v>
      </c>
      <c r="E185" s="71">
        <f t="shared" si="2"/>
        <v>6000</v>
      </c>
    </row>
    <row r="186" spans="1:5" ht="12.75" customHeight="1">
      <c r="A186" s="69">
        <v>46067</v>
      </c>
      <c r="B186" s="54" t="s">
        <v>17</v>
      </c>
      <c r="C186" s="79">
        <v>6100</v>
      </c>
      <c r="D186" s="79">
        <v>9000</v>
      </c>
      <c r="E186" s="71">
        <f t="shared" si="2"/>
        <v>2900</v>
      </c>
    </row>
    <row r="187" spans="1:5" ht="12.75" customHeight="1">
      <c r="A187" s="69">
        <v>46067</v>
      </c>
      <c r="B187" s="54" t="s">
        <v>17</v>
      </c>
      <c r="C187" s="79">
        <v>6100</v>
      </c>
      <c r="D187" s="79">
        <v>9000</v>
      </c>
      <c r="E187" s="71">
        <f t="shared" si="2"/>
        <v>2900</v>
      </c>
    </row>
    <row r="188" spans="1:5" ht="12.75" customHeight="1">
      <c r="A188" s="69">
        <v>46067</v>
      </c>
      <c r="B188" s="54" t="s">
        <v>25</v>
      </c>
      <c r="C188" s="79">
        <v>1400</v>
      </c>
      <c r="D188" s="79">
        <v>8000</v>
      </c>
      <c r="E188" s="71">
        <f t="shared" si="2"/>
        <v>6600</v>
      </c>
    </row>
    <row r="189" spans="1:5" ht="12.75" customHeight="1">
      <c r="A189" s="69">
        <v>46069</v>
      </c>
      <c r="B189" s="54" t="s">
        <v>65</v>
      </c>
      <c r="C189" s="79">
        <v>2000</v>
      </c>
      <c r="D189" s="79">
        <v>6000</v>
      </c>
      <c r="E189" s="71">
        <f t="shared" ref="E189" si="3">+D189-C189</f>
        <v>4000</v>
      </c>
    </row>
    <row r="190" spans="1:5" ht="12.75" customHeight="1">
      <c r="A190" s="69">
        <v>46069</v>
      </c>
      <c r="B190" s="54" t="s">
        <v>43</v>
      </c>
      <c r="C190" s="79">
        <v>4300</v>
      </c>
      <c r="D190" s="79">
        <v>10000</v>
      </c>
      <c r="E190" s="71">
        <f t="shared" si="2"/>
        <v>5700</v>
      </c>
    </row>
    <row r="191" spans="1:5" ht="12.75" customHeight="1">
      <c r="A191" s="69">
        <v>46069</v>
      </c>
      <c r="B191" s="54" t="s">
        <v>22</v>
      </c>
      <c r="C191" s="79">
        <v>9000</v>
      </c>
      <c r="D191" s="79">
        <v>12000</v>
      </c>
      <c r="E191" s="71">
        <f t="shared" si="2"/>
        <v>3000</v>
      </c>
    </row>
    <row r="192" spans="1:5" ht="12.75" customHeight="1">
      <c r="A192" s="69">
        <v>46070</v>
      </c>
      <c r="B192" s="54" t="s">
        <v>22</v>
      </c>
      <c r="C192" s="79">
        <v>9000</v>
      </c>
      <c r="D192" s="79">
        <v>12000</v>
      </c>
      <c r="E192" s="71">
        <f t="shared" si="2"/>
        <v>3000</v>
      </c>
    </row>
    <row r="193" spans="1:5" ht="12.75" customHeight="1">
      <c r="A193" s="69">
        <v>46070</v>
      </c>
      <c r="B193" s="54" t="s">
        <v>22</v>
      </c>
      <c r="C193" s="79">
        <v>9000</v>
      </c>
      <c r="D193" s="79">
        <v>12000</v>
      </c>
      <c r="E193" s="71">
        <f t="shared" si="2"/>
        <v>3000</v>
      </c>
    </row>
    <row r="194" spans="1:5" ht="12.75" customHeight="1">
      <c r="A194" s="69">
        <v>46070</v>
      </c>
      <c r="B194" s="54" t="s">
        <v>43</v>
      </c>
      <c r="C194" s="79">
        <v>25990</v>
      </c>
      <c r="D194" s="79">
        <v>30000</v>
      </c>
      <c r="E194" s="71">
        <f t="shared" ref="E194:E257" si="4">+D194-C194</f>
        <v>4010</v>
      </c>
    </row>
    <row r="195" spans="1:5" ht="12.75" customHeight="1">
      <c r="A195" s="69">
        <v>46070</v>
      </c>
      <c r="B195" s="54" t="s">
        <v>43</v>
      </c>
      <c r="C195" s="79">
        <v>6000</v>
      </c>
      <c r="D195" s="79">
        <v>10000</v>
      </c>
      <c r="E195" s="71">
        <f t="shared" si="4"/>
        <v>4000</v>
      </c>
    </row>
    <row r="196" spans="1:5" ht="12.75" customHeight="1">
      <c r="A196" s="69">
        <v>46071</v>
      </c>
      <c r="B196" s="54" t="s">
        <v>19</v>
      </c>
      <c r="C196" s="79">
        <v>8000</v>
      </c>
      <c r="D196" s="79">
        <v>20000</v>
      </c>
      <c r="E196" s="71">
        <f t="shared" si="4"/>
        <v>12000</v>
      </c>
    </row>
    <row r="197" spans="1:5" ht="12.75" customHeight="1">
      <c r="A197" s="69">
        <v>46073</v>
      </c>
      <c r="B197" s="54" t="s">
        <v>22</v>
      </c>
      <c r="C197" s="79">
        <v>9000</v>
      </c>
      <c r="D197" s="79">
        <v>12000</v>
      </c>
      <c r="E197" s="71">
        <f t="shared" si="4"/>
        <v>3000</v>
      </c>
    </row>
    <row r="198" spans="1:5" ht="12.75" customHeight="1">
      <c r="A198" s="69">
        <v>46073</v>
      </c>
      <c r="B198" s="54" t="s">
        <v>22</v>
      </c>
      <c r="C198" s="79">
        <v>9000</v>
      </c>
      <c r="D198" s="79">
        <v>11000</v>
      </c>
      <c r="E198" s="71">
        <f t="shared" si="4"/>
        <v>2000</v>
      </c>
    </row>
    <row r="199" spans="1:5" ht="12.75" customHeight="1">
      <c r="A199" s="69">
        <v>46073</v>
      </c>
      <c r="B199" s="54" t="s">
        <v>25</v>
      </c>
      <c r="C199" s="79">
        <v>1400</v>
      </c>
      <c r="D199" s="79">
        <v>5000</v>
      </c>
      <c r="E199" s="71">
        <f t="shared" si="4"/>
        <v>3600</v>
      </c>
    </row>
    <row r="200" spans="1:5" ht="12.75" customHeight="1">
      <c r="A200" s="69">
        <v>46074</v>
      </c>
      <c r="B200" s="54" t="s">
        <v>17</v>
      </c>
      <c r="C200" s="79">
        <v>6100</v>
      </c>
      <c r="D200" s="79">
        <v>6500</v>
      </c>
      <c r="E200" s="71">
        <f t="shared" si="4"/>
        <v>400</v>
      </c>
    </row>
    <row r="201" spans="1:5" ht="12.75" customHeight="1">
      <c r="A201" s="69">
        <v>46074</v>
      </c>
      <c r="B201" s="54" t="s">
        <v>17</v>
      </c>
      <c r="C201" s="79">
        <v>6100</v>
      </c>
      <c r="D201" s="79">
        <v>6500</v>
      </c>
      <c r="E201" s="71">
        <f t="shared" si="4"/>
        <v>400</v>
      </c>
    </row>
    <row r="202" spans="1:5" ht="12.75" customHeight="1">
      <c r="A202" s="69">
        <v>46074</v>
      </c>
      <c r="B202" s="54" t="s">
        <v>19</v>
      </c>
      <c r="C202" s="79">
        <v>8000</v>
      </c>
      <c r="D202" s="79">
        <v>20000</v>
      </c>
      <c r="E202" s="71">
        <f t="shared" si="4"/>
        <v>12000</v>
      </c>
    </row>
    <row r="203" spans="1:5" ht="12.75" customHeight="1">
      <c r="A203" s="69">
        <v>46074</v>
      </c>
      <c r="B203" s="54" t="s">
        <v>22</v>
      </c>
      <c r="C203" s="79">
        <v>9000</v>
      </c>
      <c r="D203" s="79">
        <v>12000</v>
      </c>
      <c r="E203" s="71">
        <f t="shared" si="4"/>
        <v>3000</v>
      </c>
    </row>
    <row r="204" spans="1:5" ht="12.75" customHeight="1">
      <c r="A204" s="69">
        <v>46074</v>
      </c>
      <c r="B204" s="54" t="s">
        <v>43</v>
      </c>
      <c r="C204" s="79">
        <v>3500</v>
      </c>
      <c r="D204" s="79">
        <v>8000</v>
      </c>
      <c r="E204" s="71">
        <f t="shared" si="4"/>
        <v>4500</v>
      </c>
    </row>
    <row r="205" spans="1:5" ht="12.75" customHeight="1">
      <c r="A205" s="69">
        <v>46074</v>
      </c>
      <c r="B205" s="54" t="s">
        <v>22</v>
      </c>
      <c r="C205" s="79">
        <v>9000</v>
      </c>
      <c r="D205" s="79">
        <v>12000</v>
      </c>
      <c r="E205" s="71">
        <f t="shared" si="4"/>
        <v>3000</v>
      </c>
    </row>
    <row r="206" spans="1:5" ht="12.75" customHeight="1">
      <c r="A206" s="69">
        <v>46074</v>
      </c>
      <c r="B206" s="54" t="s">
        <v>43</v>
      </c>
      <c r="C206" s="79">
        <v>4300</v>
      </c>
      <c r="D206" s="79">
        <v>10000</v>
      </c>
      <c r="E206" s="71">
        <f t="shared" si="4"/>
        <v>5700</v>
      </c>
    </row>
    <row r="207" spans="1:5" ht="12.75" customHeight="1">
      <c r="A207" s="69">
        <v>46074</v>
      </c>
      <c r="B207" s="54" t="s">
        <v>22</v>
      </c>
      <c r="C207" s="79">
        <v>9000</v>
      </c>
      <c r="D207" s="79">
        <v>12000</v>
      </c>
      <c r="E207" s="71">
        <f t="shared" si="4"/>
        <v>3000</v>
      </c>
    </row>
    <row r="208" spans="1:5" ht="12.75" customHeight="1">
      <c r="A208" s="69">
        <v>46074</v>
      </c>
      <c r="B208" s="54" t="s">
        <v>43</v>
      </c>
      <c r="C208" s="79">
        <v>4600</v>
      </c>
      <c r="D208" s="79">
        <v>10000</v>
      </c>
      <c r="E208" s="71">
        <f t="shared" si="4"/>
        <v>5400</v>
      </c>
    </row>
    <row r="209" spans="1:5" ht="12.75" customHeight="1">
      <c r="A209" s="69">
        <v>46074</v>
      </c>
      <c r="B209" s="54" t="s">
        <v>17</v>
      </c>
      <c r="C209" s="79">
        <v>6100</v>
      </c>
      <c r="D209" s="79">
        <v>9000</v>
      </c>
      <c r="E209" s="71">
        <f t="shared" si="4"/>
        <v>2900</v>
      </c>
    </row>
    <row r="210" spans="1:5" ht="12.75" customHeight="1">
      <c r="A210" s="69">
        <v>46074</v>
      </c>
      <c r="B210" s="54" t="s">
        <v>22</v>
      </c>
      <c r="C210" s="79">
        <v>9000</v>
      </c>
      <c r="D210" s="79">
        <v>12000</v>
      </c>
      <c r="E210" s="71">
        <f t="shared" si="4"/>
        <v>3000</v>
      </c>
    </row>
    <row r="211" spans="1:5" ht="12.75" customHeight="1">
      <c r="A211" s="69">
        <v>46075</v>
      </c>
      <c r="B211" s="54" t="s">
        <v>25</v>
      </c>
      <c r="C211" s="79">
        <v>1600</v>
      </c>
      <c r="D211" s="79">
        <v>8000</v>
      </c>
      <c r="E211" s="71">
        <f t="shared" si="4"/>
        <v>6400</v>
      </c>
    </row>
    <row r="212" spans="1:5" ht="12.75" customHeight="1">
      <c r="A212" s="69">
        <v>46075</v>
      </c>
      <c r="B212" s="54" t="s">
        <v>1364</v>
      </c>
      <c r="C212" s="79">
        <v>15500</v>
      </c>
      <c r="D212" s="79">
        <v>25000</v>
      </c>
      <c r="E212" s="71">
        <f t="shared" si="4"/>
        <v>9500</v>
      </c>
    </row>
    <row r="213" spans="1:5" ht="12.75" customHeight="1">
      <c r="A213" s="69">
        <v>46077</v>
      </c>
      <c r="B213" s="54" t="s">
        <v>17</v>
      </c>
      <c r="C213" s="79">
        <v>6100</v>
      </c>
      <c r="D213" s="79">
        <v>9000</v>
      </c>
      <c r="E213" s="71">
        <f>+D213-C213</f>
        <v>2900</v>
      </c>
    </row>
    <row r="214" spans="1:5" ht="12.75" customHeight="1">
      <c r="A214" s="69">
        <v>46079</v>
      </c>
      <c r="B214" s="54" t="s">
        <v>22</v>
      </c>
      <c r="C214" s="79">
        <v>9000</v>
      </c>
      <c r="D214" s="79">
        <v>12000</v>
      </c>
      <c r="E214" s="71">
        <f>+D214-C214</f>
        <v>3000</v>
      </c>
    </row>
    <row r="215" spans="1:5" ht="12.75" customHeight="1">
      <c r="A215" s="69">
        <v>46080</v>
      </c>
      <c r="B215" s="54" t="s">
        <v>22</v>
      </c>
      <c r="C215" s="79">
        <v>9000</v>
      </c>
      <c r="D215" s="79">
        <v>12000</v>
      </c>
      <c r="E215" s="71">
        <f>+D215-C215</f>
        <v>3000</v>
      </c>
    </row>
    <row r="216" spans="1:5" ht="12.75" customHeight="1">
      <c r="A216" s="69">
        <v>46081</v>
      </c>
      <c r="B216" s="54" t="s">
        <v>17</v>
      </c>
      <c r="C216" s="79">
        <v>6100</v>
      </c>
      <c r="D216" s="79">
        <v>6500</v>
      </c>
      <c r="E216" s="71">
        <f>+D216-C216</f>
        <v>400</v>
      </c>
    </row>
    <row r="217" spans="1:5" ht="12.75" customHeight="1">
      <c r="A217" s="69">
        <v>46081</v>
      </c>
      <c r="B217" s="54" t="s">
        <v>25</v>
      </c>
      <c r="C217" s="79">
        <v>1600</v>
      </c>
      <c r="D217" s="79">
        <v>8000</v>
      </c>
      <c r="E217" s="71">
        <f>+D217-C217</f>
        <v>6400</v>
      </c>
    </row>
    <row r="218" spans="1:5" ht="12.75" customHeight="1">
      <c r="A218" s="69">
        <v>46081</v>
      </c>
      <c r="B218" s="54" t="s">
        <v>22</v>
      </c>
      <c r="C218" s="79">
        <v>9000</v>
      </c>
      <c r="D218" s="79">
        <v>12000</v>
      </c>
      <c r="E218" s="71">
        <f t="shared" si="4"/>
        <v>3000</v>
      </c>
    </row>
    <row r="219" spans="1:5" ht="12.75" customHeight="1">
      <c r="A219" s="69">
        <v>46081</v>
      </c>
      <c r="B219" s="54" t="s">
        <v>13</v>
      </c>
      <c r="C219" s="79">
        <v>2000</v>
      </c>
      <c r="D219" s="79">
        <v>5000</v>
      </c>
      <c r="E219" s="71">
        <f t="shared" si="4"/>
        <v>3000</v>
      </c>
    </row>
    <row r="220" spans="1:5" ht="12.75" customHeight="1">
      <c r="A220" s="69">
        <v>46081</v>
      </c>
      <c r="B220" s="54" t="s">
        <v>43</v>
      </c>
      <c r="C220" s="79">
        <v>4600</v>
      </c>
      <c r="D220" s="79">
        <v>8000</v>
      </c>
      <c r="E220" s="71">
        <f t="shared" si="4"/>
        <v>3400</v>
      </c>
    </row>
    <row r="221" spans="1:5" ht="12.75" customHeight="1">
      <c r="A221" s="69">
        <v>46082</v>
      </c>
      <c r="B221" s="54" t="s">
        <v>25</v>
      </c>
      <c r="C221" s="79">
        <v>1600</v>
      </c>
      <c r="D221" s="79">
        <v>8000</v>
      </c>
      <c r="E221" s="71">
        <f t="shared" si="4"/>
        <v>6400</v>
      </c>
    </row>
    <row r="222" spans="1:5" ht="12.75" customHeight="1">
      <c r="A222" s="69">
        <v>46082</v>
      </c>
      <c r="B222" s="54" t="s">
        <v>22</v>
      </c>
      <c r="C222" s="79">
        <v>9000</v>
      </c>
      <c r="D222" s="79">
        <v>12000</v>
      </c>
      <c r="E222" s="71">
        <f t="shared" si="4"/>
        <v>3000</v>
      </c>
    </row>
    <row r="223" spans="1:5" ht="12.75" customHeight="1">
      <c r="A223" s="69">
        <v>46081</v>
      </c>
      <c r="B223" s="75" t="s">
        <v>17</v>
      </c>
      <c r="C223" s="79">
        <v>6100</v>
      </c>
      <c r="D223" s="79">
        <v>9000</v>
      </c>
      <c r="E223" s="71">
        <f t="shared" si="4"/>
        <v>2900</v>
      </c>
    </row>
    <row r="224" spans="1:5" ht="12.75" customHeight="1">
      <c r="A224" s="69">
        <v>46081</v>
      </c>
      <c r="B224" s="75" t="s">
        <v>13</v>
      </c>
      <c r="C224" s="79">
        <v>2000</v>
      </c>
      <c r="D224" s="79">
        <v>8000</v>
      </c>
      <c r="E224" s="71">
        <f t="shared" si="4"/>
        <v>6000</v>
      </c>
    </row>
    <row r="225" spans="1:5" ht="12.75" customHeight="1">
      <c r="A225" s="69">
        <v>46081</v>
      </c>
      <c r="B225" s="75" t="s">
        <v>17</v>
      </c>
      <c r="C225" s="79">
        <v>6100</v>
      </c>
      <c r="D225" s="79">
        <v>9000</v>
      </c>
      <c r="E225" s="71">
        <f t="shared" si="4"/>
        <v>2900</v>
      </c>
    </row>
    <row r="226" spans="1:5" ht="12.75" customHeight="1">
      <c r="A226" s="69">
        <v>46081</v>
      </c>
      <c r="B226" s="54" t="s">
        <v>43</v>
      </c>
      <c r="C226" s="79">
        <v>4600</v>
      </c>
      <c r="D226" s="79">
        <v>10000</v>
      </c>
      <c r="E226" s="71">
        <f t="shared" si="4"/>
        <v>5400</v>
      </c>
    </row>
    <row r="227" spans="1:5" ht="12.75" customHeight="1">
      <c r="A227" s="69">
        <v>46081</v>
      </c>
      <c r="B227" s="54" t="s">
        <v>43</v>
      </c>
      <c r="C227" s="79">
        <v>4600</v>
      </c>
      <c r="D227" s="79">
        <v>8000</v>
      </c>
      <c r="E227" s="71">
        <f t="shared" si="4"/>
        <v>3400</v>
      </c>
    </row>
    <row r="228" spans="1:5" ht="12.75" customHeight="1">
      <c r="A228" s="69">
        <v>46081</v>
      </c>
      <c r="B228" s="75" t="s">
        <v>13</v>
      </c>
      <c r="C228" s="79">
        <v>2000</v>
      </c>
      <c r="D228" s="79">
        <v>5000</v>
      </c>
      <c r="E228" s="71">
        <f t="shared" si="4"/>
        <v>3000</v>
      </c>
    </row>
    <row r="229" spans="1:5" ht="12.75" customHeight="1">
      <c r="A229" s="69">
        <v>46081</v>
      </c>
      <c r="B229" s="54" t="s">
        <v>22</v>
      </c>
      <c r="C229" s="79">
        <v>9000</v>
      </c>
      <c r="D229" s="79">
        <v>11000</v>
      </c>
      <c r="E229" s="71">
        <f t="shared" si="4"/>
        <v>2000</v>
      </c>
    </row>
    <row r="230" spans="1:5" ht="12.75" customHeight="1">
      <c r="A230" s="69">
        <v>46081</v>
      </c>
      <c r="B230" s="54" t="s">
        <v>25</v>
      </c>
      <c r="C230" s="79">
        <v>1600</v>
      </c>
      <c r="D230" s="79">
        <v>5000</v>
      </c>
      <c r="E230" s="71">
        <f t="shared" si="4"/>
        <v>3400</v>
      </c>
    </row>
    <row r="231" spans="1:5" ht="12.75" customHeight="1">
      <c r="A231" s="69">
        <v>46084</v>
      </c>
      <c r="B231" s="144" t="s">
        <v>25</v>
      </c>
      <c r="C231" s="79">
        <v>1600</v>
      </c>
      <c r="D231" s="79">
        <v>8000</v>
      </c>
      <c r="E231" s="71">
        <f t="shared" si="4"/>
        <v>6400</v>
      </c>
    </row>
    <row r="232" spans="1:5" ht="12.75" customHeight="1">
      <c r="A232" s="69">
        <v>46084</v>
      </c>
      <c r="B232" s="144" t="s">
        <v>25</v>
      </c>
      <c r="C232" s="79">
        <v>1600</v>
      </c>
      <c r="D232" s="79">
        <v>8000</v>
      </c>
      <c r="E232" s="71">
        <f t="shared" si="4"/>
        <v>6400</v>
      </c>
    </row>
    <row r="233" spans="1:5" ht="12.75" customHeight="1">
      <c r="A233" s="69">
        <v>46084</v>
      </c>
      <c r="B233" s="54" t="s">
        <v>22</v>
      </c>
      <c r="C233" s="79">
        <v>9000</v>
      </c>
      <c r="D233" s="79">
        <v>12000</v>
      </c>
      <c r="E233" s="71">
        <f t="shared" si="4"/>
        <v>3000</v>
      </c>
    </row>
    <row r="234" spans="1:5" ht="12.75" customHeight="1">
      <c r="A234" s="69">
        <v>46085</v>
      </c>
      <c r="B234" s="75" t="s">
        <v>13</v>
      </c>
      <c r="C234" s="79">
        <v>2000</v>
      </c>
      <c r="D234" s="79">
        <v>8000</v>
      </c>
      <c r="E234" s="71">
        <f t="shared" si="4"/>
        <v>6000</v>
      </c>
    </row>
    <row r="235" spans="1:5" ht="12.75" customHeight="1">
      <c r="A235" s="69">
        <v>46085</v>
      </c>
      <c r="B235" s="75" t="s">
        <v>17</v>
      </c>
      <c r="C235" s="79">
        <v>6100</v>
      </c>
      <c r="D235" s="79">
        <v>6500</v>
      </c>
      <c r="E235" s="71">
        <f t="shared" si="4"/>
        <v>400</v>
      </c>
    </row>
    <row r="236" spans="1:5" ht="12.75" customHeight="1">
      <c r="A236" s="69">
        <v>46085</v>
      </c>
      <c r="B236" s="75" t="s">
        <v>17</v>
      </c>
      <c r="C236" s="79">
        <v>6100</v>
      </c>
      <c r="D236" s="79">
        <v>9000</v>
      </c>
      <c r="E236" s="71">
        <f t="shared" si="4"/>
        <v>2900</v>
      </c>
    </row>
    <row r="237" spans="1:5" ht="12.75" customHeight="1">
      <c r="A237" s="69">
        <v>46084</v>
      </c>
      <c r="B237" s="144" t="s">
        <v>25</v>
      </c>
      <c r="C237" s="79">
        <v>1600</v>
      </c>
      <c r="D237" s="79">
        <v>8000</v>
      </c>
      <c r="E237" s="71">
        <f t="shared" si="4"/>
        <v>6400</v>
      </c>
    </row>
    <row r="238" spans="1:5" ht="12.75" customHeight="1">
      <c r="A238" s="69">
        <v>46084</v>
      </c>
      <c r="B238" s="144" t="s">
        <v>25</v>
      </c>
      <c r="C238" s="79">
        <v>1600</v>
      </c>
      <c r="D238" s="79">
        <v>8000</v>
      </c>
      <c r="E238" s="71">
        <f t="shared" si="4"/>
        <v>6400</v>
      </c>
    </row>
    <row r="239" spans="1:5" ht="12.75" customHeight="1">
      <c r="A239" s="69">
        <v>46086</v>
      </c>
      <c r="B239" s="54" t="s">
        <v>43</v>
      </c>
      <c r="C239" s="79">
        <v>6000</v>
      </c>
      <c r="D239" s="79">
        <v>10000</v>
      </c>
      <c r="E239" s="71">
        <f t="shared" si="4"/>
        <v>4000</v>
      </c>
    </row>
    <row r="240" spans="1:5" ht="12.75" customHeight="1">
      <c r="A240" s="69">
        <v>46088</v>
      </c>
      <c r="B240" s="54" t="s">
        <v>43</v>
      </c>
      <c r="C240" s="79">
        <v>6000</v>
      </c>
      <c r="D240" s="79">
        <v>10000</v>
      </c>
      <c r="E240" s="71">
        <f t="shared" si="4"/>
        <v>4000</v>
      </c>
    </row>
    <row r="241" spans="1:5" ht="12.75" customHeight="1">
      <c r="A241" s="69">
        <v>46088</v>
      </c>
      <c r="B241" s="54" t="s">
        <v>22</v>
      </c>
      <c r="C241" s="79">
        <v>9000</v>
      </c>
      <c r="D241" s="79">
        <v>12000</v>
      </c>
      <c r="E241" s="71">
        <f t="shared" si="4"/>
        <v>3000</v>
      </c>
    </row>
    <row r="242" spans="1:5" ht="12.75" customHeight="1">
      <c r="A242" s="69">
        <v>46089</v>
      </c>
      <c r="B242" s="75" t="s">
        <v>13</v>
      </c>
      <c r="C242" s="79">
        <v>2000</v>
      </c>
      <c r="D242" s="79">
        <v>5000</v>
      </c>
      <c r="E242" s="71">
        <f t="shared" si="4"/>
        <v>3000</v>
      </c>
    </row>
    <row r="243" spans="1:5" ht="12.75" customHeight="1">
      <c r="A243" s="69">
        <v>46089</v>
      </c>
      <c r="B243" s="75" t="s">
        <v>43</v>
      </c>
      <c r="C243" s="79">
        <v>3500</v>
      </c>
      <c r="D243" s="79">
        <v>6000</v>
      </c>
      <c r="E243" s="71">
        <f t="shared" si="4"/>
        <v>2500</v>
      </c>
    </row>
    <row r="244" spans="1:5" ht="12.75" customHeight="1">
      <c r="A244" s="69">
        <v>46089</v>
      </c>
      <c r="B244" s="54" t="s">
        <v>22</v>
      </c>
      <c r="C244" s="79">
        <v>9000</v>
      </c>
      <c r="D244" s="79">
        <v>12000</v>
      </c>
      <c r="E244" s="71">
        <f t="shared" si="4"/>
        <v>3000</v>
      </c>
    </row>
    <row r="245" spans="1:5" ht="12.75" customHeight="1">
      <c r="A245" s="69">
        <v>46089</v>
      </c>
      <c r="B245" s="75" t="s">
        <v>25</v>
      </c>
      <c r="C245" s="79">
        <v>1600</v>
      </c>
      <c r="D245" s="79">
        <v>5000</v>
      </c>
      <c r="E245" s="71">
        <f t="shared" si="4"/>
        <v>3400</v>
      </c>
    </row>
    <row r="246" spans="1:5" ht="12.75" customHeight="1">
      <c r="A246" s="69">
        <v>46089</v>
      </c>
      <c r="B246" s="75" t="s">
        <v>43</v>
      </c>
      <c r="C246" s="79">
        <v>6000</v>
      </c>
      <c r="D246" s="79">
        <v>8000</v>
      </c>
      <c r="E246" s="71">
        <f t="shared" si="4"/>
        <v>2000</v>
      </c>
    </row>
    <row r="247" spans="1:5" ht="12.75" customHeight="1">
      <c r="A247" s="69">
        <v>46089</v>
      </c>
      <c r="B247" s="75" t="s">
        <v>43</v>
      </c>
      <c r="C247" s="79">
        <v>6000</v>
      </c>
      <c r="D247" s="79">
        <v>10000</v>
      </c>
      <c r="E247" s="71">
        <f t="shared" si="4"/>
        <v>4000</v>
      </c>
    </row>
    <row r="248" spans="1:5" ht="12.75" customHeight="1">
      <c r="A248" s="69">
        <v>46089</v>
      </c>
      <c r="B248" s="54" t="s">
        <v>22</v>
      </c>
      <c r="C248" s="79">
        <v>9000</v>
      </c>
      <c r="D248" s="79">
        <v>12000</v>
      </c>
      <c r="E248" s="71">
        <f t="shared" si="4"/>
        <v>3000</v>
      </c>
    </row>
    <row r="249" spans="1:5" ht="12.75" customHeight="1">
      <c r="A249" s="69">
        <v>46089</v>
      </c>
      <c r="B249" s="54" t="s">
        <v>22</v>
      </c>
      <c r="C249" s="79">
        <v>9000</v>
      </c>
      <c r="D249" s="79">
        <v>12000</v>
      </c>
      <c r="E249" s="71">
        <f t="shared" si="4"/>
        <v>3000</v>
      </c>
    </row>
    <row r="250" spans="1:5" ht="12.75" customHeight="1">
      <c r="A250" s="69">
        <v>46089</v>
      </c>
      <c r="B250" s="54" t="s">
        <v>22</v>
      </c>
      <c r="C250" s="79">
        <v>9000</v>
      </c>
      <c r="D250" s="79">
        <v>12000</v>
      </c>
      <c r="E250" s="71">
        <f t="shared" si="4"/>
        <v>3000</v>
      </c>
    </row>
    <row r="251" spans="1:5" ht="12.75" customHeight="1">
      <c r="A251" s="69">
        <v>46090</v>
      </c>
      <c r="B251" s="75" t="s">
        <v>1365</v>
      </c>
      <c r="C251" s="79">
        <v>9900</v>
      </c>
      <c r="D251" s="79">
        <v>15000</v>
      </c>
      <c r="E251" s="71">
        <f t="shared" si="4"/>
        <v>5100</v>
      </c>
    </row>
    <row r="252" spans="1:5" ht="12.75" customHeight="1">
      <c r="A252" s="69">
        <v>46090</v>
      </c>
      <c r="B252" s="54" t="s">
        <v>22</v>
      </c>
      <c r="C252" s="79">
        <v>9000</v>
      </c>
      <c r="D252" s="79">
        <v>12000</v>
      </c>
      <c r="E252" s="71">
        <f t="shared" si="4"/>
        <v>3000</v>
      </c>
    </row>
    <row r="253" spans="1:5" ht="12.75" customHeight="1">
      <c r="A253" s="69">
        <v>46091</v>
      </c>
      <c r="B253" s="54" t="s">
        <v>22</v>
      </c>
      <c r="C253" s="79">
        <v>9000</v>
      </c>
      <c r="D253" s="79">
        <v>12000</v>
      </c>
      <c r="E253" s="71">
        <f t="shared" si="4"/>
        <v>3000</v>
      </c>
    </row>
    <row r="254" spans="1:5" ht="12.75" customHeight="1">
      <c r="A254" s="69">
        <v>46091</v>
      </c>
      <c r="B254" s="75" t="s">
        <v>17</v>
      </c>
      <c r="C254" s="79">
        <v>6100</v>
      </c>
      <c r="D254" s="79">
        <v>9000</v>
      </c>
      <c r="E254" s="71">
        <f t="shared" si="4"/>
        <v>2900</v>
      </c>
    </row>
    <row r="255" spans="1:5" ht="12.75" customHeight="1">
      <c r="A255" s="69">
        <v>46092</v>
      </c>
      <c r="B255" s="75" t="s">
        <v>22</v>
      </c>
      <c r="C255" s="79">
        <v>9000</v>
      </c>
      <c r="D255" s="79">
        <v>12000</v>
      </c>
      <c r="E255" s="71">
        <f t="shared" si="4"/>
        <v>3000</v>
      </c>
    </row>
    <row r="256" spans="1:5" ht="12.75" customHeight="1">
      <c r="A256" s="69">
        <v>46091</v>
      </c>
      <c r="B256" s="75" t="s">
        <v>1361</v>
      </c>
      <c r="C256" s="79">
        <v>2000</v>
      </c>
      <c r="D256" s="79">
        <v>8000</v>
      </c>
      <c r="E256" s="71">
        <f t="shared" si="4"/>
        <v>6000</v>
      </c>
    </row>
    <row r="257" spans="1:5" ht="12.75" customHeight="1">
      <c r="A257" s="69">
        <v>46090</v>
      </c>
      <c r="B257" s="75" t="s">
        <v>22</v>
      </c>
      <c r="C257" s="79">
        <v>9000</v>
      </c>
      <c r="D257" s="79">
        <v>11000</v>
      </c>
      <c r="E257" s="71">
        <f t="shared" si="4"/>
        <v>2000</v>
      </c>
    </row>
    <row r="258" spans="1:5" ht="12.75" customHeight="1">
      <c r="A258" s="69">
        <v>46090</v>
      </c>
      <c r="B258" s="75" t="s">
        <v>43</v>
      </c>
      <c r="C258" s="79">
        <v>6000</v>
      </c>
      <c r="D258" s="79">
        <v>8000</v>
      </c>
      <c r="E258" s="71">
        <f t="shared" ref="E258:E321" si="5">+D258-C258</f>
        <v>2000</v>
      </c>
    </row>
    <row r="259" spans="1:5" ht="12.75" customHeight="1">
      <c r="A259" s="69">
        <v>46090</v>
      </c>
      <c r="B259" s="75" t="s">
        <v>77</v>
      </c>
      <c r="C259" s="79">
        <v>1500</v>
      </c>
      <c r="D259" s="79">
        <v>5000</v>
      </c>
      <c r="E259" s="71">
        <f t="shared" si="5"/>
        <v>3500</v>
      </c>
    </row>
    <row r="260" spans="1:5" ht="12.75" customHeight="1">
      <c r="A260" s="69">
        <v>46090</v>
      </c>
      <c r="B260" s="75" t="s">
        <v>13</v>
      </c>
      <c r="C260" s="79">
        <v>2000</v>
      </c>
      <c r="D260" s="79">
        <v>5000</v>
      </c>
      <c r="E260" s="71">
        <f t="shared" si="5"/>
        <v>3000</v>
      </c>
    </row>
    <row r="261" spans="1:5" ht="12.75" customHeight="1">
      <c r="A261" s="69">
        <v>46094</v>
      </c>
      <c r="B261" s="75" t="s">
        <v>65</v>
      </c>
      <c r="C261" s="79">
        <v>2000</v>
      </c>
      <c r="D261" s="79">
        <v>6000</v>
      </c>
      <c r="E261" s="71">
        <f t="shared" si="5"/>
        <v>4000</v>
      </c>
    </row>
    <row r="262" spans="1:5" ht="12.75" customHeight="1">
      <c r="A262" s="69">
        <v>46094</v>
      </c>
      <c r="B262" s="75" t="s">
        <v>22</v>
      </c>
      <c r="C262" s="79">
        <f>9000*2</f>
        <v>18000</v>
      </c>
      <c r="D262" s="79">
        <f>11000*2</f>
        <v>22000</v>
      </c>
      <c r="E262" s="71">
        <f t="shared" si="5"/>
        <v>4000</v>
      </c>
    </row>
    <row r="263" spans="1:5" ht="12.75" customHeight="1">
      <c r="A263" s="69">
        <v>46094</v>
      </c>
      <c r="B263" s="75" t="s">
        <v>13</v>
      </c>
      <c r="C263" s="79">
        <f>2000*2</f>
        <v>4000</v>
      </c>
      <c r="D263" s="79">
        <f>5000*2</f>
        <v>10000</v>
      </c>
      <c r="E263" s="71">
        <f t="shared" si="5"/>
        <v>6000</v>
      </c>
    </row>
    <row r="264" spans="1:5" ht="12.75" customHeight="1">
      <c r="A264" s="69">
        <v>46095</v>
      </c>
      <c r="B264" s="75" t="s">
        <v>22</v>
      </c>
      <c r="C264" s="79">
        <v>9000</v>
      </c>
      <c r="D264" s="79">
        <v>12000</v>
      </c>
      <c r="E264" s="71">
        <f t="shared" si="5"/>
        <v>3000</v>
      </c>
    </row>
    <row r="265" spans="1:5" ht="12.75" customHeight="1">
      <c r="A265" s="69">
        <v>46095</v>
      </c>
      <c r="B265" s="75" t="s">
        <v>22</v>
      </c>
      <c r="C265" s="79">
        <v>9000</v>
      </c>
      <c r="D265" s="79">
        <v>12000</v>
      </c>
      <c r="E265" s="71">
        <f t="shared" si="5"/>
        <v>3000</v>
      </c>
    </row>
    <row r="266" spans="1:5" ht="12.75" customHeight="1">
      <c r="A266" s="69">
        <v>46095</v>
      </c>
      <c r="B266" s="75" t="s">
        <v>19</v>
      </c>
      <c r="C266" s="79">
        <v>8000</v>
      </c>
      <c r="D266" s="79">
        <v>20000</v>
      </c>
      <c r="E266" s="71">
        <f t="shared" si="5"/>
        <v>12000</v>
      </c>
    </row>
    <row r="267" spans="1:5" ht="12.75" customHeight="1">
      <c r="A267" s="69">
        <v>46095</v>
      </c>
      <c r="B267" s="75" t="s">
        <v>22</v>
      </c>
      <c r="C267" s="79">
        <v>9000</v>
      </c>
      <c r="D267" s="79">
        <v>11000</v>
      </c>
      <c r="E267" s="71">
        <f t="shared" si="5"/>
        <v>2000</v>
      </c>
    </row>
    <row r="268" spans="1:5" ht="12.75" customHeight="1">
      <c r="A268" s="69">
        <v>46095</v>
      </c>
      <c r="B268" s="75" t="s">
        <v>25</v>
      </c>
      <c r="C268" s="79">
        <v>1600</v>
      </c>
      <c r="D268" s="79">
        <v>5000</v>
      </c>
      <c r="E268" s="71">
        <f t="shared" si="5"/>
        <v>3400</v>
      </c>
    </row>
    <row r="269" spans="1:5" ht="12.75" customHeight="1">
      <c r="A269" s="69">
        <v>46096</v>
      </c>
      <c r="B269" s="75" t="s">
        <v>22</v>
      </c>
      <c r="C269" s="79">
        <v>9000</v>
      </c>
      <c r="D269" s="79">
        <v>12000</v>
      </c>
      <c r="E269" s="71">
        <f t="shared" si="5"/>
        <v>3000</v>
      </c>
    </row>
    <row r="270" spans="1:5" ht="12.75" customHeight="1">
      <c r="A270" s="69">
        <v>46096</v>
      </c>
      <c r="B270" s="75" t="s">
        <v>22</v>
      </c>
      <c r="C270" s="79">
        <v>9000</v>
      </c>
      <c r="D270" s="79">
        <v>11000</v>
      </c>
      <c r="E270" s="71">
        <f t="shared" si="5"/>
        <v>2000</v>
      </c>
    </row>
    <row r="271" spans="1:5" ht="12.75" customHeight="1">
      <c r="A271" s="69">
        <v>46096</v>
      </c>
      <c r="B271" s="75" t="s">
        <v>43</v>
      </c>
      <c r="C271" s="79">
        <v>4600</v>
      </c>
      <c r="D271" s="79">
        <v>8000</v>
      </c>
      <c r="E271" s="71">
        <f t="shared" si="5"/>
        <v>3400</v>
      </c>
    </row>
    <row r="272" spans="1:5" ht="12.75" customHeight="1">
      <c r="A272" s="69">
        <v>46096</v>
      </c>
      <c r="B272" s="144" t="s">
        <v>13</v>
      </c>
      <c r="C272" s="79">
        <v>2500</v>
      </c>
      <c r="D272" s="79">
        <v>8000</v>
      </c>
      <c r="E272" s="71">
        <f t="shared" si="5"/>
        <v>5500</v>
      </c>
    </row>
    <row r="273" spans="1:5" ht="12.75" customHeight="1">
      <c r="A273" s="69">
        <v>46097</v>
      </c>
      <c r="B273" s="75" t="s">
        <v>25</v>
      </c>
      <c r="C273" s="79">
        <v>1600</v>
      </c>
      <c r="D273" s="79">
        <v>8000</v>
      </c>
      <c r="E273" s="71">
        <f t="shared" si="5"/>
        <v>6400</v>
      </c>
    </row>
    <row r="274" spans="1:5" ht="12.75" customHeight="1">
      <c r="A274" s="69">
        <v>46097</v>
      </c>
      <c r="B274" s="144" t="s">
        <v>17</v>
      </c>
      <c r="C274" s="79">
        <v>6100</v>
      </c>
      <c r="D274" s="79">
        <v>9000</v>
      </c>
      <c r="E274" s="71">
        <f t="shared" si="5"/>
        <v>2900</v>
      </c>
    </row>
    <row r="275" spans="1:5" ht="12.75" customHeight="1">
      <c r="A275" s="69">
        <v>46097</v>
      </c>
      <c r="B275" s="75" t="s">
        <v>25</v>
      </c>
      <c r="C275" s="79">
        <v>1600</v>
      </c>
      <c r="D275" s="79">
        <v>5000</v>
      </c>
      <c r="E275" s="71">
        <f t="shared" si="5"/>
        <v>3400</v>
      </c>
    </row>
    <row r="276" spans="1:5" ht="12.75" customHeight="1">
      <c r="A276" s="69">
        <v>46097</v>
      </c>
      <c r="B276" s="144" t="s">
        <v>13</v>
      </c>
      <c r="C276" s="79">
        <v>2500</v>
      </c>
      <c r="D276" s="79">
        <v>8000</v>
      </c>
      <c r="E276" s="71">
        <f t="shared" si="5"/>
        <v>5500</v>
      </c>
    </row>
    <row r="277" spans="1:5" ht="12.75" customHeight="1">
      <c r="A277" s="69">
        <v>46097</v>
      </c>
      <c r="B277" s="75" t="s">
        <v>22</v>
      </c>
      <c r="C277" s="79">
        <v>9000</v>
      </c>
      <c r="D277" s="79">
        <v>12000</v>
      </c>
      <c r="E277" s="71">
        <f t="shared" si="5"/>
        <v>3000</v>
      </c>
    </row>
    <row r="278" spans="1:5" ht="12.75" customHeight="1">
      <c r="A278" s="69">
        <v>46098</v>
      </c>
      <c r="B278" s="144" t="s">
        <v>17</v>
      </c>
      <c r="C278" s="79">
        <v>6100</v>
      </c>
      <c r="D278" s="79">
        <v>9000</v>
      </c>
      <c r="E278" s="71">
        <f t="shared" si="5"/>
        <v>2900</v>
      </c>
    </row>
    <row r="279" spans="1:5" ht="12.75" customHeight="1">
      <c r="A279" s="69">
        <v>46098</v>
      </c>
      <c r="B279" s="144" t="s">
        <v>17</v>
      </c>
      <c r="C279" s="79">
        <v>6100</v>
      </c>
      <c r="D279" s="79">
        <v>9000</v>
      </c>
      <c r="E279" s="71">
        <f t="shared" si="5"/>
        <v>2900</v>
      </c>
    </row>
    <row r="280" spans="1:5" ht="12.75" customHeight="1">
      <c r="A280" s="69">
        <v>46098</v>
      </c>
      <c r="B280" s="144" t="s">
        <v>22</v>
      </c>
      <c r="C280" s="79">
        <v>18000</v>
      </c>
      <c r="D280" s="79">
        <v>22000</v>
      </c>
      <c r="E280" s="71">
        <f t="shared" si="5"/>
        <v>4000</v>
      </c>
    </row>
    <row r="281" spans="1:5" ht="12.75" customHeight="1">
      <c r="A281" s="69">
        <v>46098</v>
      </c>
      <c r="B281" s="144" t="s">
        <v>1361</v>
      </c>
      <c r="C281" s="79">
        <v>2000</v>
      </c>
      <c r="D281" s="79">
        <v>8000</v>
      </c>
      <c r="E281" s="71">
        <f t="shared" si="5"/>
        <v>6000</v>
      </c>
    </row>
    <row r="282" spans="1:5" ht="12.75" customHeight="1">
      <c r="A282" s="69">
        <v>46099</v>
      </c>
      <c r="B282" s="144" t="s">
        <v>43</v>
      </c>
      <c r="C282" s="79">
        <v>7000</v>
      </c>
      <c r="D282" s="79">
        <v>10000</v>
      </c>
      <c r="E282" s="71">
        <f t="shared" si="5"/>
        <v>3000</v>
      </c>
    </row>
    <row r="283" spans="1:5" ht="12.75" customHeight="1">
      <c r="A283" s="69">
        <v>46099</v>
      </c>
      <c r="B283" s="144" t="s">
        <v>43</v>
      </c>
      <c r="C283" s="79">
        <v>7000</v>
      </c>
      <c r="D283" s="79">
        <v>10000</v>
      </c>
      <c r="E283" s="71">
        <f t="shared" si="5"/>
        <v>3000</v>
      </c>
    </row>
    <row r="284" spans="1:5" ht="12.75" customHeight="1">
      <c r="A284" s="69">
        <v>46099</v>
      </c>
      <c r="B284" s="144" t="s">
        <v>19</v>
      </c>
      <c r="C284" s="79">
        <v>8000</v>
      </c>
      <c r="D284" s="79">
        <v>20000</v>
      </c>
      <c r="E284" s="71">
        <f t="shared" si="5"/>
        <v>12000</v>
      </c>
    </row>
    <row r="285" spans="1:5" ht="12.75" customHeight="1">
      <c r="A285" s="69">
        <v>46099</v>
      </c>
      <c r="B285" s="75" t="s">
        <v>22</v>
      </c>
      <c r="C285" s="79">
        <v>9000</v>
      </c>
      <c r="D285" s="79">
        <v>12000</v>
      </c>
      <c r="E285" s="71">
        <f t="shared" si="5"/>
        <v>3000</v>
      </c>
    </row>
    <row r="286" spans="1:5" ht="12.75" customHeight="1">
      <c r="A286" s="69">
        <v>46099</v>
      </c>
      <c r="B286" s="75" t="s">
        <v>22</v>
      </c>
      <c r="C286" s="79">
        <v>9000</v>
      </c>
      <c r="D286" s="79">
        <v>11000</v>
      </c>
      <c r="E286" s="71">
        <f t="shared" si="5"/>
        <v>2000</v>
      </c>
    </row>
    <row r="287" spans="1:5" ht="12.75" customHeight="1">
      <c r="A287" s="69">
        <v>45735</v>
      </c>
      <c r="B287" s="144" t="s">
        <v>17</v>
      </c>
      <c r="C287" s="79">
        <f>6100*3</f>
        <v>18300</v>
      </c>
      <c r="D287" s="79">
        <v>27000</v>
      </c>
      <c r="E287" s="71">
        <f t="shared" si="5"/>
        <v>8700</v>
      </c>
    </row>
    <row r="288" spans="1:5" ht="12.75" customHeight="1">
      <c r="A288" s="69">
        <v>45735</v>
      </c>
      <c r="B288" s="75" t="s">
        <v>22</v>
      </c>
      <c r="C288" s="79">
        <v>9000</v>
      </c>
      <c r="D288" s="79">
        <v>12000</v>
      </c>
      <c r="E288" s="71">
        <f t="shared" si="5"/>
        <v>3000</v>
      </c>
    </row>
    <row r="289" spans="1:5" ht="12.75" customHeight="1">
      <c r="A289" s="69">
        <v>45735</v>
      </c>
      <c r="B289" s="75" t="s">
        <v>22</v>
      </c>
      <c r="C289" s="79">
        <v>9000</v>
      </c>
      <c r="D289" s="79">
        <v>12000</v>
      </c>
      <c r="E289" s="71">
        <f t="shared" si="5"/>
        <v>3000</v>
      </c>
    </row>
    <row r="290" spans="1:5" ht="12.75" customHeight="1">
      <c r="A290" s="69">
        <v>45735</v>
      </c>
      <c r="B290" s="144" t="s">
        <v>43</v>
      </c>
      <c r="C290" s="79">
        <v>6000</v>
      </c>
      <c r="D290" s="79">
        <v>10000</v>
      </c>
      <c r="E290" s="71">
        <f t="shared" si="5"/>
        <v>4000</v>
      </c>
    </row>
    <row r="291" spans="1:5" ht="12.75" customHeight="1">
      <c r="A291" s="69">
        <v>45735</v>
      </c>
      <c r="B291" s="75" t="s">
        <v>22</v>
      </c>
      <c r="C291" s="79">
        <v>9000</v>
      </c>
      <c r="D291" s="79">
        <v>11000</v>
      </c>
      <c r="E291" s="71">
        <f t="shared" si="5"/>
        <v>2000</v>
      </c>
    </row>
    <row r="292" spans="1:5" ht="12.75" customHeight="1">
      <c r="A292" s="69">
        <v>45735</v>
      </c>
      <c r="B292" s="144" t="s">
        <v>43</v>
      </c>
      <c r="C292" s="79">
        <v>4600</v>
      </c>
      <c r="D292" s="79">
        <v>8000</v>
      </c>
      <c r="E292" s="71">
        <f t="shared" si="5"/>
        <v>3400</v>
      </c>
    </row>
    <row r="293" spans="1:5" ht="12.75" customHeight="1">
      <c r="A293" s="69">
        <v>45735</v>
      </c>
      <c r="B293" s="144" t="s">
        <v>13</v>
      </c>
      <c r="C293" s="79">
        <v>2500</v>
      </c>
      <c r="D293" s="79">
        <v>5000</v>
      </c>
      <c r="E293" s="71">
        <f t="shared" si="5"/>
        <v>2500</v>
      </c>
    </row>
    <row r="294" spans="1:5" ht="12.75" customHeight="1">
      <c r="A294" s="69">
        <v>45735</v>
      </c>
      <c r="B294" s="144" t="s">
        <v>25</v>
      </c>
      <c r="C294" s="79">
        <v>2000</v>
      </c>
      <c r="D294" s="79">
        <v>5000</v>
      </c>
      <c r="E294" s="71">
        <f t="shared" si="5"/>
        <v>3000</v>
      </c>
    </row>
    <row r="295" spans="1:5" ht="12.75" customHeight="1">
      <c r="A295" s="69">
        <v>46105</v>
      </c>
      <c r="B295" s="144" t="s">
        <v>19</v>
      </c>
      <c r="C295" s="79">
        <v>8000</v>
      </c>
      <c r="D295" s="79">
        <v>20000</v>
      </c>
      <c r="E295" s="71">
        <f t="shared" si="5"/>
        <v>12000</v>
      </c>
    </row>
    <row r="296" spans="1:5" ht="12.75" customHeight="1">
      <c r="A296" s="69">
        <v>46105</v>
      </c>
      <c r="B296" s="144" t="s">
        <v>43</v>
      </c>
      <c r="C296" s="79">
        <v>7000</v>
      </c>
      <c r="D296" s="79">
        <v>10000</v>
      </c>
      <c r="E296" s="71">
        <f t="shared" si="5"/>
        <v>3000</v>
      </c>
    </row>
    <row r="297" spans="1:5" ht="12.75" customHeight="1">
      <c r="A297" s="69">
        <v>46105</v>
      </c>
      <c r="B297" s="75" t="s">
        <v>25</v>
      </c>
      <c r="C297" s="79">
        <v>2000</v>
      </c>
      <c r="D297" s="79">
        <v>8000</v>
      </c>
      <c r="E297" s="71">
        <f t="shared" si="5"/>
        <v>6000</v>
      </c>
    </row>
    <row r="298" spans="1:5" ht="12.75" customHeight="1">
      <c r="A298" s="69">
        <v>46105</v>
      </c>
      <c r="B298" s="75" t="s">
        <v>25</v>
      </c>
      <c r="C298" s="79">
        <v>2000</v>
      </c>
      <c r="D298" s="79">
        <v>8000</v>
      </c>
      <c r="E298" s="71">
        <f t="shared" si="5"/>
        <v>6000</v>
      </c>
    </row>
    <row r="299" spans="1:5" ht="12.75" customHeight="1">
      <c r="A299" s="69">
        <v>46105</v>
      </c>
      <c r="B299" s="75" t="s">
        <v>17</v>
      </c>
      <c r="C299" s="79">
        <v>6100</v>
      </c>
      <c r="D299" s="79">
        <v>6500</v>
      </c>
      <c r="E299" s="71">
        <f t="shared" si="5"/>
        <v>400</v>
      </c>
    </row>
    <row r="300" spans="1:5" ht="12.75" customHeight="1">
      <c r="A300" s="69">
        <v>46105</v>
      </c>
      <c r="B300" s="75" t="s">
        <v>22</v>
      </c>
      <c r="C300" s="79">
        <v>9000</v>
      </c>
      <c r="D300" s="79">
        <v>12000</v>
      </c>
      <c r="E300" s="71">
        <f t="shared" si="5"/>
        <v>3000</v>
      </c>
    </row>
    <row r="301" spans="1:5" ht="12.75" customHeight="1">
      <c r="A301" s="69">
        <v>46105</v>
      </c>
      <c r="B301" s="75" t="s">
        <v>22</v>
      </c>
      <c r="C301" s="79">
        <v>9000</v>
      </c>
      <c r="D301" s="79">
        <v>12000</v>
      </c>
      <c r="E301" s="71">
        <f t="shared" si="5"/>
        <v>3000</v>
      </c>
    </row>
    <row r="302" spans="1:5" ht="12.75" customHeight="1">
      <c r="A302" s="69">
        <v>46106</v>
      </c>
      <c r="B302" s="75" t="s">
        <v>17</v>
      </c>
      <c r="C302" s="79">
        <v>6100</v>
      </c>
      <c r="D302" s="79">
        <v>9000</v>
      </c>
      <c r="E302" s="71">
        <f t="shared" si="5"/>
        <v>2900</v>
      </c>
    </row>
    <row r="303" spans="1:5" ht="12.75" customHeight="1">
      <c r="A303" s="69">
        <v>46106</v>
      </c>
      <c r="B303" s="75" t="s">
        <v>17</v>
      </c>
      <c r="C303" s="79">
        <v>6100</v>
      </c>
      <c r="D303" s="79">
        <v>9000</v>
      </c>
      <c r="E303" s="71">
        <f t="shared" si="5"/>
        <v>2900</v>
      </c>
    </row>
    <row r="304" spans="1:5" ht="12.75" customHeight="1">
      <c r="A304" s="69">
        <v>46106</v>
      </c>
      <c r="B304" s="75" t="s">
        <v>22</v>
      </c>
      <c r="C304" s="79">
        <v>9000</v>
      </c>
      <c r="D304" s="79">
        <v>12000</v>
      </c>
      <c r="E304" s="71">
        <f t="shared" si="5"/>
        <v>3000</v>
      </c>
    </row>
    <row r="305" spans="1:5 16384:16384" ht="12.75" customHeight="1">
      <c r="A305" s="69">
        <v>46107</v>
      </c>
      <c r="B305" s="75" t="s">
        <v>22</v>
      </c>
      <c r="C305" s="79">
        <v>9000</v>
      </c>
      <c r="D305" s="79">
        <v>12000</v>
      </c>
      <c r="E305" s="71">
        <f t="shared" si="5"/>
        <v>3000</v>
      </c>
    </row>
    <row r="306" spans="1:5 16384:16384" ht="12.75" customHeight="1">
      <c r="A306" s="69">
        <v>46107</v>
      </c>
      <c r="B306" s="75" t="s">
        <v>22</v>
      </c>
      <c r="C306" s="79">
        <v>9000</v>
      </c>
      <c r="D306" s="79">
        <v>12000</v>
      </c>
      <c r="E306" s="71">
        <f t="shared" si="5"/>
        <v>3000</v>
      </c>
      <c r="XFD306">
        <v>1</v>
      </c>
    </row>
    <row r="307" spans="1:5 16384:16384" ht="12.75" customHeight="1">
      <c r="A307" s="69">
        <v>46108</v>
      </c>
      <c r="B307" s="75" t="s">
        <v>17</v>
      </c>
      <c r="C307" s="79">
        <v>6100</v>
      </c>
      <c r="D307" s="79">
        <v>6500</v>
      </c>
      <c r="E307" s="71">
        <f t="shared" si="5"/>
        <v>400</v>
      </c>
    </row>
    <row r="308" spans="1:5 16384:16384" ht="12.75" customHeight="1">
      <c r="A308" s="69">
        <v>46108</v>
      </c>
      <c r="B308" s="75" t="s">
        <v>22</v>
      </c>
      <c r="C308" s="79">
        <v>9000</v>
      </c>
      <c r="D308" s="79">
        <v>12000</v>
      </c>
      <c r="E308" s="71">
        <f t="shared" si="5"/>
        <v>3000</v>
      </c>
    </row>
    <row r="309" spans="1:5 16384:16384" ht="12.75" customHeight="1">
      <c r="A309" s="69">
        <v>46109</v>
      </c>
      <c r="B309" s="75" t="s">
        <v>22</v>
      </c>
      <c r="C309" s="79">
        <v>9000</v>
      </c>
      <c r="D309" s="79">
        <v>11000</v>
      </c>
      <c r="E309" s="71">
        <f t="shared" si="5"/>
        <v>2000</v>
      </c>
    </row>
    <row r="310" spans="1:5 16384:16384" ht="12.75" customHeight="1">
      <c r="A310" s="69">
        <v>46109</v>
      </c>
      <c r="B310" s="144" t="s">
        <v>13</v>
      </c>
      <c r="C310" s="79">
        <v>2500</v>
      </c>
      <c r="D310" s="79">
        <v>5000</v>
      </c>
      <c r="E310" s="71">
        <f t="shared" si="5"/>
        <v>2500</v>
      </c>
    </row>
    <row r="311" spans="1:5 16384:16384" ht="12.75" customHeight="1">
      <c r="A311" s="69">
        <v>46109</v>
      </c>
      <c r="B311" s="144" t="s">
        <v>25</v>
      </c>
      <c r="C311" s="79">
        <v>2000</v>
      </c>
      <c r="D311" s="79">
        <v>5000</v>
      </c>
      <c r="E311" s="71">
        <f t="shared" si="5"/>
        <v>3000</v>
      </c>
    </row>
    <row r="312" spans="1:5 16384:16384" ht="12.75" customHeight="1">
      <c r="A312" s="69">
        <v>46109</v>
      </c>
      <c r="B312" s="75" t="s">
        <v>22</v>
      </c>
      <c r="C312" s="79">
        <v>9000</v>
      </c>
      <c r="D312" s="79">
        <v>12000</v>
      </c>
      <c r="E312" s="71">
        <f t="shared" si="5"/>
        <v>3000</v>
      </c>
    </row>
    <row r="313" spans="1:5 16384:16384" ht="12.75" customHeight="1">
      <c r="A313" s="69">
        <v>46109</v>
      </c>
      <c r="B313" s="75" t="s">
        <v>22</v>
      </c>
      <c r="C313" s="79">
        <v>9000</v>
      </c>
      <c r="D313" s="79">
        <v>12000</v>
      </c>
      <c r="E313" s="71">
        <f t="shared" si="5"/>
        <v>3000</v>
      </c>
    </row>
    <row r="314" spans="1:5 16384:16384" ht="12.75" customHeight="1">
      <c r="A314" s="69">
        <v>46110</v>
      </c>
      <c r="B314" s="144" t="s">
        <v>43</v>
      </c>
      <c r="C314" s="79">
        <v>4600</v>
      </c>
      <c r="D314" s="79">
        <v>10000</v>
      </c>
      <c r="E314" s="71">
        <f t="shared" si="5"/>
        <v>5400</v>
      </c>
    </row>
    <row r="315" spans="1:5 16384:16384" ht="12.75" customHeight="1">
      <c r="A315" s="69">
        <v>46110</v>
      </c>
      <c r="B315" s="75" t="s">
        <v>22</v>
      </c>
      <c r="C315" s="79">
        <v>9000</v>
      </c>
      <c r="D315" s="79">
        <v>12000</v>
      </c>
      <c r="E315" s="71">
        <f t="shared" si="5"/>
        <v>3000</v>
      </c>
    </row>
    <row r="316" spans="1:5 16384:16384" ht="12.75" customHeight="1">
      <c r="A316" s="69">
        <v>46110</v>
      </c>
      <c r="B316" s="75" t="s">
        <v>17</v>
      </c>
      <c r="C316" s="79">
        <v>6100</v>
      </c>
      <c r="D316" s="79">
        <v>9000</v>
      </c>
      <c r="E316" s="71">
        <f t="shared" si="5"/>
        <v>2900</v>
      </c>
    </row>
    <row r="317" spans="1:5 16384:16384" ht="12.75" customHeight="1">
      <c r="A317" s="69">
        <v>46111</v>
      </c>
      <c r="B317" s="144" t="s">
        <v>43</v>
      </c>
      <c r="C317" s="79">
        <v>4600</v>
      </c>
      <c r="D317" s="79">
        <v>8000</v>
      </c>
      <c r="E317" s="71">
        <f t="shared" si="5"/>
        <v>3400</v>
      </c>
    </row>
    <row r="318" spans="1:5 16384:16384" ht="12.75" customHeight="1">
      <c r="A318" s="69">
        <v>46111</v>
      </c>
      <c r="B318" s="75" t="s">
        <v>22</v>
      </c>
      <c r="C318" s="79">
        <v>9000</v>
      </c>
      <c r="D318" s="79">
        <v>11000</v>
      </c>
      <c r="E318" s="71">
        <f t="shared" si="5"/>
        <v>2000</v>
      </c>
    </row>
    <row r="319" spans="1:5 16384:16384" ht="12.75" customHeight="1">
      <c r="A319" s="69">
        <v>46111</v>
      </c>
      <c r="B319" s="144" t="s">
        <v>13</v>
      </c>
      <c r="C319" s="79">
        <v>2500</v>
      </c>
      <c r="D319" s="79">
        <v>5000</v>
      </c>
      <c r="E319" s="71">
        <f t="shared" si="5"/>
        <v>2500</v>
      </c>
    </row>
    <row r="320" spans="1:5 16384:16384" ht="12.75" customHeight="1">
      <c r="A320" s="69">
        <v>46111</v>
      </c>
      <c r="B320" s="144" t="s">
        <v>25</v>
      </c>
      <c r="C320" s="79">
        <v>2000</v>
      </c>
      <c r="D320" s="79">
        <v>5000</v>
      </c>
      <c r="E320" s="71">
        <f t="shared" si="5"/>
        <v>3000</v>
      </c>
    </row>
    <row r="321" spans="1:5" ht="12.75" customHeight="1">
      <c r="A321" s="69">
        <v>46111</v>
      </c>
      <c r="B321" s="144" t="s">
        <v>22</v>
      </c>
      <c r="C321" s="79">
        <v>9000</v>
      </c>
      <c r="D321" s="79">
        <v>12000</v>
      </c>
      <c r="E321" s="71">
        <f t="shared" si="5"/>
        <v>3000</v>
      </c>
    </row>
    <row r="322" spans="1:5" ht="12.75" customHeight="1">
      <c r="A322" s="69">
        <v>46111</v>
      </c>
      <c r="B322" s="144" t="s">
        <v>13</v>
      </c>
      <c r="C322" s="79">
        <v>2500</v>
      </c>
      <c r="D322" s="79">
        <v>5000</v>
      </c>
      <c r="E322" s="71">
        <f t="shared" ref="E322:E385" si="6">+D322-C322</f>
        <v>2500</v>
      </c>
    </row>
    <row r="323" spans="1:5" ht="12.75" customHeight="1">
      <c r="A323" s="69">
        <v>46111</v>
      </c>
      <c r="B323" s="75" t="s">
        <v>17</v>
      </c>
      <c r="C323" s="79">
        <v>6100</v>
      </c>
      <c r="D323" s="79">
        <v>9000</v>
      </c>
      <c r="E323" s="71">
        <f t="shared" si="6"/>
        <v>2900</v>
      </c>
    </row>
    <row r="324" spans="1:5" ht="12.75" customHeight="1">
      <c r="A324" s="69">
        <v>46111</v>
      </c>
      <c r="B324" s="144" t="s">
        <v>13</v>
      </c>
      <c r="C324" s="79">
        <v>2500</v>
      </c>
      <c r="D324" s="79">
        <v>5000</v>
      </c>
      <c r="E324" s="71">
        <f t="shared" si="6"/>
        <v>2500</v>
      </c>
    </row>
    <row r="325" spans="1:5" ht="12.75" customHeight="1">
      <c r="A325" s="69">
        <v>46111</v>
      </c>
      <c r="B325" s="144" t="s">
        <v>43</v>
      </c>
      <c r="C325" s="79">
        <v>4600</v>
      </c>
      <c r="D325" s="79">
        <v>8000</v>
      </c>
      <c r="E325" s="71">
        <f t="shared" si="6"/>
        <v>3400</v>
      </c>
    </row>
    <row r="326" spans="1:5" ht="12.75" customHeight="1">
      <c r="A326" s="69">
        <v>46111</v>
      </c>
      <c r="B326" s="144" t="s">
        <v>43</v>
      </c>
      <c r="C326" s="79">
        <v>4600</v>
      </c>
      <c r="D326" s="79">
        <v>10000</v>
      </c>
      <c r="E326" s="71">
        <f t="shared" si="6"/>
        <v>5400</v>
      </c>
    </row>
    <row r="327" spans="1:5" ht="12.75" customHeight="1">
      <c r="A327" s="69">
        <v>46111</v>
      </c>
      <c r="B327" s="144" t="s">
        <v>25</v>
      </c>
      <c r="C327" s="79">
        <v>2000</v>
      </c>
      <c r="D327" s="79">
        <v>8000</v>
      </c>
      <c r="E327" s="71">
        <f t="shared" si="6"/>
        <v>6000</v>
      </c>
    </row>
    <row r="328" spans="1:5" ht="12.75" customHeight="1">
      <c r="A328" s="69">
        <v>46112</v>
      </c>
      <c r="B328" s="144" t="s">
        <v>25</v>
      </c>
      <c r="C328" s="79">
        <v>2000</v>
      </c>
      <c r="D328" s="79">
        <v>8000</v>
      </c>
      <c r="E328" s="71">
        <f t="shared" si="6"/>
        <v>6000</v>
      </c>
    </row>
    <row r="329" spans="1:5" ht="12.75" customHeight="1">
      <c r="A329" s="69">
        <v>46114</v>
      </c>
      <c r="B329" s="144" t="s">
        <v>19</v>
      </c>
      <c r="C329" s="79">
        <v>8000</v>
      </c>
      <c r="D329" s="79">
        <v>20000</v>
      </c>
      <c r="E329" s="71">
        <f t="shared" si="6"/>
        <v>12000</v>
      </c>
    </row>
    <row r="330" spans="1:5" ht="12.75" customHeight="1">
      <c r="A330" s="69">
        <v>46114</v>
      </c>
      <c r="B330" s="144" t="s">
        <v>25</v>
      </c>
      <c r="C330" s="79">
        <v>2000</v>
      </c>
      <c r="D330" s="79">
        <v>8000</v>
      </c>
      <c r="E330" s="71">
        <f t="shared" si="6"/>
        <v>6000</v>
      </c>
    </row>
    <row r="331" spans="1:5" ht="12.75" customHeight="1">
      <c r="A331" s="69">
        <v>46115</v>
      </c>
      <c r="B331" s="144" t="s">
        <v>17</v>
      </c>
      <c r="C331" s="79">
        <v>6100</v>
      </c>
      <c r="D331" s="79">
        <v>6500</v>
      </c>
      <c r="E331" s="71">
        <f t="shared" si="6"/>
        <v>400</v>
      </c>
    </row>
    <row r="332" spans="1:5" ht="12.75" customHeight="1">
      <c r="A332" s="69">
        <v>46114</v>
      </c>
      <c r="B332" s="144" t="s">
        <v>17</v>
      </c>
      <c r="C332" s="79">
        <v>6100</v>
      </c>
      <c r="D332" s="79">
        <v>6500</v>
      </c>
      <c r="E332" s="71">
        <f t="shared" si="6"/>
        <v>400</v>
      </c>
    </row>
    <row r="333" spans="1:5" ht="12.75" customHeight="1">
      <c r="A333" s="69">
        <v>46115</v>
      </c>
      <c r="B333" s="144" t="s">
        <v>13</v>
      </c>
      <c r="C333" s="79">
        <v>2500</v>
      </c>
      <c r="D333" s="79">
        <v>8000</v>
      </c>
      <c r="E333" s="71">
        <f t="shared" si="6"/>
        <v>5500</v>
      </c>
    </row>
    <row r="334" spans="1:5" ht="12.75" customHeight="1">
      <c r="A334" s="69">
        <v>46114</v>
      </c>
      <c r="B334" s="144" t="s">
        <v>22</v>
      </c>
      <c r="C334" s="79">
        <v>9000</v>
      </c>
      <c r="D334" s="79">
        <v>12000</v>
      </c>
      <c r="E334" s="71">
        <f t="shared" si="6"/>
        <v>3000</v>
      </c>
    </row>
    <row r="335" spans="1:5" ht="12.75" customHeight="1">
      <c r="A335" s="69">
        <v>46115</v>
      </c>
      <c r="B335" s="144" t="s">
        <v>17</v>
      </c>
      <c r="C335" s="79">
        <v>6100</v>
      </c>
      <c r="D335" s="79">
        <v>6500</v>
      </c>
      <c r="E335" s="71">
        <f t="shared" si="6"/>
        <v>400</v>
      </c>
    </row>
    <row r="336" spans="1:5" ht="12.75" customHeight="1">
      <c r="A336" s="69">
        <v>46114</v>
      </c>
      <c r="B336" s="144" t="s">
        <v>25</v>
      </c>
      <c r="C336" s="79">
        <v>2000</v>
      </c>
      <c r="D336" s="79">
        <v>5000</v>
      </c>
      <c r="E336" s="71">
        <f t="shared" si="6"/>
        <v>3000</v>
      </c>
    </row>
    <row r="337" spans="1:5" ht="12.75" customHeight="1">
      <c r="A337" s="69">
        <v>46114</v>
      </c>
      <c r="B337" s="144" t="s">
        <v>43</v>
      </c>
      <c r="C337" s="79">
        <v>7000</v>
      </c>
      <c r="D337" s="79">
        <v>8000</v>
      </c>
      <c r="E337" s="71">
        <f t="shared" si="6"/>
        <v>1000</v>
      </c>
    </row>
    <row r="338" spans="1:5" ht="12.75" customHeight="1">
      <c r="A338" s="69">
        <v>46114</v>
      </c>
      <c r="B338" s="144" t="s">
        <v>22</v>
      </c>
      <c r="C338" s="79">
        <v>9000</v>
      </c>
      <c r="D338" s="79">
        <v>11000</v>
      </c>
      <c r="E338" s="71">
        <f t="shared" si="6"/>
        <v>2000</v>
      </c>
    </row>
    <row r="339" spans="1:5" ht="12.75" customHeight="1">
      <c r="A339" s="69">
        <v>46114</v>
      </c>
      <c r="B339" s="144" t="s">
        <v>25</v>
      </c>
      <c r="C339" s="79">
        <v>2000</v>
      </c>
      <c r="D339" s="79">
        <v>8000</v>
      </c>
      <c r="E339" s="71">
        <f t="shared" si="6"/>
        <v>6000</v>
      </c>
    </row>
    <row r="340" spans="1:5" ht="12.75" customHeight="1">
      <c r="A340" s="69">
        <v>46115</v>
      </c>
      <c r="B340" s="144" t="s">
        <v>17</v>
      </c>
      <c r="C340" s="79">
        <v>6100</v>
      </c>
      <c r="D340" s="79">
        <v>9000</v>
      </c>
      <c r="E340" s="71">
        <f t="shared" si="6"/>
        <v>2900</v>
      </c>
    </row>
    <row r="341" spans="1:5" ht="12.75" customHeight="1">
      <c r="A341" s="69">
        <v>46116</v>
      </c>
      <c r="B341" s="144" t="s">
        <v>43</v>
      </c>
      <c r="C341" s="79">
        <v>7000</v>
      </c>
      <c r="D341" s="79">
        <v>10000</v>
      </c>
      <c r="E341" s="71">
        <f t="shared" si="6"/>
        <v>3000</v>
      </c>
    </row>
    <row r="342" spans="1:5" ht="12.75" customHeight="1">
      <c r="A342" s="69">
        <v>46118</v>
      </c>
      <c r="B342" s="144" t="s">
        <v>22</v>
      </c>
      <c r="C342" s="79">
        <v>9000</v>
      </c>
      <c r="D342" s="79">
        <v>12000</v>
      </c>
      <c r="E342" s="71">
        <f t="shared" si="6"/>
        <v>3000</v>
      </c>
    </row>
    <row r="343" spans="1:5" ht="12.75" customHeight="1">
      <c r="A343" s="69">
        <v>46119</v>
      </c>
      <c r="B343" s="144" t="s">
        <v>43</v>
      </c>
      <c r="C343" s="79">
        <v>6000</v>
      </c>
      <c r="D343" s="79">
        <v>10000</v>
      </c>
      <c r="E343" s="71">
        <f t="shared" si="6"/>
        <v>4000</v>
      </c>
    </row>
    <row r="344" spans="1:5" ht="12.75" customHeight="1">
      <c r="A344" s="69">
        <v>46120</v>
      </c>
      <c r="B344" s="144" t="s">
        <v>22</v>
      </c>
      <c r="C344" s="79">
        <v>9000</v>
      </c>
      <c r="D344" s="79">
        <v>12000</v>
      </c>
      <c r="E344" s="71">
        <f t="shared" si="6"/>
        <v>3000</v>
      </c>
    </row>
    <row r="345" spans="1:5" ht="12.75" customHeight="1">
      <c r="A345" s="69">
        <v>46120</v>
      </c>
      <c r="B345" s="144" t="s">
        <v>43</v>
      </c>
      <c r="C345" s="79">
        <v>5000</v>
      </c>
      <c r="D345" s="79">
        <v>10000</v>
      </c>
      <c r="E345" s="71">
        <f t="shared" si="6"/>
        <v>5000</v>
      </c>
    </row>
    <row r="346" spans="1:5" ht="12.75" customHeight="1">
      <c r="A346" s="69">
        <v>46120</v>
      </c>
      <c r="B346" s="144" t="s">
        <v>43</v>
      </c>
      <c r="C346" s="79">
        <v>6000</v>
      </c>
      <c r="D346" s="79">
        <v>8000</v>
      </c>
      <c r="E346" s="71">
        <f t="shared" si="6"/>
        <v>2000</v>
      </c>
    </row>
    <row r="347" spans="1:5" ht="12.75" customHeight="1">
      <c r="A347" s="69">
        <v>46120</v>
      </c>
      <c r="B347" s="144" t="s">
        <v>77</v>
      </c>
      <c r="C347" s="79">
        <v>1500</v>
      </c>
      <c r="D347" s="79">
        <v>5000</v>
      </c>
      <c r="E347" s="71">
        <f t="shared" si="6"/>
        <v>3500</v>
      </c>
    </row>
    <row r="348" spans="1:5" ht="12.75" customHeight="1">
      <c r="A348" s="69">
        <v>46119</v>
      </c>
      <c r="B348" s="144" t="s">
        <v>13</v>
      </c>
      <c r="C348" s="79">
        <v>2500</v>
      </c>
      <c r="D348" s="79">
        <v>8000</v>
      </c>
      <c r="E348" s="71">
        <f t="shared" si="6"/>
        <v>5500</v>
      </c>
    </row>
    <row r="349" spans="1:5" ht="12.75" customHeight="1">
      <c r="A349" s="69">
        <v>46119</v>
      </c>
      <c r="B349" s="144" t="s">
        <v>43</v>
      </c>
      <c r="C349" s="79">
        <v>5000</v>
      </c>
      <c r="D349" s="79">
        <v>10000</v>
      </c>
      <c r="E349" s="71">
        <f t="shared" si="6"/>
        <v>5000</v>
      </c>
    </row>
    <row r="350" spans="1:5" ht="12.75" customHeight="1">
      <c r="A350" s="69">
        <v>46119</v>
      </c>
      <c r="B350" s="144" t="s">
        <v>19</v>
      </c>
      <c r="C350" s="79">
        <v>12990</v>
      </c>
      <c r="D350" s="79">
        <v>25000</v>
      </c>
      <c r="E350" s="71">
        <f t="shared" si="6"/>
        <v>12010</v>
      </c>
    </row>
    <row r="351" spans="1:5" ht="12.75" customHeight="1">
      <c r="A351" s="69">
        <v>46120</v>
      </c>
      <c r="B351" s="144" t="s">
        <v>22</v>
      </c>
      <c r="C351" s="79">
        <v>9000</v>
      </c>
      <c r="D351" s="79">
        <v>12000</v>
      </c>
      <c r="E351" s="71">
        <f t="shared" si="6"/>
        <v>3000</v>
      </c>
    </row>
    <row r="352" spans="1:5" ht="12.75" customHeight="1">
      <c r="A352" s="69">
        <v>46122</v>
      </c>
      <c r="B352" s="144" t="s">
        <v>25</v>
      </c>
      <c r="C352" s="79">
        <v>2000</v>
      </c>
      <c r="D352" s="79">
        <v>8000</v>
      </c>
      <c r="E352" s="71">
        <f t="shared" si="6"/>
        <v>6000</v>
      </c>
    </row>
    <row r="353" spans="1:5" ht="12.75" customHeight="1">
      <c r="A353" s="69">
        <v>46122</v>
      </c>
      <c r="B353" s="144" t="s">
        <v>1361</v>
      </c>
      <c r="C353" s="79">
        <v>2000</v>
      </c>
      <c r="D353" s="79">
        <v>8000</v>
      </c>
      <c r="E353" s="71">
        <f t="shared" si="6"/>
        <v>6000</v>
      </c>
    </row>
    <row r="354" spans="1:5" ht="12.75" customHeight="1">
      <c r="A354" s="69">
        <v>46122</v>
      </c>
      <c r="B354" s="144" t="s">
        <v>17</v>
      </c>
      <c r="C354" s="79">
        <v>6100</v>
      </c>
      <c r="D354" s="79">
        <v>9000</v>
      </c>
      <c r="E354" s="71">
        <f t="shared" si="6"/>
        <v>2900</v>
      </c>
    </row>
    <row r="355" spans="1:5" ht="12.75" customHeight="1">
      <c r="A355" s="69">
        <v>46122</v>
      </c>
      <c r="B355" s="144" t="s">
        <v>25</v>
      </c>
      <c r="C355" s="79">
        <v>2000</v>
      </c>
      <c r="D355" s="79">
        <v>8000</v>
      </c>
      <c r="E355" s="71">
        <f t="shared" si="6"/>
        <v>6000</v>
      </c>
    </row>
    <row r="356" spans="1:5" ht="12.75" customHeight="1">
      <c r="A356" s="69">
        <v>46123</v>
      </c>
      <c r="B356" s="144" t="s">
        <v>22</v>
      </c>
      <c r="C356" s="79">
        <v>9000</v>
      </c>
      <c r="D356" s="79">
        <v>12000</v>
      </c>
      <c r="E356" s="71">
        <f t="shared" si="6"/>
        <v>3000</v>
      </c>
    </row>
    <row r="357" spans="1:5" ht="12.75" customHeight="1">
      <c r="A357" s="69">
        <v>46124</v>
      </c>
      <c r="B357" s="144" t="s">
        <v>25</v>
      </c>
      <c r="C357" s="79">
        <v>2000</v>
      </c>
      <c r="D357" s="79">
        <v>8000</v>
      </c>
      <c r="E357" s="71">
        <f t="shared" si="6"/>
        <v>6000</v>
      </c>
    </row>
    <row r="358" spans="1:5" ht="12.75" customHeight="1">
      <c r="A358" s="69">
        <v>46125</v>
      </c>
      <c r="B358" s="144" t="s">
        <v>25</v>
      </c>
      <c r="C358" s="79">
        <v>1900</v>
      </c>
      <c r="D358" s="79">
        <v>8000</v>
      </c>
      <c r="E358" s="71">
        <f t="shared" si="6"/>
        <v>6100</v>
      </c>
    </row>
    <row r="359" spans="1:5" ht="12.75" customHeight="1">
      <c r="A359" s="69">
        <v>46124</v>
      </c>
      <c r="B359" s="144" t="s">
        <v>25</v>
      </c>
      <c r="C359" s="79">
        <v>1900</v>
      </c>
      <c r="D359" s="79">
        <v>8000</v>
      </c>
      <c r="E359" s="71">
        <f t="shared" si="6"/>
        <v>6100</v>
      </c>
    </row>
    <row r="360" spans="1:5" ht="12.75" customHeight="1">
      <c r="A360" s="69">
        <v>46125</v>
      </c>
      <c r="B360" s="144" t="s">
        <v>25</v>
      </c>
      <c r="C360" s="79">
        <v>1900</v>
      </c>
      <c r="D360" s="79">
        <v>12000</v>
      </c>
      <c r="E360" s="71">
        <f t="shared" si="6"/>
        <v>10100</v>
      </c>
    </row>
    <row r="361" spans="1:5" ht="12.75" customHeight="1">
      <c r="A361" s="69">
        <v>46126</v>
      </c>
      <c r="B361" s="144" t="s">
        <v>22</v>
      </c>
      <c r="C361" s="79">
        <v>9000</v>
      </c>
      <c r="D361" s="79">
        <v>12000</v>
      </c>
      <c r="E361" s="71">
        <f t="shared" si="6"/>
        <v>3000</v>
      </c>
    </row>
    <row r="362" spans="1:5" ht="12.75" customHeight="1">
      <c r="A362" s="69">
        <v>46126</v>
      </c>
      <c r="B362" t="s">
        <v>13</v>
      </c>
      <c r="C362" s="79">
        <v>2500</v>
      </c>
      <c r="D362" s="79">
        <v>8000</v>
      </c>
      <c r="E362" s="71">
        <f t="shared" si="6"/>
        <v>5500</v>
      </c>
    </row>
    <row r="363" spans="1:5" ht="12.75" customHeight="1">
      <c r="A363" s="69">
        <v>46125</v>
      </c>
      <c r="B363" s="75" t="s">
        <v>22</v>
      </c>
      <c r="C363" s="79">
        <v>9000</v>
      </c>
      <c r="D363" s="79">
        <v>12000</v>
      </c>
      <c r="E363" s="71">
        <f t="shared" si="6"/>
        <v>3000</v>
      </c>
    </row>
    <row r="364" spans="1:5" ht="12.75" customHeight="1">
      <c r="A364" s="69">
        <v>46125</v>
      </c>
      <c r="B364" s="144" t="s">
        <v>22</v>
      </c>
      <c r="C364" s="79">
        <v>9000</v>
      </c>
      <c r="D364" s="79"/>
      <c r="E364" s="71">
        <f t="shared" si="6"/>
        <v>-9000</v>
      </c>
    </row>
    <row r="365" spans="1:5" ht="12.75" customHeight="1">
      <c r="A365" s="69">
        <v>46126</v>
      </c>
      <c r="B365" t="s">
        <v>43</v>
      </c>
      <c r="C365" s="79">
        <v>5490</v>
      </c>
      <c r="D365" s="79">
        <v>10000</v>
      </c>
      <c r="E365" s="71">
        <f t="shared" si="6"/>
        <v>4510</v>
      </c>
    </row>
    <row r="366" spans="1:5" ht="12.75" customHeight="1">
      <c r="A366" s="69">
        <v>46127</v>
      </c>
      <c r="B366" s="75" t="s">
        <v>25</v>
      </c>
      <c r="C366" s="79">
        <v>1900</v>
      </c>
      <c r="D366" s="79">
        <v>8000</v>
      </c>
      <c r="E366" s="71">
        <f t="shared" si="6"/>
        <v>6100</v>
      </c>
    </row>
    <row r="367" spans="1:5" ht="12.75" customHeight="1">
      <c r="A367" s="69">
        <v>46127</v>
      </c>
      <c r="B367" s="75" t="s">
        <v>25</v>
      </c>
      <c r="C367" s="79">
        <v>1900</v>
      </c>
      <c r="D367" s="79">
        <v>5000</v>
      </c>
      <c r="E367" s="71">
        <f t="shared" si="6"/>
        <v>3100</v>
      </c>
    </row>
    <row r="368" spans="1:5" ht="12.75" customHeight="1">
      <c r="A368" s="69">
        <v>46127</v>
      </c>
      <c r="B368" s="75" t="s">
        <v>22</v>
      </c>
      <c r="C368" s="79">
        <v>9000</v>
      </c>
      <c r="D368" s="79">
        <v>11000</v>
      </c>
      <c r="E368" s="71">
        <f t="shared" si="6"/>
        <v>2000</v>
      </c>
    </row>
    <row r="369" spans="1:5" ht="12.75" customHeight="1">
      <c r="A369" s="69">
        <v>46127</v>
      </c>
      <c r="B369" s="144" t="s">
        <v>43</v>
      </c>
      <c r="C369" s="79">
        <v>5490</v>
      </c>
      <c r="D369" s="79">
        <v>10000</v>
      </c>
      <c r="E369" s="71">
        <f t="shared" si="6"/>
        <v>4510</v>
      </c>
    </row>
    <row r="370" spans="1:5" ht="12.75" customHeight="1">
      <c r="A370" s="69">
        <v>46127</v>
      </c>
      <c r="B370" t="s">
        <v>263</v>
      </c>
      <c r="C370" s="79">
        <v>500</v>
      </c>
      <c r="D370" s="79">
        <v>6000</v>
      </c>
      <c r="E370" s="71">
        <f t="shared" si="6"/>
        <v>5500</v>
      </c>
    </row>
    <row r="371" spans="1:5" ht="12.75" customHeight="1">
      <c r="A371" s="69">
        <v>46127</v>
      </c>
      <c r="B371" t="s">
        <v>25</v>
      </c>
      <c r="C371" s="79">
        <v>1900</v>
      </c>
      <c r="D371" s="79">
        <v>8000</v>
      </c>
      <c r="E371" s="71">
        <f t="shared" si="6"/>
        <v>6100</v>
      </c>
    </row>
    <row r="372" spans="1:5" ht="12.75" customHeight="1">
      <c r="A372" s="69">
        <v>46127</v>
      </c>
      <c r="B372" t="s">
        <v>17</v>
      </c>
      <c r="C372" s="79">
        <v>6100</v>
      </c>
      <c r="D372" s="79">
        <v>9000</v>
      </c>
      <c r="E372" s="71">
        <f t="shared" si="6"/>
        <v>2900</v>
      </c>
    </row>
    <row r="373" spans="1:5" ht="12.75" customHeight="1">
      <c r="A373" s="69">
        <v>46127</v>
      </c>
      <c r="B373" t="s">
        <v>22</v>
      </c>
      <c r="C373" s="79">
        <v>9000</v>
      </c>
      <c r="D373" s="79">
        <v>11000</v>
      </c>
      <c r="E373" s="71">
        <f t="shared" si="6"/>
        <v>2000</v>
      </c>
    </row>
    <row r="374" spans="1:5" ht="12.75" customHeight="1">
      <c r="A374" s="69">
        <v>46127</v>
      </c>
      <c r="B374" t="s">
        <v>13</v>
      </c>
      <c r="C374" s="79">
        <v>2990</v>
      </c>
      <c r="D374" s="79">
        <v>5000</v>
      </c>
      <c r="E374" s="71">
        <f t="shared" si="6"/>
        <v>2010</v>
      </c>
    </row>
    <row r="375" spans="1:5" ht="12.75" customHeight="1">
      <c r="A375" s="69">
        <v>46127</v>
      </c>
      <c r="B375" s="75" t="s">
        <v>25</v>
      </c>
      <c r="C375" s="79">
        <v>1900</v>
      </c>
      <c r="D375" s="79">
        <v>8000</v>
      </c>
      <c r="E375" s="71">
        <f t="shared" si="6"/>
        <v>6100</v>
      </c>
    </row>
    <row r="376" spans="1:5" ht="12.75" customHeight="1">
      <c r="A376" s="69">
        <v>46127</v>
      </c>
      <c r="B376" t="s">
        <v>17</v>
      </c>
      <c r="C376" s="79">
        <v>6100</v>
      </c>
      <c r="D376" s="79">
        <v>9000</v>
      </c>
      <c r="E376" s="71">
        <f t="shared" si="6"/>
        <v>2900</v>
      </c>
    </row>
    <row r="377" spans="1:5" ht="12.75" customHeight="1">
      <c r="A377" s="69">
        <v>46128</v>
      </c>
      <c r="B377" t="s">
        <v>22</v>
      </c>
      <c r="C377" s="79">
        <v>9000</v>
      </c>
      <c r="D377" s="79">
        <v>11000</v>
      </c>
      <c r="E377" s="71">
        <f t="shared" si="6"/>
        <v>2000</v>
      </c>
    </row>
    <row r="378" spans="1:5" ht="12.75" customHeight="1">
      <c r="A378" s="69">
        <v>46128</v>
      </c>
      <c r="B378" t="s">
        <v>43</v>
      </c>
      <c r="C378" s="79">
        <v>5490</v>
      </c>
      <c r="D378" s="79">
        <v>8000</v>
      </c>
      <c r="E378" s="71">
        <f t="shared" si="6"/>
        <v>2510</v>
      </c>
    </row>
    <row r="379" spans="1:5" ht="12.75" customHeight="1">
      <c r="A379" s="69">
        <v>46129</v>
      </c>
      <c r="B379" t="s">
        <v>17</v>
      </c>
      <c r="C379" s="79">
        <v>6100</v>
      </c>
      <c r="D379" s="79">
        <v>9000</v>
      </c>
      <c r="E379" s="71">
        <f t="shared" si="6"/>
        <v>2900</v>
      </c>
    </row>
    <row r="380" spans="1:5" ht="12.75" customHeight="1">
      <c r="A380" s="69">
        <v>46129</v>
      </c>
      <c r="B380" t="s">
        <v>13</v>
      </c>
      <c r="C380" s="79">
        <v>2500</v>
      </c>
      <c r="D380" s="79">
        <v>8000</v>
      </c>
      <c r="E380" s="71">
        <f t="shared" si="6"/>
        <v>5500</v>
      </c>
    </row>
    <row r="381" spans="1:5" ht="12.75" customHeight="1">
      <c r="A381" s="69">
        <v>46130</v>
      </c>
      <c r="B381" s="75" t="s">
        <v>22</v>
      </c>
      <c r="C381" s="79">
        <v>6800</v>
      </c>
      <c r="D381" s="79">
        <v>10000</v>
      </c>
      <c r="E381" s="71">
        <f t="shared" si="6"/>
        <v>3200</v>
      </c>
    </row>
    <row r="382" spans="1:5" ht="12.75" customHeight="1">
      <c r="A382" s="69">
        <v>46131</v>
      </c>
      <c r="B382" s="75" t="s">
        <v>22</v>
      </c>
      <c r="C382" s="79">
        <v>13600</v>
      </c>
      <c r="D382" s="79">
        <v>22000</v>
      </c>
      <c r="E382" s="71">
        <f t="shared" si="6"/>
        <v>8400</v>
      </c>
    </row>
    <row r="383" spans="1:5" ht="12.75" customHeight="1">
      <c r="A383" s="69">
        <v>46132</v>
      </c>
      <c r="B383" s="75" t="s">
        <v>22</v>
      </c>
      <c r="C383" s="79">
        <v>6800</v>
      </c>
      <c r="D383" s="79">
        <v>10000</v>
      </c>
      <c r="E383" s="71">
        <f t="shared" si="6"/>
        <v>3200</v>
      </c>
    </row>
    <row r="384" spans="1:5" ht="12.75" customHeight="1">
      <c r="A384" s="69">
        <v>46129</v>
      </c>
      <c r="B384" s="75" t="s">
        <v>22</v>
      </c>
      <c r="C384" s="79">
        <v>13600</v>
      </c>
      <c r="D384" s="79">
        <v>22000</v>
      </c>
      <c r="E384" s="71">
        <f t="shared" si="6"/>
        <v>8400</v>
      </c>
    </row>
    <row r="385" spans="1:5" ht="12.75" customHeight="1">
      <c r="A385" s="69">
        <v>46132</v>
      </c>
      <c r="B385" s="75" t="s">
        <v>22</v>
      </c>
      <c r="C385" s="79">
        <v>6800</v>
      </c>
      <c r="D385" s="79">
        <v>11000</v>
      </c>
      <c r="E385" s="71">
        <f t="shared" si="6"/>
        <v>4200</v>
      </c>
    </row>
    <row r="386" spans="1:5" ht="12.75" customHeight="1">
      <c r="A386" s="69">
        <v>46133</v>
      </c>
      <c r="B386" s="75" t="s">
        <v>22</v>
      </c>
      <c r="C386" s="79">
        <v>6800</v>
      </c>
      <c r="D386" s="79">
        <v>11000</v>
      </c>
      <c r="E386" s="71">
        <f t="shared" ref="E386:E449" si="7">+D386-C386</f>
        <v>4200</v>
      </c>
    </row>
    <row r="387" spans="1:5" ht="12.75" customHeight="1">
      <c r="A387" s="69">
        <v>46133</v>
      </c>
      <c r="B387" t="s">
        <v>43</v>
      </c>
      <c r="C387" s="79">
        <v>5490</v>
      </c>
      <c r="D387" s="79">
        <v>8000</v>
      </c>
      <c r="E387" s="71">
        <f t="shared" si="7"/>
        <v>2510</v>
      </c>
    </row>
    <row r="388" spans="1:5" ht="12.75" customHeight="1">
      <c r="A388" s="69">
        <v>46133</v>
      </c>
      <c r="B388" t="s">
        <v>13</v>
      </c>
      <c r="C388" s="79">
        <v>2500</v>
      </c>
      <c r="D388" s="79">
        <v>5000</v>
      </c>
      <c r="E388" s="71">
        <f t="shared" si="7"/>
        <v>2500</v>
      </c>
    </row>
    <row r="389" spans="1:5" ht="12.75" customHeight="1">
      <c r="A389" s="69">
        <v>46133</v>
      </c>
      <c r="B389" s="75" t="s">
        <v>25</v>
      </c>
      <c r="C389" s="79">
        <v>1900</v>
      </c>
      <c r="D389" s="79">
        <v>5000</v>
      </c>
      <c r="E389" s="71">
        <f t="shared" si="7"/>
        <v>3100</v>
      </c>
    </row>
    <row r="390" spans="1:5" ht="12.75" customHeight="1">
      <c r="A390" s="69">
        <v>46133</v>
      </c>
      <c r="B390" s="75" t="s">
        <v>22</v>
      </c>
      <c r="C390" s="79">
        <v>6800</v>
      </c>
      <c r="D390" s="79">
        <v>12000</v>
      </c>
      <c r="E390" s="71">
        <f t="shared" si="7"/>
        <v>5200</v>
      </c>
    </row>
    <row r="391" spans="1:5" ht="12.75" customHeight="1">
      <c r="A391" s="69">
        <v>46133</v>
      </c>
      <c r="B391" t="s">
        <v>17</v>
      </c>
      <c r="C391" s="79">
        <v>6100</v>
      </c>
      <c r="D391" s="79">
        <v>9000</v>
      </c>
      <c r="E391" s="71">
        <f t="shared" si="7"/>
        <v>2900</v>
      </c>
    </row>
    <row r="392" spans="1:5" ht="12.75" customHeight="1">
      <c r="A392" s="69">
        <v>46133</v>
      </c>
      <c r="B392" t="s">
        <v>43</v>
      </c>
      <c r="C392" s="79">
        <v>6000</v>
      </c>
      <c r="D392" s="79">
        <v>10000</v>
      </c>
      <c r="E392" s="71">
        <f t="shared" si="7"/>
        <v>4000</v>
      </c>
    </row>
    <row r="393" spans="1:5" ht="12.75" customHeight="1">
      <c r="A393" s="69">
        <v>46133</v>
      </c>
      <c r="B393" t="s">
        <v>13</v>
      </c>
      <c r="C393" s="79">
        <v>2500</v>
      </c>
      <c r="D393" s="79">
        <v>8000</v>
      </c>
      <c r="E393" s="71">
        <f t="shared" si="7"/>
        <v>5500</v>
      </c>
    </row>
    <row r="394" spans="1:5" ht="12.75" customHeight="1">
      <c r="A394" s="69">
        <v>46133</v>
      </c>
      <c r="B394" s="75" t="s">
        <v>22</v>
      </c>
      <c r="C394" s="79">
        <v>6800</v>
      </c>
      <c r="D394" s="79">
        <v>11000</v>
      </c>
      <c r="E394" s="71">
        <f t="shared" si="7"/>
        <v>4200</v>
      </c>
    </row>
    <row r="395" spans="1:5" ht="12.75" customHeight="1">
      <c r="A395" s="69">
        <v>46133</v>
      </c>
      <c r="B395" s="75" t="s">
        <v>25</v>
      </c>
      <c r="C395" s="79">
        <v>1900</v>
      </c>
      <c r="D395" s="79">
        <v>5000</v>
      </c>
      <c r="E395" s="71">
        <f t="shared" si="7"/>
        <v>3100</v>
      </c>
    </row>
    <row r="396" spans="1:5" ht="12.75" customHeight="1">
      <c r="A396" s="69">
        <v>46133</v>
      </c>
      <c r="B396" s="75" t="s">
        <v>22</v>
      </c>
      <c r="C396" s="79">
        <v>6800</v>
      </c>
      <c r="D396" s="79">
        <v>12000</v>
      </c>
      <c r="E396" s="71">
        <f t="shared" si="7"/>
        <v>5200</v>
      </c>
    </row>
    <row r="397" spans="1:5" ht="12.75" customHeight="1">
      <c r="A397" s="69">
        <v>46133</v>
      </c>
      <c r="B397" t="s">
        <v>43</v>
      </c>
      <c r="C397" s="79">
        <v>6000</v>
      </c>
      <c r="D397" s="79">
        <v>10000</v>
      </c>
      <c r="E397" s="71">
        <f t="shared" si="7"/>
        <v>4000</v>
      </c>
    </row>
    <row r="398" spans="1:5" ht="12.75" customHeight="1">
      <c r="A398" s="69">
        <v>46133</v>
      </c>
      <c r="B398" s="75" t="s">
        <v>22</v>
      </c>
      <c r="C398" s="79">
        <v>6800</v>
      </c>
      <c r="D398" s="79">
        <v>12000</v>
      </c>
      <c r="E398" s="71">
        <f t="shared" si="7"/>
        <v>5200</v>
      </c>
    </row>
    <row r="399" spans="1:5" ht="12.75" customHeight="1">
      <c r="A399" s="69">
        <v>46134</v>
      </c>
      <c r="B399" s="75" t="s">
        <v>1366</v>
      </c>
      <c r="C399" s="79">
        <v>9500</v>
      </c>
      <c r="D399" s="79">
        <v>20000</v>
      </c>
      <c r="E399" s="71">
        <f t="shared" si="7"/>
        <v>10500</v>
      </c>
    </row>
    <row r="400" spans="1:5" ht="12.75" customHeight="1">
      <c r="A400" s="69">
        <v>46134</v>
      </c>
      <c r="B400" t="s">
        <v>17</v>
      </c>
      <c r="C400" s="79">
        <v>6100</v>
      </c>
      <c r="D400" s="79">
        <v>6500</v>
      </c>
      <c r="E400" s="71">
        <f t="shared" si="7"/>
        <v>400</v>
      </c>
    </row>
    <row r="401" spans="1:5" ht="12.75" customHeight="1">
      <c r="A401" s="69">
        <v>46134</v>
      </c>
      <c r="B401" t="s">
        <v>17</v>
      </c>
      <c r="C401" s="79">
        <v>6100</v>
      </c>
      <c r="D401" s="79">
        <v>6500</v>
      </c>
      <c r="E401" s="71">
        <f t="shared" si="7"/>
        <v>400</v>
      </c>
    </row>
    <row r="402" spans="1:5" ht="12.75" customHeight="1">
      <c r="A402" s="69">
        <v>46134</v>
      </c>
      <c r="B402" s="75" t="s">
        <v>19</v>
      </c>
      <c r="C402" s="79">
        <v>9500</v>
      </c>
      <c r="D402" s="79">
        <v>20000</v>
      </c>
      <c r="E402" s="71">
        <f t="shared" si="7"/>
        <v>10500</v>
      </c>
    </row>
    <row r="403" spans="1:5" ht="12.75" customHeight="1">
      <c r="A403" s="69">
        <v>46135</v>
      </c>
      <c r="B403" s="75" t="s">
        <v>25</v>
      </c>
      <c r="C403" s="79">
        <v>1900</v>
      </c>
      <c r="D403" s="79">
        <v>8000</v>
      </c>
      <c r="E403" s="71">
        <f t="shared" si="7"/>
        <v>6100</v>
      </c>
    </row>
    <row r="404" spans="1:5" ht="12.75" customHeight="1">
      <c r="A404" s="69">
        <v>46135</v>
      </c>
      <c r="B404" t="s">
        <v>17</v>
      </c>
      <c r="C404" s="79">
        <v>6100</v>
      </c>
      <c r="D404" s="79">
        <v>9000</v>
      </c>
      <c r="E404" s="71">
        <f t="shared" si="7"/>
        <v>2900</v>
      </c>
    </row>
    <row r="405" spans="1:5" ht="12.75" customHeight="1">
      <c r="A405" s="69">
        <v>46136</v>
      </c>
      <c r="B405" s="75" t="s">
        <v>19</v>
      </c>
      <c r="C405" s="79">
        <v>9500</v>
      </c>
      <c r="D405" s="79">
        <v>20000</v>
      </c>
      <c r="E405" s="71">
        <f t="shared" si="7"/>
        <v>10500</v>
      </c>
    </row>
    <row r="406" spans="1:5" ht="12.75" customHeight="1">
      <c r="A406" s="69">
        <v>46136</v>
      </c>
      <c r="B406" s="75" t="s">
        <v>22</v>
      </c>
      <c r="C406" s="79">
        <v>6800</v>
      </c>
      <c r="D406" s="79">
        <v>12000</v>
      </c>
      <c r="E406" s="71">
        <f t="shared" si="7"/>
        <v>5200</v>
      </c>
    </row>
    <row r="407" spans="1:5" ht="12.75" customHeight="1">
      <c r="A407" s="69">
        <v>46136</v>
      </c>
      <c r="B407" s="75" t="s">
        <v>22</v>
      </c>
      <c r="C407" s="79">
        <v>6800</v>
      </c>
      <c r="D407" s="79">
        <v>12000</v>
      </c>
      <c r="E407" s="71">
        <f t="shared" si="7"/>
        <v>5200</v>
      </c>
    </row>
    <row r="408" spans="1:5" ht="12.75" customHeight="1">
      <c r="A408" s="69">
        <v>46138</v>
      </c>
      <c r="B408" s="75" t="s">
        <v>65</v>
      </c>
      <c r="C408" s="79">
        <v>2000</v>
      </c>
      <c r="D408" s="79">
        <v>6000</v>
      </c>
      <c r="E408" s="71">
        <f t="shared" si="7"/>
        <v>4000</v>
      </c>
    </row>
    <row r="409" spans="1:5" ht="12" customHeight="1">
      <c r="A409" s="69">
        <v>46139</v>
      </c>
      <c r="B409" s="75" t="s">
        <v>22</v>
      </c>
      <c r="C409" s="79">
        <v>6800</v>
      </c>
      <c r="D409" s="79">
        <v>11000</v>
      </c>
      <c r="E409" s="71">
        <f t="shared" si="7"/>
        <v>4200</v>
      </c>
    </row>
    <row r="410" spans="1:5" ht="12" customHeight="1">
      <c r="A410" s="69">
        <v>46139</v>
      </c>
      <c r="B410" t="s">
        <v>43</v>
      </c>
      <c r="C410" s="79">
        <v>5500</v>
      </c>
      <c r="D410" s="79">
        <v>8000</v>
      </c>
      <c r="E410" s="71">
        <f t="shared" si="7"/>
        <v>2500</v>
      </c>
    </row>
    <row r="411" spans="1:5" ht="12" customHeight="1">
      <c r="A411" s="69">
        <v>46139</v>
      </c>
      <c r="B411" s="75" t="s">
        <v>22</v>
      </c>
      <c r="C411" s="79">
        <v>6800</v>
      </c>
      <c r="D411" s="79">
        <v>12000</v>
      </c>
      <c r="E411" s="71">
        <f t="shared" si="7"/>
        <v>5200</v>
      </c>
    </row>
    <row r="412" spans="1:5" ht="12" customHeight="1">
      <c r="A412" s="69">
        <v>46139</v>
      </c>
      <c r="B412" t="s">
        <v>43</v>
      </c>
      <c r="C412" s="79">
        <v>5500</v>
      </c>
      <c r="D412" s="79">
        <v>10000</v>
      </c>
      <c r="E412" s="71">
        <f t="shared" si="7"/>
        <v>4500</v>
      </c>
    </row>
    <row r="413" spans="1:5" ht="12" customHeight="1">
      <c r="A413" s="69">
        <v>46139</v>
      </c>
      <c r="B413" s="75" t="s">
        <v>17</v>
      </c>
      <c r="C413" s="79">
        <v>6100</v>
      </c>
      <c r="D413" s="79">
        <v>9000</v>
      </c>
      <c r="E413" s="71">
        <f t="shared" si="7"/>
        <v>2900</v>
      </c>
    </row>
    <row r="414" spans="1:5" ht="12" customHeight="1">
      <c r="A414" s="69">
        <v>46139</v>
      </c>
      <c r="B414" t="s">
        <v>43</v>
      </c>
      <c r="C414" s="79">
        <v>6000</v>
      </c>
      <c r="D414" s="79">
        <v>10000</v>
      </c>
      <c r="E414" s="71">
        <f t="shared" si="7"/>
        <v>4000</v>
      </c>
    </row>
    <row r="415" spans="1:5" ht="12" customHeight="1">
      <c r="A415" s="69">
        <v>46139</v>
      </c>
      <c r="B415" s="75" t="s">
        <v>25</v>
      </c>
      <c r="C415" s="79">
        <v>2000</v>
      </c>
      <c r="D415" s="79">
        <v>5000</v>
      </c>
      <c r="E415" s="71">
        <f t="shared" si="7"/>
        <v>3000</v>
      </c>
    </row>
    <row r="416" spans="1:5" ht="12" customHeight="1">
      <c r="A416" s="69">
        <v>46139</v>
      </c>
      <c r="B416" t="s">
        <v>43</v>
      </c>
      <c r="C416" s="79">
        <v>6000</v>
      </c>
      <c r="D416" s="79">
        <v>8000</v>
      </c>
      <c r="E416" s="71">
        <f t="shared" si="7"/>
        <v>2000</v>
      </c>
    </row>
    <row r="417" spans="1:5" ht="12" customHeight="1">
      <c r="A417" s="69">
        <v>46139</v>
      </c>
      <c r="B417" s="75" t="s">
        <v>22</v>
      </c>
      <c r="C417" s="79">
        <v>6800</v>
      </c>
      <c r="D417" s="79">
        <v>11000</v>
      </c>
      <c r="E417" s="71">
        <f t="shared" si="7"/>
        <v>4200</v>
      </c>
    </row>
    <row r="418" spans="1:5" ht="12" customHeight="1">
      <c r="A418" s="69">
        <v>46139</v>
      </c>
      <c r="B418" s="75" t="s">
        <v>1367</v>
      </c>
      <c r="C418" s="79">
        <v>2500</v>
      </c>
      <c r="D418" s="79">
        <v>5000</v>
      </c>
      <c r="E418" s="71">
        <f t="shared" si="7"/>
        <v>2500</v>
      </c>
    </row>
    <row r="419" spans="1:5" ht="12" customHeight="1">
      <c r="A419" s="69">
        <v>46139</v>
      </c>
      <c r="B419" s="75" t="s">
        <v>22</v>
      </c>
      <c r="C419" s="79">
        <v>6800</v>
      </c>
      <c r="D419" s="79">
        <v>12000</v>
      </c>
      <c r="E419" s="71">
        <f t="shared" si="7"/>
        <v>5200</v>
      </c>
    </row>
    <row r="420" spans="1:5" ht="12" customHeight="1">
      <c r="A420" s="69">
        <v>46140</v>
      </c>
      <c r="B420" s="75" t="s">
        <v>17</v>
      </c>
      <c r="C420" s="79">
        <v>6100</v>
      </c>
      <c r="D420" s="79">
        <v>9000</v>
      </c>
      <c r="E420" s="71">
        <f t="shared" si="7"/>
        <v>2900</v>
      </c>
    </row>
    <row r="421" spans="1:5" ht="12" customHeight="1">
      <c r="A421" s="69">
        <v>46140</v>
      </c>
      <c r="B421" s="75" t="s">
        <v>1367</v>
      </c>
      <c r="C421" s="79">
        <v>2500</v>
      </c>
      <c r="D421" s="79">
        <v>8000</v>
      </c>
      <c r="E421" s="71">
        <f t="shared" si="7"/>
        <v>5500</v>
      </c>
    </row>
    <row r="422" spans="1:5" ht="12" customHeight="1">
      <c r="A422" s="69">
        <v>46140</v>
      </c>
      <c r="B422" s="75" t="s">
        <v>65</v>
      </c>
      <c r="C422" s="79">
        <v>2000</v>
      </c>
      <c r="D422" s="79">
        <v>6000</v>
      </c>
      <c r="E422" s="71">
        <f t="shared" si="7"/>
        <v>4000</v>
      </c>
    </row>
    <row r="423" spans="1:5" ht="12.75" customHeight="1">
      <c r="A423" s="69">
        <v>46141</v>
      </c>
      <c r="B423" s="144" t="s">
        <v>22</v>
      </c>
      <c r="C423" s="79">
        <v>6800</v>
      </c>
      <c r="D423" s="79">
        <v>12000</v>
      </c>
      <c r="E423" s="71">
        <f t="shared" si="7"/>
        <v>5200</v>
      </c>
    </row>
    <row r="424" spans="1:5" ht="12" customHeight="1">
      <c r="A424" s="69">
        <v>46141</v>
      </c>
      <c r="B424" s="75" t="s">
        <v>1367</v>
      </c>
      <c r="C424" s="79">
        <v>2500</v>
      </c>
      <c r="D424" s="79">
        <v>5000</v>
      </c>
      <c r="E424" s="71">
        <f t="shared" si="7"/>
        <v>2500</v>
      </c>
    </row>
    <row r="425" spans="1:5" ht="12.75" customHeight="1">
      <c r="A425" s="69">
        <v>46141</v>
      </c>
      <c r="B425" t="s">
        <v>43</v>
      </c>
      <c r="C425" s="79">
        <v>6000</v>
      </c>
      <c r="D425" s="79">
        <v>8000</v>
      </c>
      <c r="E425" s="71">
        <f t="shared" si="7"/>
        <v>2000</v>
      </c>
    </row>
    <row r="426" spans="1:5" ht="12" customHeight="1">
      <c r="A426" s="69">
        <v>46142</v>
      </c>
      <c r="B426" s="144" t="s">
        <v>25</v>
      </c>
      <c r="C426" s="79">
        <v>1600</v>
      </c>
      <c r="D426" s="79">
        <v>8000</v>
      </c>
      <c r="E426" s="71">
        <f t="shared" si="7"/>
        <v>6400</v>
      </c>
    </row>
    <row r="427" spans="1:5" ht="12.75" customHeight="1">
      <c r="A427" s="69">
        <v>46142</v>
      </c>
      <c r="B427" s="144" t="s">
        <v>25</v>
      </c>
      <c r="C427" s="79">
        <v>1600</v>
      </c>
      <c r="D427" s="79">
        <v>8000</v>
      </c>
      <c r="E427" s="71">
        <f t="shared" si="7"/>
        <v>6400</v>
      </c>
    </row>
    <row r="428" spans="1:5" ht="12" customHeight="1">
      <c r="A428" s="69">
        <v>46143</v>
      </c>
      <c r="B428" s="144" t="s">
        <v>25</v>
      </c>
      <c r="C428" s="79">
        <v>1600</v>
      </c>
      <c r="D428" s="79">
        <v>5000</v>
      </c>
      <c r="E428" s="71">
        <f t="shared" si="7"/>
        <v>3400</v>
      </c>
    </row>
    <row r="429" spans="1:5" ht="12.75" customHeight="1">
      <c r="A429" s="69">
        <v>46143</v>
      </c>
      <c r="B429" s="75" t="s">
        <v>1367</v>
      </c>
      <c r="C429" s="79"/>
      <c r="D429" s="79"/>
      <c r="E429" s="71">
        <f t="shared" si="7"/>
        <v>0</v>
      </c>
    </row>
    <row r="430" spans="1:5" ht="12" customHeight="1">
      <c r="A430" s="69">
        <v>46143</v>
      </c>
      <c r="B430" s="144" t="s">
        <v>25</v>
      </c>
      <c r="C430" s="79">
        <v>1600</v>
      </c>
      <c r="D430" s="79">
        <v>5000</v>
      </c>
      <c r="E430" s="71">
        <f t="shared" si="7"/>
        <v>3400</v>
      </c>
    </row>
    <row r="431" spans="1:5" ht="12.75" customHeight="1">
      <c r="A431" s="69">
        <v>46143</v>
      </c>
      <c r="B431" s="144" t="s">
        <v>22</v>
      </c>
      <c r="C431" s="79">
        <v>6800</v>
      </c>
      <c r="D431" s="79">
        <v>11000</v>
      </c>
      <c r="E431" s="71">
        <f t="shared" si="7"/>
        <v>4200</v>
      </c>
    </row>
    <row r="432" spans="1:5" ht="12" customHeight="1">
      <c r="A432" s="69">
        <v>46143</v>
      </c>
      <c r="B432" s="75" t="s">
        <v>1367</v>
      </c>
      <c r="C432" s="79"/>
      <c r="D432" s="79">
        <v>5000</v>
      </c>
      <c r="E432" s="71">
        <f t="shared" si="7"/>
        <v>5000</v>
      </c>
    </row>
    <row r="433" spans="1:5" ht="12" customHeight="1">
      <c r="A433" s="69">
        <v>46143</v>
      </c>
      <c r="B433" s="144" t="s">
        <v>22</v>
      </c>
      <c r="C433" s="79">
        <v>6800</v>
      </c>
      <c r="D433" s="79">
        <v>12000</v>
      </c>
      <c r="E433" s="71">
        <f t="shared" si="7"/>
        <v>5200</v>
      </c>
    </row>
    <row r="434" spans="1:5" ht="12" customHeight="1">
      <c r="A434" s="69">
        <v>46144</v>
      </c>
      <c r="B434" s="144" t="s">
        <v>25</v>
      </c>
      <c r="C434" s="79">
        <v>1600</v>
      </c>
      <c r="D434" s="79">
        <v>8000</v>
      </c>
      <c r="E434" s="71">
        <f t="shared" si="7"/>
        <v>6400</v>
      </c>
    </row>
    <row r="435" spans="1:5" ht="12" customHeight="1">
      <c r="A435" s="69">
        <v>46144</v>
      </c>
      <c r="B435" s="75" t="s">
        <v>22</v>
      </c>
      <c r="C435" s="79">
        <v>6800</v>
      </c>
      <c r="D435" s="79">
        <v>12000</v>
      </c>
      <c r="E435" s="71">
        <f t="shared" si="7"/>
        <v>5200</v>
      </c>
    </row>
    <row r="436" spans="1:5" ht="12" customHeight="1">
      <c r="A436" s="69">
        <v>46144</v>
      </c>
      <c r="B436" s="75" t="s">
        <v>22</v>
      </c>
      <c r="C436" s="79">
        <v>6800</v>
      </c>
      <c r="D436" s="79">
        <v>12000</v>
      </c>
      <c r="E436" s="71">
        <f t="shared" si="7"/>
        <v>5200</v>
      </c>
    </row>
    <row r="437" spans="1:5" ht="12" customHeight="1">
      <c r="A437" s="69">
        <v>46145</v>
      </c>
      <c r="B437" s="75" t="s">
        <v>17</v>
      </c>
      <c r="C437" s="79">
        <v>6100</v>
      </c>
      <c r="D437" s="79">
        <v>6500</v>
      </c>
      <c r="E437" s="71">
        <f t="shared" si="7"/>
        <v>400</v>
      </c>
    </row>
    <row r="438" spans="1:5" ht="12" customHeight="1">
      <c r="A438" s="69">
        <v>46146</v>
      </c>
      <c r="B438" s="75" t="s">
        <v>22</v>
      </c>
      <c r="C438" s="79">
        <v>6800</v>
      </c>
      <c r="D438" s="79">
        <v>12000</v>
      </c>
      <c r="E438" s="71">
        <f t="shared" si="7"/>
        <v>5200</v>
      </c>
    </row>
    <row r="439" spans="1:5" ht="12" customHeight="1">
      <c r="A439" s="69">
        <v>46145</v>
      </c>
      <c r="B439" s="75" t="s">
        <v>19</v>
      </c>
      <c r="C439" s="79">
        <v>17990</v>
      </c>
      <c r="D439" s="79">
        <v>20000</v>
      </c>
      <c r="E439" s="71">
        <f t="shared" si="7"/>
        <v>2010</v>
      </c>
    </row>
    <row r="440" spans="1:5" ht="12" customHeight="1">
      <c r="A440" s="69">
        <v>46146</v>
      </c>
      <c r="B440" s="144" t="s">
        <v>43</v>
      </c>
      <c r="C440" s="79">
        <v>4000</v>
      </c>
      <c r="D440" s="79">
        <v>10000</v>
      </c>
      <c r="E440" s="71">
        <f t="shared" si="7"/>
        <v>6000</v>
      </c>
    </row>
    <row r="441" spans="1:5" ht="12" customHeight="1">
      <c r="A441" s="69">
        <v>46147</v>
      </c>
      <c r="B441" s="144" t="s">
        <v>43</v>
      </c>
      <c r="C441" s="79">
        <v>5000</v>
      </c>
      <c r="D441" s="79">
        <v>10000</v>
      </c>
      <c r="E441" s="71">
        <f t="shared" si="7"/>
        <v>5000</v>
      </c>
    </row>
    <row r="442" spans="1:5" ht="12" customHeight="1">
      <c r="A442" s="69">
        <v>46146</v>
      </c>
      <c r="B442" s="144" t="s">
        <v>17</v>
      </c>
      <c r="C442" s="79">
        <v>6100</v>
      </c>
      <c r="D442" s="79">
        <v>6500</v>
      </c>
      <c r="E442" s="71">
        <f t="shared" si="7"/>
        <v>400</v>
      </c>
    </row>
    <row r="443" spans="1:5" ht="12" customHeight="1">
      <c r="A443" s="69">
        <v>46149</v>
      </c>
      <c r="B443" s="144" t="s">
        <v>17</v>
      </c>
      <c r="C443" s="79">
        <v>6100</v>
      </c>
      <c r="D443" s="79">
        <v>9000</v>
      </c>
      <c r="E443" s="71">
        <f t="shared" si="7"/>
        <v>2900</v>
      </c>
    </row>
    <row r="444" spans="1:5" ht="12" customHeight="1">
      <c r="A444" s="69">
        <v>46149</v>
      </c>
      <c r="B444" s="144" t="s">
        <v>43</v>
      </c>
      <c r="C444" s="79">
        <v>5000</v>
      </c>
      <c r="D444" s="79">
        <v>10000</v>
      </c>
      <c r="E444" s="71">
        <f t="shared" si="7"/>
        <v>5000</v>
      </c>
    </row>
    <row r="445" spans="1:5" ht="12" customHeight="1">
      <c r="A445" s="69">
        <v>46149</v>
      </c>
      <c r="B445" s="144" t="s">
        <v>43</v>
      </c>
      <c r="C445" s="79">
        <v>6000</v>
      </c>
      <c r="D445" s="79">
        <v>8000</v>
      </c>
      <c r="E445" s="71">
        <f t="shared" si="7"/>
        <v>2000</v>
      </c>
    </row>
    <row r="446" spans="1:5" ht="12" customHeight="1">
      <c r="A446" s="69">
        <v>46149</v>
      </c>
      <c r="B446" s="144" t="s">
        <v>43</v>
      </c>
      <c r="C446" s="79">
        <v>6000</v>
      </c>
      <c r="D446" s="79">
        <v>8000</v>
      </c>
      <c r="E446" s="71">
        <f t="shared" si="7"/>
        <v>2000</v>
      </c>
    </row>
    <row r="447" spans="1:5" ht="12" customHeight="1">
      <c r="A447" s="69">
        <v>46149</v>
      </c>
      <c r="B447" s="144" t="s">
        <v>1368</v>
      </c>
      <c r="C447" s="79">
        <v>11900</v>
      </c>
      <c r="D447" s="79">
        <v>16000</v>
      </c>
      <c r="E447" s="71">
        <f t="shared" si="7"/>
        <v>4100</v>
      </c>
    </row>
    <row r="448" spans="1:5" ht="12" customHeight="1">
      <c r="A448" s="69">
        <v>46149</v>
      </c>
      <c r="B448" s="144" t="s">
        <v>65</v>
      </c>
      <c r="C448" s="79">
        <v>2000</v>
      </c>
      <c r="D448" s="79">
        <v>6000</v>
      </c>
      <c r="E448" s="71">
        <f t="shared" si="7"/>
        <v>4000</v>
      </c>
    </row>
    <row r="449" spans="1:5" ht="12" customHeight="1">
      <c r="A449" s="69">
        <v>46149</v>
      </c>
      <c r="B449" s="75" t="s">
        <v>22</v>
      </c>
      <c r="C449" s="79">
        <v>6800</v>
      </c>
      <c r="D449" s="79">
        <v>12000</v>
      </c>
      <c r="E449" s="71">
        <f t="shared" si="7"/>
        <v>5200</v>
      </c>
    </row>
    <row r="450" spans="1:5" ht="12" customHeight="1">
      <c r="A450" s="69">
        <v>46150</v>
      </c>
      <c r="B450" s="75" t="s">
        <v>22</v>
      </c>
      <c r="C450" s="79">
        <v>6800</v>
      </c>
      <c r="D450" s="79">
        <v>12000</v>
      </c>
      <c r="E450" s="71">
        <f t="shared" ref="E450:E513" si="8">+D450-C450</f>
        <v>5200</v>
      </c>
    </row>
    <row r="451" spans="1:5" ht="12" customHeight="1">
      <c r="A451" s="69">
        <v>46149</v>
      </c>
      <c r="B451" s="75" t="s">
        <v>43</v>
      </c>
      <c r="C451" s="79">
        <v>8400</v>
      </c>
      <c r="D451" s="79">
        <v>12000</v>
      </c>
      <c r="E451" s="71">
        <f t="shared" si="8"/>
        <v>3600</v>
      </c>
    </row>
    <row r="452" spans="1:5" ht="12" customHeight="1">
      <c r="A452" s="69">
        <v>46150</v>
      </c>
      <c r="B452" s="75" t="s">
        <v>25</v>
      </c>
      <c r="C452" s="79">
        <v>7000</v>
      </c>
      <c r="D452" s="79">
        <v>12000</v>
      </c>
      <c r="E452" s="71">
        <f t="shared" si="8"/>
        <v>5000</v>
      </c>
    </row>
    <row r="453" spans="1:5" ht="12" customHeight="1">
      <c r="A453" s="69">
        <v>46153</v>
      </c>
      <c r="B453" s="75" t="s">
        <v>1361</v>
      </c>
      <c r="C453" s="79">
        <v>2000</v>
      </c>
      <c r="D453" s="79">
        <v>8000</v>
      </c>
      <c r="E453" s="71">
        <f t="shared" si="8"/>
        <v>6000</v>
      </c>
    </row>
    <row r="454" spans="1:5" ht="12" customHeight="1">
      <c r="A454" s="69">
        <v>46153</v>
      </c>
      <c r="B454" s="75" t="s">
        <v>22</v>
      </c>
      <c r="C454" s="79">
        <v>6800</v>
      </c>
      <c r="D454" s="79">
        <v>12000</v>
      </c>
      <c r="E454" s="71">
        <f t="shared" si="8"/>
        <v>5200</v>
      </c>
    </row>
    <row r="455" spans="1:5" ht="12" customHeight="1">
      <c r="A455" s="69">
        <v>46153</v>
      </c>
      <c r="B455" s="75" t="s">
        <v>1367</v>
      </c>
      <c r="C455" s="79">
        <v>2500</v>
      </c>
      <c r="D455" s="79">
        <v>8000</v>
      </c>
      <c r="E455" s="71">
        <f t="shared" si="8"/>
        <v>5500</v>
      </c>
    </row>
    <row r="456" spans="1:5" ht="12" customHeight="1">
      <c r="A456" s="69">
        <v>46153</v>
      </c>
      <c r="B456" s="75" t="s">
        <v>22</v>
      </c>
      <c r="C456" s="79">
        <v>6800</v>
      </c>
      <c r="D456" s="79">
        <v>12000</v>
      </c>
      <c r="E456" s="71">
        <f t="shared" si="8"/>
        <v>5200</v>
      </c>
    </row>
    <row r="457" spans="1:5" ht="12" customHeight="1">
      <c r="A457" s="69">
        <v>46155</v>
      </c>
      <c r="B457" s="75" t="s">
        <v>17</v>
      </c>
      <c r="C457" s="79">
        <v>6100</v>
      </c>
      <c r="D457" s="75">
        <v>9000</v>
      </c>
      <c r="E457" s="71">
        <f t="shared" si="8"/>
        <v>2900</v>
      </c>
    </row>
    <row r="458" spans="1:5" ht="12" customHeight="1">
      <c r="A458" s="69">
        <v>46154</v>
      </c>
      <c r="B458" s="75" t="s">
        <v>77</v>
      </c>
      <c r="C458" s="79">
        <f>1500*3</f>
        <v>4500</v>
      </c>
      <c r="D458" s="79">
        <f>6000*3</f>
        <v>18000</v>
      </c>
      <c r="E458" s="71">
        <f t="shared" si="8"/>
        <v>13500</v>
      </c>
    </row>
    <row r="459" spans="1:5" ht="12" customHeight="1">
      <c r="A459" s="69">
        <v>46156</v>
      </c>
      <c r="B459" s="75" t="s">
        <v>77</v>
      </c>
      <c r="C459" s="79">
        <v>1500</v>
      </c>
      <c r="D459" s="79">
        <v>6000</v>
      </c>
      <c r="E459" s="71">
        <f t="shared" si="8"/>
        <v>4500</v>
      </c>
    </row>
    <row r="460" spans="1:5" ht="12" customHeight="1">
      <c r="A460" s="69">
        <v>46156</v>
      </c>
      <c r="B460" s="75" t="s">
        <v>25</v>
      </c>
      <c r="C460" s="79">
        <v>2000</v>
      </c>
      <c r="D460" s="79">
        <v>8000</v>
      </c>
      <c r="E460" s="71">
        <f t="shared" si="8"/>
        <v>6000</v>
      </c>
    </row>
    <row r="461" spans="1:5" ht="12" customHeight="1">
      <c r="A461" s="69">
        <v>46156</v>
      </c>
      <c r="B461" s="75" t="s">
        <v>22</v>
      </c>
      <c r="C461" s="79">
        <v>8400</v>
      </c>
      <c r="D461" s="79">
        <v>12000</v>
      </c>
      <c r="E461" s="71">
        <f t="shared" si="8"/>
        <v>3600</v>
      </c>
    </row>
    <row r="462" spans="1:5" ht="12" customHeight="1">
      <c r="A462" s="69">
        <v>46156</v>
      </c>
      <c r="B462" s="75" t="s">
        <v>22</v>
      </c>
      <c r="C462" s="79">
        <v>8400</v>
      </c>
      <c r="D462" s="79">
        <v>12000</v>
      </c>
      <c r="E462" s="71">
        <f t="shared" si="8"/>
        <v>3600</v>
      </c>
    </row>
    <row r="463" spans="1:5" ht="12" customHeight="1">
      <c r="A463" s="69">
        <v>46157</v>
      </c>
      <c r="B463" s="75" t="s">
        <v>22</v>
      </c>
      <c r="C463" s="79">
        <v>8400</v>
      </c>
      <c r="D463" s="79">
        <v>12000</v>
      </c>
      <c r="E463" s="71">
        <f t="shared" si="8"/>
        <v>3600</v>
      </c>
    </row>
    <row r="464" spans="1:5" ht="12" customHeight="1">
      <c r="A464" s="69">
        <v>46158</v>
      </c>
      <c r="B464" s="75" t="s">
        <v>22</v>
      </c>
      <c r="C464" s="79">
        <v>8400</v>
      </c>
      <c r="D464" s="79">
        <v>12000</v>
      </c>
      <c r="E464" s="71">
        <f t="shared" si="8"/>
        <v>3600</v>
      </c>
    </row>
    <row r="465" spans="1:5" ht="12" customHeight="1">
      <c r="A465" s="69">
        <v>46158</v>
      </c>
      <c r="B465" s="75" t="s">
        <v>17</v>
      </c>
      <c r="C465" s="79">
        <v>6100</v>
      </c>
      <c r="D465" s="79">
        <v>9000</v>
      </c>
      <c r="E465" s="71">
        <f t="shared" si="8"/>
        <v>2900</v>
      </c>
    </row>
    <row r="466" spans="1:5" ht="12" customHeight="1">
      <c r="A466" s="69">
        <v>46158</v>
      </c>
      <c r="B466" s="75" t="s">
        <v>25</v>
      </c>
      <c r="C466" s="79">
        <v>2000</v>
      </c>
      <c r="D466" s="79">
        <v>8000</v>
      </c>
      <c r="E466" s="71">
        <f t="shared" si="8"/>
        <v>6000</v>
      </c>
    </row>
    <row r="467" spans="1:5" ht="12" customHeight="1">
      <c r="A467" s="69">
        <v>46157</v>
      </c>
      <c r="B467" s="75" t="s">
        <v>22</v>
      </c>
      <c r="C467" s="79">
        <v>8400</v>
      </c>
      <c r="D467" s="79">
        <v>11000</v>
      </c>
      <c r="E467" s="71">
        <f t="shared" si="8"/>
        <v>2600</v>
      </c>
    </row>
    <row r="468" spans="1:5" ht="12" customHeight="1">
      <c r="A468" s="69">
        <v>46157</v>
      </c>
      <c r="B468" s="75" t="s">
        <v>43</v>
      </c>
      <c r="C468" s="79">
        <v>6000</v>
      </c>
      <c r="D468" s="79">
        <v>8000</v>
      </c>
      <c r="E468" s="71">
        <f t="shared" si="8"/>
        <v>2000</v>
      </c>
    </row>
    <row r="469" spans="1:5" ht="12" customHeight="1">
      <c r="A469" s="69">
        <v>46156</v>
      </c>
      <c r="B469" s="75" t="s">
        <v>22</v>
      </c>
      <c r="C469" s="79">
        <v>8400</v>
      </c>
      <c r="D469" s="79">
        <v>12000</v>
      </c>
      <c r="E469" s="71">
        <f t="shared" si="8"/>
        <v>3600</v>
      </c>
    </row>
    <row r="470" spans="1:5" ht="12" customHeight="1">
      <c r="A470" s="69">
        <v>46159</v>
      </c>
      <c r="B470" s="75" t="s">
        <v>17</v>
      </c>
      <c r="C470" s="79">
        <v>6100</v>
      </c>
      <c r="D470" s="79">
        <v>9000</v>
      </c>
      <c r="E470" s="71">
        <f t="shared" si="8"/>
        <v>2900</v>
      </c>
    </row>
    <row r="471" spans="1:5" ht="12" customHeight="1">
      <c r="A471" s="69">
        <v>46160</v>
      </c>
      <c r="B471" s="75" t="s">
        <v>22</v>
      </c>
      <c r="C471" s="79">
        <v>8400</v>
      </c>
      <c r="D471" s="79">
        <v>11000</v>
      </c>
      <c r="E471" s="71">
        <f t="shared" si="8"/>
        <v>2600</v>
      </c>
    </row>
    <row r="472" spans="1:5" ht="12" customHeight="1">
      <c r="A472" s="69">
        <v>46159</v>
      </c>
      <c r="B472" s="75" t="s">
        <v>22</v>
      </c>
      <c r="C472" s="79">
        <v>8400</v>
      </c>
      <c r="D472" s="79">
        <v>12000</v>
      </c>
      <c r="E472" s="71">
        <f t="shared" si="8"/>
        <v>3600</v>
      </c>
    </row>
    <row r="473" spans="1:5" ht="12" customHeight="1">
      <c r="A473" s="69">
        <v>46159</v>
      </c>
      <c r="B473" s="75" t="s">
        <v>25</v>
      </c>
      <c r="C473" s="79">
        <v>2000</v>
      </c>
      <c r="D473" s="79">
        <v>8000</v>
      </c>
      <c r="E473" s="71">
        <f t="shared" si="8"/>
        <v>6000</v>
      </c>
    </row>
    <row r="474" spans="1:5" ht="12" customHeight="1">
      <c r="A474" s="69">
        <v>46160</v>
      </c>
      <c r="B474" s="75" t="s">
        <v>22</v>
      </c>
      <c r="C474" s="79">
        <v>8400</v>
      </c>
      <c r="D474" s="79">
        <v>11000</v>
      </c>
      <c r="E474" s="71">
        <f t="shared" si="8"/>
        <v>2600</v>
      </c>
    </row>
    <row r="475" spans="1:5" ht="12" customHeight="1">
      <c r="A475" s="69">
        <v>46160</v>
      </c>
      <c r="B475" s="75" t="s">
        <v>25</v>
      </c>
      <c r="C475" s="79">
        <v>2000</v>
      </c>
      <c r="D475" s="79">
        <v>5000</v>
      </c>
      <c r="E475" s="71">
        <f t="shared" si="8"/>
        <v>3000</v>
      </c>
    </row>
    <row r="476" spans="1:5" ht="12" customHeight="1">
      <c r="A476" s="69">
        <v>46159</v>
      </c>
      <c r="B476" s="75" t="s">
        <v>1367</v>
      </c>
      <c r="C476" s="79">
        <v>2500</v>
      </c>
      <c r="D476" s="79">
        <v>8000</v>
      </c>
      <c r="E476" s="71">
        <f t="shared" si="8"/>
        <v>5500</v>
      </c>
    </row>
    <row r="477" spans="1:5" ht="12" customHeight="1">
      <c r="A477" s="69">
        <v>46161</v>
      </c>
      <c r="B477" s="75" t="s">
        <v>22</v>
      </c>
      <c r="C477" s="79">
        <v>8400</v>
      </c>
      <c r="D477" s="79">
        <v>11000</v>
      </c>
      <c r="E477" s="71">
        <f t="shared" si="8"/>
        <v>2600</v>
      </c>
    </row>
    <row r="478" spans="1:5" ht="12" customHeight="1">
      <c r="A478" s="69">
        <v>46161</v>
      </c>
      <c r="B478" s="75" t="s">
        <v>25</v>
      </c>
      <c r="C478" s="79">
        <v>2000</v>
      </c>
      <c r="D478" s="79">
        <v>5000</v>
      </c>
      <c r="E478" s="71">
        <f t="shared" si="8"/>
        <v>3000</v>
      </c>
    </row>
    <row r="479" spans="1:5" ht="12" customHeight="1">
      <c r="A479" s="69">
        <v>46161</v>
      </c>
      <c r="B479" s="75" t="s">
        <v>1367</v>
      </c>
      <c r="C479" s="79">
        <v>2500</v>
      </c>
      <c r="D479" s="79">
        <v>5000</v>
      </c>
      <c r="E479" s="71">
        <f t="shared" si="8"/>
        <v>2500</v>
      </c>
    </row>
    <row r="480" spans="1:5" ht="12" customHeight="1">
      <c r="A480" s="69">
        <v>46161</v>
      </c>
      <c r="B480" s="75" t="s">
        <v>43</v>
      </c>
      <c r="C480" s="79">
        <v>9000</v>
      </c>
      <c r="D480" s="79">
        <v>11000</v>
      </c>
      <c r="E480" s="71">
        <f t="shared" si="8"/>
        <v>2000</v>
      </c>
    </row>
    <row r="481" spans="1:5" ht="12" customHeight="1">
      <c r="A481" s="69">
        <v>46161</v>
      </c>
      <c r="B481" s="75" t="s">
        <v>22</v>
      </c>
      <c r="C481" s="79">
        <v>8400</v>
      </c>
      <c r="D481" s="79">
        <v>12000</v>
      </c>
      <c r="E481" s="71">
        <f t="shared" si="8"/>
        <v>3600</v>
      </c>
    </row>
    <row r="482" spans="1:5" ht="12" customHeight="1">
      <c r="A482" s="69">
        <v>46161</v>
      </c>
      <c r="B482" s="75" t="s">
        <v>22</v>
      </c>
      <c r="C482" s="79">
        <v>8400</v>
      </c>
      <c r="D482" s="79">
        <v>12000</v>
      </c>
      <c r="E482" s="71">
        <f t="shared" si="8"/>
        <v>3600</v>
      </c>
    </row>
    <row r="483" spans="1:5" ht="12" customHeight="1">
      <c r="A483" s="69">
        <v>46162</v>
      </c>
      <c r="B483" s="75" t="s">
        <v>1367</v>
      </c>
      <c r="C483" s="79">
        <v>2500</v>
      </c>
      <c r="D483" s="79">
        <v>8000</v>
      </c>
      <c r="E483" s="71">
        <f t="shared" si="8"/>
        <v>5500</v>
      </c>
    </row>
    <row r="484" spans="1:5" ht="12" customHeight="1">
      <c r="A484" s="69">
        <v>46162</v>
      </c>
      <c r="B484" s="75" t="s">
        <v>43</v>
      </c>
      <c r="C484" s="79">
        <v>9000</v>
      </c>
      <c r="D484" s="79">
        <v>12000</v>
      </c>
      <c r="E484" s="71">
        <f t="shared" si="8"/>
        <v>3000</v>
      </c>
    </row>
    <row r="485" spans="1:5" ht="12" customHeight="1">
      <c r="A485" s="69">
        <v>46162</v>
      </c>
      <c r="B485" s="75" t="s">
        <v>17</v>
      </c>
      <c r="C485" s="79">
        <v>6100</v>
      </c>
      <c r="D485" s="79">
        <v>9000</v>
      </c>
      <c r="E485" s="71">
        <f t="shared" si="8"/>
        <v>2900</v>
      </c>
    </row>
    <row r="486" spans="1:5" ht="12" customHeight="1">
      <c r="A486" s="69">
        <v>46163</v>
      </c>
      <c r="B486" s="75" t="s">
        <v>17</v>
      </c>
      <c r="C486" s="79">
        <v>6100</v>
      </c>
      <c r="D486" s="79">
        <v>6500</v>
      </c>
      <c r="E486" s="71">
        <f t="shared" si="8"/>
        <v>400</v>
      </c>
    </row>
    <row r="487" spans="1:5" ht="12" customHeight="1">
      <c r="A487" s="69">
        <v>46164</v>
      </c>
      <c r="B487" s="75" t="s">
        <v>22</v>
      </c>
      <c r="C487" s="79">
        <v>8400</v>
      </c>
      <c r="D487" s="79">
        <v>12000</v>
      </c>
      <c r="E487" s="71">
        <f t="shared" si="8"/>
        <v>3600</v>
      </c>
    </row>
    <row r="488" spans="1:5" ht="12" customHeight="1">
      <c r="A488" s="69">
        <v>46164</v>
      </c>
      <c r="B488" s="75" t="s">
        <v>22</v>
      </c>
      <c r="C488" s="79">
        <v>8400</v>
      </c>
      <c r="D488" s="79">
        <v>12000</v>
      </c>
      <c r="E488" s="71">
        <f t="shared" si="8"/>
        <v>3600</v>
      </c>
    </row>
    <row r="489" spans="1:5" ht="12" customHeight="1">
      <c r="A489" s="69">
        <v>46165</v>
      </c>
      <c r="B489" s="75" t="s">
        <v>25</v>
      </c>
      <c r="C489" s="79">
        <v>2000</v>
      </c>
      <c r="D489" s="79">
        <v>8000</v>
      </c>
      <c r="E489" s="71">
        <f t="shared" si="8"/>
        <v>6000</v>
      </c>
    </row>
    <row r="490" spans="1:5" ht="12" customHeight="1">
      <c r="A490" s="69">
        <v>46165</v>
      </c>
      <c r="B490" s="75" t="s">
        <v>22</v>
      </c>
      <c r="C490" s="79">
        <v>8400</v>
      </c>
      <c r="D490" s="79">
        <v>12000</v>
      </c>
      <c r="E490" s="71">
        <f t="shared" si="8"/>
        <v>3600</v>
      </c>
    </row>
    <row r="491" spans="1:5" ht="12" customHeight="1">
      <c r="A491" s="69">
        <v>46165</v>
      </c>
      <c r="B491" s="75" t="s">
        <v>1368</v>
      </c>
      <c r="C491" s="79">
        <v>11900</v>
      </c>
      <c r="D491" s="79">
        <v>20000</v>
      </c>
      <c r="E491" s="71">
        <f t="shared" si="8"/>
        <v>8100</v>
      </c>
    </row>
    <row r="492" spans="1:5" ht="12" customHeight="1">
      <c r="A492" s="69">
        <v>46167</v>
      </c>
      <c r="B492" s="144" t="s">
        <v>17</v>
      </c>
      <c r="C492" s="79">
        <v>6100</v>
      </c>
      <c r="D492" s="79">
        <v>9000</v>
      </c>
      <c r="E492" s="71">
        <f t="shared" si="8"/>
        <v>2900</v>
      </c>
    </row>
    <row r="493" spans="1:5" ht="12" customHeight="1">
      <c r="A493" s="69">
        <v>45803</v>
      </c>
      <c r="B493" s="75" t="s">
        <v>22</v>
      </c>
      <c r="C493" s="79">
        <v>8400</v>
      </c>
      <c r="D493" s="79">
        <v>12000</v>
      </c>
      <c r="E493" s="71">
        <f t="shared" si="8"/>
        <v>3600</v>
      </c>
    </row>
    <row r="494" spans="1:5" ht="12" customHeight="1">
      <c r="A494" s="69">
        <v>46167</v>
      </c>
      <c r="B494" s="75" t="s">
        <v>22</v>
      </c>
      <c r="C494" s="79">
        <v>8400</v>
      </c>
      <c r="D494" s="79">
        <v>12000</v>
      </c>
      <c r="E494" s="71">
        <f t="shared" si="8"/>
        <v>3600</v>
      </c>
    </row>
    <row r="495" spans="1:5" ht="12" customHeight="1">
      <c r="A495" s="69">
        <v>46169</v>
      </c>
      <c r="B495" s="144" t="s">
        <v>65</v>
      </c>
      <c r="C495" s="79">
        <v>2000</v>
      </c>
      <c r="D495" s="79">
        <v>6000</v>
      </c>
      <c r="E495" s="71">
        <f t="shared" si="8"/>
        <v>4000</v>
      </c>
    </row>
    <row r="496" spans="1:5" ht="12" customHeight="1">
      <c r="A496" s="69">
        <v>46170</v>
      </c>
      <c r="B496" s="75" t="s">
        <v>22</v>
      </c>
      <c r="C496" s="162">
        <v>8400</v>
      </c>
      <c r="D496" s="162">
        <v>12000</v>
      </c>
      <c r="E496" s="71">
        <f t="shared" si="8"/>
        <v>3600</v>
      </c>
    </row>
    <row r="497" spans="1:5" ht="12" customHeight="1">
      <c r="A497" s="69">
        <v>46170</v>
      </c>
      <c r="B497" s="75" t="s">
        <v>22</v>
      </c>
      <c r="C497" s="162">
        <v>8400</v>
      </c>
      <c r="D497" s="162">
        <v>12000</v>
      </c>
      <c r="E497" s="71">
        <f t="shared" si="8"/>
        <v>3600</v>
      </c>
    </row>
    <row r="498" spans="1:5" ht="12" customHeight="1">
      <c r="A498" s="69">
        <v>46171</v>
      </c>
      <c r="B498" t="s">
        <v>43</v>
      </c>
      <c r="C498" s="79">
        <v>9000</v>
      </c>
      <c r="D498" s="79">
        <v>12000</v>
      </c>
      <c r="E498" s="71">
        <f t="shared" si="8"/>
        <v>3000</v>
      </c>
    </row>
    <row r="499" spans="1:5" ht="12" customHeight="1">
      <c r="A499" s="69">
        <v>46171</v>
      </c>
      <c r="B499" t="s">
        <v>19</v>
      </c>
      <c r="C499" s="79">
        <v>25000</v>
      </c>
      <c r="D499" s="79">
        <v>30000</v>
      </c>
      <c r="E499" s="71">
        <f t="shared" si="8"/>
        <v>5000</v>
      </c>
    </row>
    <row r="500" spans="1:5" ht="12" customHeight="1">
      <c r="A500" s="69">
        <v>46172</v>
      </c>
      <c r="B500" s="75" t="s">
        <v>1369</v>
      </c>
      <c r="C500" s="79">
        <v>12500</v>
      </c>
      <c r="D500" s="79">
        <v>30000</v>
      </c>
      <c r="E500" s="71">
        <f t="shared" si="8"/>
        <v>17500</v>
      </c>
    </row>
    <row r="501" spans="1:5" ht="12" customHeight="1">
      <c r="A501" s="69">
        <v>46172</v>
      </c>
      <c r="B501" s="75" t="s">
        <v>43</v>
      </c>
      <c r="C501" s="79">
        <v>5800</v>
      </c>
      <c r="D501" s="79">
        <v>12000</v>
      </c>
      <c r="E501" s="71">
        <f t="shared" si="8"/>
        <v>6200</v>
      </c>
    </row>
    <row r="502" spans="1:5" ht="12" customHeight="1">
      <c r="A502" s="69">
        <v>46172</v>
      </c>
      <c r="B502" s="75" t="s">
        <v>43</v>
      </c>
      <c r="C502" s="79">
        <v>5800</v>
      </c>
      <c r="D502" s="79">
        <v>12000</v>
      </c>
      <c r="E502" s="71">
        <f t="shared" si="8"/>
        <v>6200</v>
      </c>
    </row>
    <row r="503" spans="1:5" ht="12" customHeight="1">
      <c r="A503" s="69">
        <v>46172</v>
      </c>
      <c r="B503" s="75" t="s">
        <v>43</v>
      </c>
      <c r="C503" s="79">
        <v>5800</v>
      </c>
      <c r="D503" s="79">
        <v>12000</v>
      </c>
      <c r="E503" s="71">
        <f t="shared" si="8"/>
        <v>6200</v>
      </c>
    </row>
    <row r="504" spans="1:5" ht="12" customHeight="1">
      <c r="A504" s="69">
        <v>46172</v>
      </c>
      <c r="B504" s="75" t="s">
        <v>22</v>
      </c>
      <c r="C504" s="162">
        <v>8400</v>
      </c>
      <c r="D504" s="162">
        <v>12000</v>
      </c>
      <c r="E504" s="71">
        <f t="shared" si="8"/>
        <v>3600</v>
      </c>
    </row>
    <row r="505" spans="1:5" ht="12" customHeight="1">
      <c r="A505" s="69">
        <v>46172</v>
      </c>
      <c r="B505" s="75" t="s">
        <v>22</v>
      </c>
      <c r="C505" s="162">
        <v>8400</v>
      </c>
      <c r="D505" s="162">
        <v>12000</v>
      </c>
      <c r="E505" s="71">
        <f t="shared" si="8"/>
        <v>3600</v>
      </c>
    </row>
    <row r="506" spans="1:5" ht="12" customHeight="1">
      <c r="A506" s="69">
        <v>46172</v>
      </c>
      <c r="B506" s="75" t="s">
        <v>1367</v>
      </c>
      <c r="C506" s="79">
        <v>2500</v>
      </c>
      <c r="D506" s="79">
        <v>5000</v>
      </c>
      <c r="E506" s="71">
        <f t="shared" si="8"/>
        <v>2500</v>
      </c>
    </row>
    <row r="507" spans="1:5" ht="12" customHeight="1">
      <c r="A507" s="69">
        <v>46172</v>
      </c>
      <c r="B507" s="75" t="s">
        <v>1370</v>
      </c>
      <c r="C507" s="79">
        <v>12990</v>
      </c>
      <c r="D507" s="79">
        <v>20000</v>
      </c>
      <c r="E507" s="71">
        <f t="shared" si="8"/>
        <v>7010</v>
      </c>
    </row>
    <row r="508" spans="1:5" ht="12" customHeight="1">
      <c r="A508" s="69">
        <v>46173</v>
      </c>
      <c r="B508" t="s">
        <v>25</v>
      </c>
      <c r="C508" s="79">
        <v>2000</v>
      </c>
      <c r="D508" s="79">
        <v>8000</v>
      </c>
      <c r="E508" s="71">
        <f t="shared" si="8"/>
        <v>6000</v>
      </c>
    </row>
    <row r="509" spans="1:5" ht="12" customHeight="1">
      <c r="A509" s="69">
        <v>46173</v>
      </c>
      <c r="B509" t="s">
        <v>17</v>
      </c>
      <c r="C509" s="79">
        <v>6100</v>
      </c>
      <c r="D509" s="79">
        <v>9000</v>
      </c>
      <c r="E509" s="71">
        <f t="shared" si="8"/>
        <v>2900</v>
      </c>
    </row>
    <row r="510" spans="1:5" ht="12" customHeight="1">
      <c r="A510" s="69">
        <v>46174</v>
      </c>
      <c r="B510" t="s">
        <v>22</v>
      </c>
      <c r="C510" s="162">
        <v>8400</v>
      </c>
      <c r="D510" s="162">
        <v>10000</v>
      </c>
      <c r="E510" s="71">
        <f t="shared" si="8"/>
        <v>1600</v>
      </c>
    </row>
    <row r="511" spans="1:5" ht="12" customHeight="1">
      <c r="A511" s="69">
        <v>46174</v>
      </c>
      <c r="B511" t="s">
        <v>25</v>
      </c>
      <c r="C511" s="79">
        <v>2000</v>
      </c>
      <c r="D511" s="79">
        <v>5000</v>
      </c>
      <c r="E511" s="71">
        <f t="shared" si="8"/>
        <v>3000</v>
      </c>
    </row>
    <row r="512" spans="1:5" ht="12" customHeight="1">
      <c r="A512" s="69">
        <v>46174</v>
      </c>
      <c r="B512" t="s">
        <v>1367</v>
      </c>
      <c r="C512" s="79">
        <v>2500</v>
      </c>
      <c r="D512" s="79">
        <v>5000</v>
      </c>
      <c r="E512" s="71">
        <f t="shared" si="8"/>
        <v>2500</v>
      </c>
    </row>
    <row r="513" spans="1:5" ht="12" customHeight="1">
      <c r="A513" s="69">
        <v>46174</v>
      </c>
      <c r="B513" t="s">
        <v>43</v>
      </c>
      <c r="C513" s="79">
        <v>5800</v>
      </c>
      <c r="D513" s="79">
        <v>10000</v>
      </c>
      <c r="E513" s="71">
        <f t="shared" si="8"/>
        <v>4200</v>
      </c>
    </row>
    <row r="514" spans="1:5" ht="12" customHeight="1">
      <c r="A514" s="69">
        <v>46174</v>
      </c>
      <c r="B514" t="s">
        <v>17</v>
      </c>
      <c r="C514" s="79">
        <v>6100</v>
      </c>
      <c r="D514" s="79">
        <v>6500</v>
      </c>
      <c r="E514" s="71">
        <f t="shared" ref="E514:E577" si="9">+D514-C514</f>
        <v>400</v>
      </c>
    </row>
    <row r="515" spans="1:5" ht="12" customHeight="1">
      <c r="A515" s="69">
        <v>46174</v>
      </c>
      <c r="B515" s="75" t="s">
        <v>17</v>
      </c>
      <c r="C515" s="79">
        <v>6100</v>
      </c>
      <c r="D515" s="79">
        <v>6500</v>
      </c>
      <c r="E515" s="71">
        <f t="shared" si="9"/>
        <v>400</v>
      </c>
    </row>
    <row r="516" spans="1:5" ht="12" customHeight="1">
      <c r="A516" s="69">
        <v>46174</v>
      </c>
      <c r="B516" s="75" t="s">
        <v>17</v>
      </c>
      <c r="C516" s="79">
        <v>6100</v>
      </c>
      <c r="D516" s="79">
        <v>9000</v>
      </c>
      <c r="E516" s="71">
        <f t="shared" si="9"/>
        <v>2900</v>
      </c>
    </row>
    <row r="517" spans="1:5" ht="12" customHeight="1">
      <c r="A517" s="69">
        <v>46174</v>
      </c>
      <c r="B517" t="s">
        <v>1367</v>
      </c>
      <c r="C517" s="79">
        <v>2500</v>
      </c>
      <c r="D517" s="79">
        <v>8000</v>
      </c>
      <c r="E517" s="71">
        <f t="shared" si="9"/>
        <v>5500</v>
      </c>
    </row>
    <row r="518" spans="1:5" ht="12" customHeight="1">
      <c r="A518" s="69">
        <v>46174</v>
      </c>
      <c r="B518" s="75" t="s">
        <v>22</v>
      </c>
      <c r="C518" s="162">
        <v>8400</v>
      </c>
      <c r="D518" s="79">
        <v>12000</v>
      </c>
      <c r="E518" s="71">
        <f t="shared" si="9"/>
        <v>3600</v>
      </c>
    </row>
    <row r="519" spans="1:5" ht="12" customHeight="1">
      <c r="A519" s="69">
        <v>46175</v>
      </c>
      <c r="B519" s="75" t="s">
        <v>22</v>
      </c>
      <c r="C519" s="162">
        <v>8400</v>
      </c>
      <c r="D519" s="79">
        <v>12000</v>
      </c>
      <c r="E519" s="71">
        <f t="shared" si="9"/>
        <v>3600</v>
      </c>
    </row>
    <row r="520" spans="1:5" ht="12" customHeight="1">
      <c r="A520" s="69">
        <v>46176</v>
      </c>
      <c r="B520" s="75" t="s">
        <v>43</v>
      </c>
      <c r="C520" s="79">
        <v>5800</v>
      </c>
      <c r="D520" s="79">
        <v>12000</v>
      </c>
      <c r="E520" s="71">
        <f t="shared" si="9"/>
        <v>6200</v>
      </c>
    </row>
    <row r="521" spans="1:5" ht="12" customHeight="1">
      <c r="A521" s="69">
        <v>46176</v>
      </c>
      <c r="B521" s="75" t="s">
        <v>22</v>
      </c>
      <c r="C521" s="162">
        <v>8400</v>
      </c>
      <c r="D521" s="79">
        <v>12000</v>
      </c>
      <c r="E521" s="71">
        <f t="shared" si="9"/>
        <v>3600</v>
      </c>
    </row>
    <row r="522" spans="1:5" ht="12" customHeight="1">
      <c r="A522" s="69">
        <v>46176</v>
      </c>
      <c r="B522" s="75" t="s">
        <v>25</v>
      </c>
      <c r="C522" s="79">
        <v>2000</v>
      </c>
      <c r="D522" s="79">
        <v>8000</v>
      </c>
      <c r="E522" s="71">
        <f t="shared" si="9"/>
        <v>6000</v>
      </c>
    </row>
    <row r="523" spans="1:5" ht="12" customHeight="1">
      <c r="A523" s="69">
        <v>46178</v>
      </c>
      <c r="B523" s="75" t="s">
        <v>43</v>
      </c>
      <c r="C523" s="79">
        <v>5800</v>
      </c>
      <c r="D523" s="79">
        <v>12000</v>
      </c>
      <c r="E523" s="71">
        <f t="shared" si="9"/>
        <v>6200</v>
      </c>
    </row>
    <row r="524" spans="1:5" ht="12" customHeight="1">
      <c r="A524" s="69">
        <v>46178</v>
      </c>
      <c r="B524" s="75" t="s">
        <v>1367</v>
      </c>
      <c r="C524" s="79">
        <v>2500</v>
      </c>
      <c r="D524" s="79">
        <v>8000</v>
      </c>
      <c r="E524" s="71">
        <f t="shared" si="9"/>
        <v>5500</v>
      </c>
    </row>
    <row r="525" spans="1:5" ht="12" customHeight="1">
      <c r="A525" s="69">
        <v>46178</v>
      </c>
      <c r="B525" s="75" t="s">
        <v>43</v>
      </c>
      <c r="C525" s="79">
        <v>5800</v>
      </c>
      <c r="D525" s="79">
        <v>12000</v>
      </c>
      <c r="E525" s="71">
        <f t="shared" si="9"/>
        <v>6200</v>
      </c>
    </row>
    <row r="526" spans="1:5" ht="12" customHeight="1">
      <c r="A526" s="69">
        <v>46178</v>
      </c>
      <c r="B526" s="75" t="s">
        <v>65</v>
      </c>
      <c r="C526" s="79">
        <v>2000</v>
      </c>
      <c r="D526" s="79">
        <v>5000</v>
      </c>
      <c r="E526" s="71">
        <f t="shared" si="9"/>
        <v>3000</v>
      </c>
    </row>
    <row r="527" spans="1:5" ht="12" customHeight="1">
      <c r="A527" s="69">
        <v>46178</v>
      </c>
      <c r="B527" s="75" t="s">
        <v>22</v>
      </c>
      <c r="C527" s="162">
        <v>8400</v>
      </c>
      <c r="D527" s="79">
        <v>12000</v>
      </c>
      <c r="E527" s="71">
        <f t="shared" si="9"/>
        <v>3600</v>
      </c>
    </row>
    <row r="528" spans="1:5" ht="12" customHeight="1">
      <c r="A528" s="69">
        <v>46178</v>
      </c>
      <c r="B528" s="75" t="s">
        <v>22</v>
      </c>
      <c r="C528" s="162">
        <v>8400</v>
      </c>
      <c r="D528" s="79">
        <v>12000</v>
      </c>
      <c r="E528" s="71">
        <f t="shared" si="9"/>
        <v>3600</v>
      </c>
    </row>
    <row r="529" spans="1:5" ht="12" customHeight="1">
      <c r="A529" s="69">
        <v>46181</v>
      </c>
      <c r="B529" s="75" t="s">
        <v>22</v>
      </c>
      <c r="C529" s="162">
        <v>8400</v>
      </c>
      <c r="D529" s="79">
        <v>12000</v>
      </c>
      <c r="E529" s="71">
        <f t="shared" si="9"/>
        <v>3600</v>
      </c>
    </row>
    <row r="530" spans="1:5" ht="12" customHeight="1">
      <c r="A530" s="69">
        <v>46182</v>
      </c>
      <c r="B530" s="75" t="s">
        <v>22</v>
      </c>
      <c r="C530" s="162">
        <v>8400</v>
      </c>
      <c r="D530" s="79">
        <v>12000</v>
      </c>
      <c r="E530" s="71">
        <f t="shared" si="9"/>
        <v>3600</v>
      </c>
    </row>
    <row r="531" spans="1:5" ht="12" customHeight="1">
      <c r="A531" s="69">
        <v>46182</v>
      </c>
      <c r="B531" s="75" t="s">
        <v>22</v>
      </c>
      <c r="C531" s="162">
        <v>8400</v>
      </c>
      <c r="D531" s="79">
        <v>12000</v>
      </c>
      <c r="E531" s="71">
        <f t="shared" si="9"/>
        <v>3600</v>
      </c>
    </row>
    <row r="532" spans="1:5" ht="12" customHeight="1">
      <c r="A532" s="69">
        <v>46182</v>
      </c>
      <c r="B532" s="75" t="s">
        <v>22</v>
      </c>
      <c r="C532" s="162">
        <v>8400</v>
      </c>
      <c r="D532" s="79">
        <v>12000</v>
      </c>
      <c r="E532" s="71">
        <f t="shared" si="9"/>
        <v>3600</v>
      </c>
    </row>
    <row r="533" spans="1:5" ht="12" customHeight="1">
      <c r="A533" s="69">
        <v>46182</v>
      </c>
      <c r="B533" s="75" t="s">
        <v>1367</v>
      </c>
      <c r="C533" s="79">
        <v>2500</v>
      </c>
      <c r="D533" s="79">
        <v>8000</v>
      </c>
      <c r="E533" s="71">
        <f t="shared" si="9"/>
        <v>5500</v>
      </c>
    </row>
    <row r="534" spans="1:5" ht="12" customHeight="1">
      <c r="A534" s="69">
        <v>46182</v>
      </c>
      <c r="B534" s="75" t="s">
        <v>22</v>
      </c>
      <c r="C534" s="162">
        <v>8400</v>
      </c>
      <c r="D534" s="79">
        <v>12000</v>
      </c>
      <c r="E534" s="71">
        <f t="shared" si="9"/>
        <v>3600</v>
      </c>
    </row>
    <row r="535" spans="1:5" ht="12" customHeight="1">
      <c r="A535" s="69">
        <v>46182</v>
      </c>
      <c r="B535" s="75" t="s">
        <v>22</v>
      </c>
      <c r="C535" s="162">
        <v>8400</v>
      </c>
      <c r="D535" s="79">
        <v>12000</v>
      </c>
      <c r="E535" s="71">
        <f t="shared" si="9"/>
        <v>3600</v>
      </c>
    </row>
    <row r="536" spans="1:5" ht="12" customHeight="1">
      <c r="A536" s="69">
        <v>46182</v>
      </c>
      <c r="B536" s="75" t="s">
        <v>22</v>
      </c>
      <c r="C536" s="162">
        <v>8400</v>
      </c>
      <c r="D536" s="79">
        <v>12000</v>
      </c>
      <c r="E536" s="71">
        <f t="shared" si="9"/>
        <v>3600</v>
      </c>
    </row>
    <row r="537" spans="1:5" ht="12" customHeight="1">
      <c r="A537" s="69">
        <v>46182</v>
      </c>
      <c r="B537" s="75" t="s">
        <v>77</v>
      </c>
      <c r="C537" s="79"/>
      <c r="D537" s="79">
        <v>8000</v>
      </c>
      <c r="E537" s="71">
        <f t="shared" si="9"/>
        <v>8000</v>
      </c>
    </row>
    <row r="538" spans="1:5" ht="12" customHeight="1">
      <c r="A538" s="69">
        <v>46183</v>
      </c>
      <c r="B538" s="75" t="s">
        <v>77</v>
      </c>
      <c r="C538" s="79"/>
      <c r="D538" s="79">
        <v>8000</v>
      </c>
      <c r="E538" s="71">
        <f t="shared" si="9"/>
        <v>8000</v>
      </c>
    </row>
    <row r="539" spans="1:5" ht="12" customHeight="1">
      <c r="A539" s="69">
        <v>46183</v>
      </c>
      <c r="B539" s="75" t="s">
        <v>1367</v>
      </c>
      <c r="C539" s="79">
        <v>2500</v>
      </c>
      <c r="D539" s="79">
        <v>8000</v>
      </c>
      <c r="E539" s="71">
        <f t="shared" si="9"/>
        <v>5500</v>
      </c>
    </row>
    <row r="540" spans="1:5" ht="12" customHeight="1">
      <c r="A540" s="69">
        <v>46184</v>
      </c>
      <c r="B540" s="75" t="s">
        <v>77</v>
      </c>
      <c r="C540" s="79">
        <v>5900</v>
      </c>
      <c r="D540" s="79">
        <v>8000</v>
      </c>
      <c r="E540" s="71">
        <f t="shared" si="9"/>
        <v>2100</v>
      </c>
    </row>
    <row r="541" spans="1:5" ht="12" customHeight="1">
      <c r="A541" s="69">
        <v>46184</v>
      </c>
      <c r="B541" s="75" t="s">
        <v>77</v>
      </c>
      <c r="C541" s="79">
        <v>5900</v>
      </c>
      <c r="D541" s="79">
        <v>8000</v>
      </c>
      <c r="E541" s="71">
        <f t="shared" si="9"/>
        <v>2100</v>
      </c>
    </row>
    <row r="542" spans="1:5" ht="12" customHeight="1">
      <c r="A542" s="69">
        <v>46184</v>
      </c>
      <c r="B542" s="75" t="s">
        <v>77</v>
      </c>
      <c r="C542" s="79">
        <v>5900</v>
      </c>
      <c r="D542" s="79">
        <v>8000</v>
      </c>
      <c r="E542" s="71">
        <f t="shared" si="9"/>
        <v>2100</v>
      </c>
    </row>
    <row r="543" spans="1:5" ht="12" customHeight="1">
      <c r="A543" s="69">
        <v>46184</v>
      </c>
      <c r="B543" s="75" t="s">
        <v>1370</v>
      </c>
      <c r="C543" s="79">
        <v>12990</v>
      </c>
      <c r="D543" s="79">
        <v>20000</v>
      </c>
      <c r="E543" s="71">
        <f t="shared" si="9"/>
        <v>7010</v>
      </c>
    </row>
    <row r="544" spans="1:5" ht="12" customHeight="1">
      <c r="A544" s="69">
        <v>46183</v>
      </c>
      <c r="B544" s="75" t="s">
        <v>22</v>
      </c>
      <c r="C544" s="162">
        <v>8400</v>
      </c>
      <c r="D544" s="79">
        <v>12000</v>
      </c>
      <c r="E544" s="71">
        <f t="shared" si="9"/>
        <v>3600</v>
      </c>
    </row>
    <row r="545" spans="1:5" ht="12" customHeight="1">
      <c r="A545" s="69">
        <v>46185</v>
      </c>
      <c r="B545" s="75" t="s">
        <v>1361</v>
      </c>
      <c r="C545" s="79"/>
      <c r="D545" s="79">
        <v>8000</v>
      </c>
      <c r="E545" s="71">
        <f t="shared" si="9"/>
        <v>8000</v>
      </c>
    </row>
    <row r="546" spans="1:5" ht="12" customHeight="1">
      <c r="A546" s="69">
        <v>46186</v>
      </c>
      <c r="B546" s="75" t="s">
        <v>22</v>
      </c>
      <c r="C546" s="162">
        <v>8400</v>
      </c>
      <c r="D546" s="79">
        <v>11000</v>
      </c>
      <c r="E546" s="71">
        <f t="shared" si="9"/>
        <v>2600</v>
      </c>
    </row>
    <row r="547" spans="1:5" ht="12" customHeight="1">
      <c r="A547" s="69">
        <v>46186</v>
      </c>
      <c r="B547" s="75" t="s">
        <v>43</v>
      </c>
      <c r="C547" s="79">
        <v>5800</v>
      </c>
      <c r="D547" s="79">
        <v>10000</v>
      </c>
      <c r="E547" s="71">
        <f t="shared" si="9"/>
        <v>4200</v>
      </c>
    </row>
    <row r="548" spans="1:5" ht="12" customHeight="1">
      <c r="A548" s="69">
        <v>46186</v>
      </c>
      <c r="B548" s="75" t="s">
        <v>43</v>
      </c>
      <c r="C548" s="79">
        <v>5800</v>
      </c>
      <c r="D548" s="79">
        <v>10000</v>
      </c>
      <c r="E548" s="71">
        <f t="shared" si="9"/>
        <v>4200</v>
      </c>
    </row>
    <row r="549" spans="1:5" ht="12" customHeight="1">
      <c r="A549" s="69">
        <v>46186</v>
      </c>
      <c r="B549" s="75" t="s">
        <v>25</v>
      </c>
      <c r="C549" s="79">
        <v>2000</v>
      </c>
      <c r="D549" s="79">
        <v>8000</v>
      </c>
      <c r="E549" s="71">
        <f t="shared" si="9"/>
        <v>6000</v>
      </c>
    </row>
    <row r="550" spans="1:5" ht="12" customHeight="1">
      <c r="A550" s="69">
        <v>46186</v>
      </c>
      <c r="B550" s="75" t="s">
        <v>25</v>
      </c>
      <c r="C550" s="79">
        <v>2000</v>
      </c>
      <c r="D550" s="79">
        <v>5000</v>
      </c>
      <c r="E550" s="71">
        <f t="shared" si="9"/>
        <v>3000</v>
      </c>
    </row>
    <row r="551" spans="1:5" ht="12" customHeight="1">
      <c r="A551" s="69">
        <v>46186</v>
      </c>
      <c r="B551" s="75" t="s">
        <v>1367</v>
      </c>
      <c r="C551" s="79"/>
      <c r="D551" s="79">
        <v>5000</v>
      </c>
      <c r="E551" s="71">
        <f t="shared" si="9"/>
        <v>5000</v>
      </c>
    </row>
    <row r="552" spans="1:5" ht="12" customHeight="1">
      <c r="A552" s="69">
        <v>46186</v>
      </c>
      <c r="B552" s="75" t="s">
        <v>22</v>
      </c>
      <c r="C552" s="162">
        <v>8400</v>
      </c>
      <c r="D552" s="79">
        <v>12000</v>
      </c>
      <c r="E552" s="71">
        <f t="shared" si="9"/>
        <v>3600</v>
      </c>
    </row>
    <row r="553" spans="1:5" ht="12" customHeight="1">
      <c r="A553" s="69">
        <v>46187</v>
      </c>
      <c r="B553" s="75" t="s">
        <v>43</v>
      </c>
      <c r="C553" s="79">
        <v>5800</v>
      </c>
      <c r="D553" s="79">
        <v>12000</v>
      </c>
      <c r="E553" s="71">
        <f t="shared" si="9"/>
        <v>6200</v>
      </c>
    </row>
    <row r="554" spans="1:5" ht="12" customHeight="1">
      <c r="A554" s="69">
        <v>46188</v>
      </c>
      <c r="B554" s="75" t="s">
        <v>77</v>
      </c>
      <c r="C554" s="79">
        <v>8500</v>
      </c>
      <c r="D554" s="79">
        <v>14000</v>
      </c>
      <c r="E554" s="71">
        <f t="shared" si="9"/>
        <v>5500</v>
      </c>
    </row>
    <row r="555" spans="1:5" ht="12" customHeight="1">
      <c r="A555" s="69">
        <v>46188</v>
      </c>
      <c r="B555" s="75" t="s">
        <v>43</v>
      </c>
      <c r="C555" s="79">
        <v>5800</v>
      </c>
      <c r="D555" s="79">
        <v>12000</v>
      </c>
      <c r="E555" s="71">
        <f t="shared" si="9"/>
        <v>6200</v>
      </c>
    </row>
    <row r="556" spans="1:5" ht="12" customHeight="1">
      <c r="A556" s="69">
        <v>46189</v>
      </c>
      <c r="B556" s="75" t="s">
        <v>17</v>
      </c>
      <c r="C556" s="79">
        <v>6100</v>
      </c>
      <c r="D556" s="79">
        <v>9000</v>
      </c>
      <c r="E556" s="71">
        <f t="shared" si="9"/>
        <v>2900</v>
      </c>
    </row>
    <row r="557" spans="1:5" ht="12" customHeight="1">
      <c r="A557" s="69">
        <v>46189</v>
      </c>
      <c r="B557" s="75" t="s">
        <v>65</v>
      </c>
      <c r="C557" s="79">
        <f>2000*6</f>
        <v>12000</v>
      </c>
      <c r="D557" s="79">
        <v>30000</v>
      </c>
      <c r="E557" s="71">
        <f t="shared" si="9"/>
        <v>18000</v>
      </c>
    </row>
    <row r="558" spans="1:5" ht="12" customHeight="1">
      <c r="A558" s="69">
        <v>46189</v>
      </c>
      <c r="B558" s="75" t="s">
        <v>17</v>
      </c>
      <c r="C558" s="79">
        <v>6100</v>
      </c>
      <c r="D558" s="79">
        <v>9000</v>
      </c>
      <c r="E558" s="71">
        <f t="shared" si="9"/>
        <v>2900</v>
      </c>
    </row>
    <row r="559" spans="1:5" ht="12" customHeight="1">
      <c r="A559" s="69">
        <v>46189</v>
      </c>
      <c r="B559" s="75" t="s">
        <v>1368</v>
      </c>
      <c r="C559" s="79">
        <v>18900</v>
      </c>
      <c r="D559" s="79">
        <v>22000</v>
      </c>
      <c r="E559" s="71">
        <f t="shared" si="9"/>
        <v>3100</v>
      </c>
    </row>
    <row r="560" spans="1:5" ht="12" customHeight="1">
      <c r="A560" s="69">
        <v>46189</v>
      </c>
      <c r="B560" s="75" t="s">
        <v>1368</v>
      </c>
      <c r="C560" s="79">
        <v>18900</v>
      </c>
      <c r="D560" s="79">
        <v>30000</v>
      </c>
      <c r="E560" s="71">
        <f t="shared" si="9"/>
        <v>11100</v>
      </c>
    </row>
    <row r="561" spans="1:5" ht="12" customHeight="1">
      <c r="A561" s="69">
        <v>46189</v>
      </c>
      <c r="B561" s="144" t="s">
        <v>77</v>
      </c>
      <c r="C561" s="79">
        <v>8500</v>
      </c>
      <c r="D561" s="79">
        <v>14000</v>
      </c>
      <c r="E561" s="71">
        <f t="shared" si="9"/>
        <v>5500</v>
      </c>
    </row>
    <row r="562" spans="1:5" ht="12" customHeight="1">
      <c r="A562" s="69">
        <v>46189</v>
      </c>
      <c r="B562" s="144" t="s">
        <v>25</v>
      </c>
      <c r="C562" s="79">
        <v>2000</v>
      </c>
      <c r="D562" s="79">
        <v>5000</v>
      </c>
      <c r="E562" s="71">
        <f t="shared" si="9"/>
        <v>3000</v>
      </c>
    </row>
    <row r="563" spans="1:5" ht="12" customHeight="1">
      <c r="A563" s="69">
        <v>46189</v>
      </c>
      <c r="B563" s="144" t="s">
        <v>22</v>
      </c>
      <c r="C563" s="162">
        <v>8400</v>
      </c>
      <c r="D563" s="79">
        <v>11000</v>
      </c>
      <c r="E563" s="71">
        <f t="shared" si="9"/>
        <v>2600</v>
      </c>
    </row>
    <row r="564" spans="1:5" ht="12" customHeight="1">
      <c r="A564" s="69">
        <v>46189</v>
      </c>
      <c r="B564" s="144" t="s">
        <v>22</v>
      </c>
      <c r="C564" s="162">
        <v>8400</v>
      </c>
      <c r="D564" s="79">
        <v>11000</v>
      </c>
      <c r="E564" s="71">
        <f t="shared" si="9"/>
        <v>2600</v>
      </c>
    </row>
    <row r="565" spans="1:5" ht="12" customHeight="1">
      <c r="A565" s="69">
        <v>46189</v>
      </c>
      <c r="B565" s="75" t="s">
        <v>43</v>
      </c>
      <c r="C565" s="79">
        <v>5800</v>
      </c>
      <c r="D565" s="79">
        <v>10000</v>
      </c>
      <c r="E565" s="71">
        <f t="shared" si="9"/>
        <v>4200</v>
      </c>
    </row>
    <row r="566" spans="1:5" ht="12" customHeight="1">
      <c r="A566" s="69">
        <v>46189</v>
      </c>
      <c r="B566" s="144" t="s">
        <v>77</v>
      </c>
      <c r="C566" s="79">
        <v>8500</v>
      </c>
      <c r="D566" s="79">
        <v>14000</v>
      </c>
      <c r="E566" s="71">
        <f t="shared" si="9"/>
        <v>5500</v>
      </c>
    </row>
    <row r="567" spans="1:5" ht="12" customHeight="1">
      <c r="A567" s="69">
        <v>46190</v>
      </c>
      <c r="B567" s="144" t="s">
        <v>1368</v>
      </c>
      <c r="C567" s="79">
        <v>18900</v>
      </c>
      <c r="D567" s="79">
        <v>30000</v>
      </c>
      <c r="E567" s="71">
        <f t="shared" si="9"/>
        <v>11100</v>
      </c>
    </row>
    <row r="568" spans="1:5" ht="12" customHeight="1">
      <c r="A568" s="69">
        <v>46190</v>
      </c>
      <c r="B568" s="75" t="s">
        <v>22</v>
      </c>
      <c r="C568" s="162">
        <v>8400</v>
      </c>
      <c r="D568" s="79">
        <v>12000</v>
      </c>
      <c r="E568" s="71">
        <f t="shared" si="9"/>
        <v>3600</v>
      </c>
    </row>
    <row r="569" spans="1:5" ht="12" customHeight="1">
      <c r="A569" s="69">
        <v>46190</v>
      </c>
      <c r="B569" s="75" t="s">
        <v>17</v>
      </c>
      <c r="C569" s="79">
        <v>6100</v>
      </c>
      <c r="D569" s="79">
        <v>9000</v>
      </c>
      <c r="E569" s="71">
        <f t="shared" si="9"/>
        <v>2900</v>
      </c>
    </row>
    <row r="570" spans="1:5" ht="12" customHeight="1">
      <c r="A570" s="69">
        <v>46190</v>
      </c>
      <c r="B570" s="75" t="s">
        <v>25</v>
      </c>
      <c r="C570" s="79">
        <v>1900</v>
      </c>
      <c r="D570" s="79">
        <v>8000</v>
      </c>
      <c r="E570" s="71">
        <f t="shared" si="9"/>
        <v>6100</v>
      </c>
    </row>
    <row r="571" spans="1:5" ht="12" customHeight="1">
      <c r="A571" s="69">
        <v>46190</v>
      </c>
      <c r="B571" t="s">
        <v>43</v>
      </c>
      <c r="C571" s="79">
        <v>7000</v>
      </c>
      <c r="D571" s="79">
        <v>12000</v>
      </c>
      <c r="E571" s="71">
        <f t="shared" si="9"/>
        <v>5000</v>
      </c>
    </row>
    <row r="572" spans="1:5" ht="12" customHeight="1">
      <c r="A572" s="69">
        <v>46190</v>
      </c>
      <c r="B572" s="144" t="s">
        <v>77</v>
      </c>
      <c r="C572" s="79">
        <v>8500</v>
      </c>
      <c r="D572" s="79">
        <v>14000</v>
      </c>
      <c r="E572" s="71">
        <f t="shared" si="9"/>
        <v>5500</v>
      </c>
    </row>
    <row r="573" spans="1:5" ht="12" customHeight="1">
      <c r="A573" s="69">
        <v>46191</v>
      </c>
      <c r="B573" s="144" t="s">
        <v>22</v>
      </c>
      <c r="C573" s="162">
        <v>8400</v>
      </c>
      <c r="D573" s="79">
        <v>12000</v>
      </c>
      <c r="E573" s="71">
        <f t="shared" si="9"/>
        <v>3600</v>
      </c>
    </row>
    <row r="574" spans="1:5" ht="12" customHeight="1">
      <c r="A574" s="69">
        <v>46191</v>
      </c>
      <c r="B574" s="144" t="s">
        <v>22</v>
      </c>
      <c r="C574" s="162">
        <v>8400</v>
      </c>
      <c r="D574" s="79">
        <v>12000</v>
      </c>
      <c r="E574" s="71">
        <f t="shared" si="9"/>
        <v>3600</v>
      </c>
    </row>
    <row r="575" spans="1:5" ht="12" customHeight="1">
      <c r="A575" s="69">
        <v>46192</v>
      </c>
      <c r="B575" s="144" t="s">
        <v>22</v>
      </c>
      <c r="C575" s="162">
        <v>8400</v>
      </c>
      <c r="D575" s="79">
        <v>12000</v>
      </c>
      <c r="E575" s="71">
        <f t="shared" si="9"/>
        <v>3600</v>
      </c>
    </row>
    <row r="576" spans="1:5" ht="12" customHeight="1">
      <c r="A576" s="69">
        <v>46192</v>
      </c>
      <c r="B576" s="144" t="s">
        <v>22</v>
      </c>
      <c r="C576" s="162">
        <v>8400</v>
      </c>
      <c r="D576" s="79">
        <v>12000</v>
      </c>
      <c r="E576" s="71">
        <f t="shared" si="9"/>
        <v>3600</v>
      </c>
    </row>
    <row r="577" spans="1:5" ht="12" customHeight="1">
      <c r="A577" s="69">
        <v>46192</v>
      </c>
      <c r="B577" t="s">
        <v>43</v>
      </c>
      <c r="C577" s="79">
        <v>7000</v>
      </c>
      <c r="D577" s="79">
        <v>12000</v>
      </c>
      <c r="E577" s="71">
        <f t="shared" si="9"/>
        <v>5000</v>
      </c>
    </row>
    <row r="578" spans="1:5" ht="12" customHeight="1">
      <c r="A578" s="69">
        <v>46193</v>
      </c>
      <c r="B578" s="144" t="s">
        <v>22</v>
      </c>
      <c r="C578" s="162">
        <v>8400</v>
      </c>
      <c r="D578" s="79">
        <v>12000</v>
      </c>
      <c r="E578" s="71">
        <f t="shared" ref="E578:E641" si="10">+D578-C578</f>
        <v>3600</v>
      </c>
    </row>
    <row r="579" spans="1:5" ht="12" customHeight="1">
      <c r="A579" s="69">
        <v>46193</v>
      </c>
      <c r="B579" s="75" t="s">
        <v>17</v>
      </c>
      <c r="C579" s="79">
        <f>6100*3</f>
        <v>18300</v>
      </c>
      <c r="D579" s="79">
        <f>9000*3</f>
        <v>27000</v>
      </c>
      <c r="E579" s="71">
        <f t="shared" si="10"/>
        <v>8700</v>
      </c>
    </row>
    <row r="580" spans="1:5" ht="12" customHeight="1">
      <c r="A580" s="69">
        <v>46194</v>
      </c>
      <c r="B580" s="75" t="s">
        <v>25</v>
      </c>
      <c r="C580" s="79">
        <v>1900</v>
      </c>
      <c r="D580" s="79">
        <v>8000</v>
      </c>
      <c r="E580" s="71">
        <f t="shared" si="10"/>
        <v>6100</v>
      </c>
    </row>
    <row r="581" spans="1:5" ht="12" customHeight="1">
      <c r="A581" s="69">
        <v>46194</v>
      </c>
      <c r="B581" s="75" t="s">
        <v>25</v>
      </c>
      <c r="C581" s="79">
        <v>1900</v>
      </c>
      <c r="D581" s="79">
        <v>8000</v>
      </c>
      <c r="E581" s="71">
        <f t="shared" si="10"/>
        <v>6100</v>
      </c>
    </row>
    <row r="582" spans="1:5" ht="12" customHeight="1">
      <c r="A582" s="69">
        <v>46193</v>
      </c>
      <c r="B582" s="75" t="s">
        <v>17</v>
      </c>
      <c r="C582" s="79">
        <v>6100</v>
      </c>
      <c r="D582" s="79">
        <v>9000</v>
      </c>
      <c r="E582" s="71">
        <f t="shared" si="10"/>
        <v>2900</v>
      </c>
    </row>
    <row r="583" spans="1:5" ht="12" customHeight="1">
      <c r="A583" s="69">
        <v>46193</v>
      </c>
      <c r="B583" s="144" t="s">
        <v>22</v>
      </c>
      <c r="C583" s="162">
        <v>8400</v>
      </c>
      <c r="D583" s="79">
        <v>12000</v>
      </c>
      <c r="E583" s="71">
        <f t="shared" si="10"/>
        <v>3600</v>
      </c>
    </row>
    <row r="584" spans="1:5" ht="12" customHeight="1">
      <c r="A584" s="69">
        <v>46193</v>
      </c>
      <c r="B584" s="75" t="s">
        <v>43</v>
      </c>
      <c r="C584" s="79">
        <v>5800</v>
      </c>
      <c r="D584" s="79">
        <v>10000</v>
      </c>
      <c r="E584" s="71">
        <f t="shared" si="10"/>
        <v>4200</v>
      </c>
    </row>
    <row r="585" spans="1:5" ht="12" customHeight="1">
      <c r="A585" s="69">
        <v>46193</v>
      </c>
      <c r="B585" s="75" t="s">
        <v>1367</v>
      </c>
      <c r="C585" s="79">
        <v>2500</v>
      </c>
      <c r="D585" s="79">
        <v>5000</v>
      </c>
      <c r="E585" s="71">
        <f t="shared" si="10"/>
        <v>2500</v>
      </c>
    </row>
    <row r="586" spans="1:5" ht="12" customHeight="1">
      <c r="A586" s="69">
        <v>46193</v>
      </c>
      <c r="B586" s="75" t="s">
        <v>25</v>
      </c>
      <c r="C586" s="79">
        <v>1900</v>
      </c>
      <c r="D586" s="79">
        <v>5000</v>
      </c>
      <c r="E586" s="71">
        <f t="shared" si="10"/>
        <v>3100</v>
      </c>
    </row>
    <row r="587" spans="1:5" ht="12" customHeight="1">
      <c r="A587" s="69">
        <v>46193</v>
      </c>
      <c r="B587" s="75" t="s">
        <v>22</v>
      </c>
      <c r="C587" s="162">
        <v>8400</v>
      </c>
      <c r="D587" s="79">
        <v>11000</v>
      </c>
      <c r="E587" s="71">
        <f t="shared" si="10"/>
        <v>2600</v>
      </c>
    </row>
    <row r="588" spans="1:5" ht="12" customHeight="1">
      <c r="A588" s="69">
        <v>46195</v>
      </c>
      <c r="B588" s="75" t="s">
        <v>43</v>
      </c>
      <c r="C588" s="79">
        <v>5800</v>
      </c>
      <c r="D588" s="79">
        <v>12000</v>
      </c>
      <c r="E588" s="71">
        <f t="shared" si="10"/>
        <v>6200</v>
      </c>
    </row>
    <row r="589" spans="1:5" ht="12" customHeight="1">
      <c r="A589" s="69">
        <v>46196</v>
      </c>
      <c r="B589" s="75" t="s">
        <v>22</v>
      </c>
      <c r="C589" s="162">
        <v>8400</v>
      </c>
      <c r="D589" s="79">
        <v>11000</v>
      </c>
      <c r="E589" s="71">
        <f t="shared" si="10"/>
        <v>2600</v>
      </c>
    </row>
    <row r="590" spans="1:5" ht="12" customHeight="1">
      <c r="A590" s="69">
        <v>46196</v>
      </c>
      <c r="B590" t="s">
        <v>1367</v>
      </c>
      <c r="C590" s="79">
        <v>2900</v>
      </c>
      <c r="D590" s="79">
        <v>5000</v>
      </c>
      <c r="E590" s="71">
        <f t="shared" si="10"/>
        <v>2100</v>
      </c>
    </row>
    <row r="591" spans="1:5" ht="12" customHeight="1">
      <c r="A591" s="69">
        <v>46197</v>
      </c>
      <c r="B591" s="75" t="s">
        <v>22</v>
      </c>
      <c r="C591" s="162">
        <v>8400</v>
      </c>
      <c r="D591" s="79">
        <v>11000</v>
      </c>
      <c r="E591" s="71">
        <f t="shared" si="10"/>
        <v>2600</v>
      </c>
    </row>
    <row r="592" spans="1:5" ht="12" customHeight="1">
      <c r="A592" s="69">
        <v>46197</v>
      </c>
      <c r="B592" t="s">
        <v>1367</v>
      </c>
      <c r="C592" s="79">
        <v>2900</v>
      </c>
      <c r="D592" s="79">
        <v>5000</v>
      </c>
      <c r="E592" s="71">
        <f t="shared" si="10"/>
        <v>2100</v>
      </c>
    </row>
    <row r="593" spans="1:5" ht="12" customHeight="1">
      <c r="A593" s="69">
        <v>46193</v>
      </c>
      <c r="B593" t="s">
        <v>17</v>
      </c>
      <c r="C593" s="79">
        <v>6100</v>
      </c>
      <c r="D593" s="79">
        <v>6500</v>
      </c>
      <c r="E593" s="71">
        <f t="shared" si="10"/>
        <v>400</v>
      </c>
    </row>
    <row r="594" spans="1:5" ht="12" customHeight="1">
      <c r="A594" s="69">
        <v>46197</v>
      </c>
      <c r="B594" s="75" t="s">
        <v>22</v>
      </c>
      <c r="C594" s="162">
        <v>8400</v>
      </c>
      <c r="D594" s="79">
        <v>12000</v>
      </c>
      <c r="E594" s="71">
        <f t="shared" si="10"/>
        <v>3600</v>
      </c>
    </row>
    <row r="595" spans="1:5" ht="12" customHeight="1">
      <c r="A595" s="69">
        <v>46197</v>
      </c>
      <c r="B595" s="75" t="s">
        <v>22</v>
      </c>
      <c r="C595" s="162">
        <v>8400</v>
      </c>
      <c r="D595" s="79">
        <v>12000</v>
      </c>
      <c r="E595" s="71">
        <f t="shared" si="10"/>
        <v>3600</v>
      </c>
    </row>
    <row r="596" spans="1:5" ht="12" customHeight="1">
      <c r="A596" s="69">
        <v>46201</v>
      </c>
      <c r="B596" s="75" t="s">
        <v>22</v>
      </c>
      <c r="C596" s="162">
        <v>8400</v>
      </c>
      <c r="D596" s="79">
        <v>12000</v>
      </c>
      <c r="E596" s="71">
        <f t="shared" si="10"/>
        <v>3600</v>
      </c>
    </row>
    <row r="597" spans="1:5" ht="12" customHeight="1">
      <c r="A597" s="69">
        <v>46201</v>
      </c>
      <c r="B597" s="75" t="s">
        <v>22</v>
      </c>
      <c r="C597" s="162">
        <v>8400</v>
      </c>
      <c r="D597" s="79">
        <v>12000</v>
      </c>
      <c r="E597" s="71">
        <f t="shared" si="10"/>
        <v>3600</v>
      </c>
    </row>
    <row r="598" spans="1:5" ht="12" customHeight="1">
      <c r="A598" s="69">
        <v>46202</v>
      </c>
      <c r="B598" s="144" t="s">
        <v>1368</v>
      </c>
      <c r="C598" s="79">
        <v>18900</v>
      </c>
      <c r="D598" s="79">
        <v>30000</v>
      </c>
      <c r="E598" s="71">
        <f t="shared" si="10"/>
        <v>11100</v>
      </c>
    </row>
    <row r="599" spans="1:5" ht="12" customHeight="1">
      <c r="A599" s="69">
        <v>46202</v>
      </c>
      <c r="B599" s="144" t="s">
        <v>17</v>
      </c>
      <c r="C599" s="79">
        <v>6100</v>
      </c>
      <c r="D599" s="79">
        <v>9000</v>
      </c>
      <c r="E599" s="71">
        <f t="shared" si="10"/>
        <v>2900</v>
      </c>
    </row>
    <row r="600" spans="1:5" ht="12" customHeight="1">
      <c r="A600" s="69">
        <v>46202</v>
      </c>
      <c r="B600" s="144" t="s">
        <v>17</v>
      </c>
      <c r="C600" s="79">
        <v>6100</v>
      </c>
      <c r="D600" s="79">
        <v>9000</v>
      </c>
      <c r="E600" s="71">
        <f t="shared" si="10"/>
        <v>2900</v>
      </c>
    </row>
    <row r="601" spans="1:5" ht="12" customHeight="1">
      <c r="A601" s="69">
        <v>46202</v>
      </c>
      <c r="B601" s="144" t="s">
        <v>1367</v>
      </c>
      <c r="C601" s="79">
        <v>2500</v>
      </c>
      <c r="D601" s="79">
        <v>5000</v>
      </c>
      <c r="E601" s="71">
        <f t="shared" si="10"/>
        <v>2500</v>
      </c>
    </row>
    <row r="602" spans="1:5" ht="12" customHeight="1">
      <c r="A602" s="69">
        <v>46202</v>
      </c>
      <c r="B602" s="144" t="s">
        <v>1370</v>
      </c>
      <c r="C602" s="79">
        <v>12990</v>
      </c>
      <c r="D602" s="79">
        <v>20000</v>
      </c>
      <c r="E602" s="71">
        <f t="shared" si="10"/>
        <v>7010</v>
      </c>
    </row>
    <row r="603" spans="1:5" ht="12" customHeight="1">
      <c r="A603" s="69">
        <v>46203</v>
      </c>
      <c r="B603" s="144" t="s">
        <v>22</v>
      </c>
      <c r="C603" s="162">
        <v>8000</v>
      </c>
      <c r="D603" s="79">
        <v>12000</v>
      </c>
      <c r="E603" s="71">
        <f t="shared" si="10"/>
        <v>4000</v>
      </c>
    </row>
    <row r="604" spans="1:5" ht="12" customHeight="1">
      <c r="A604" s="69">
        <v>46203</v>
      </c>
      <c r="B604" s="144" t="s">
        <v>17</v>
      </c>
      <c r="C604" s="79">
        <v>6100</v>
      </c>
      <c r="D604" s="79">
        <v>9000</v>
      </c>
      <c r="E604" s="71">
        <f t="shared" si="10"/>
        <v>2900</v>
      </c>
    </row>
    <row r="605" spans="1:5" ht="12" customHeight="1">
      <c r="A605" s="69">
        <v>46204</v>
      </c>
      <c r="B605" s="144" t="s">
        <v>25</v>
      </c>
      <c r="C605" s="79">
        <v>1900</v>
      </c>
      <c r="D605" s="79">
        <v>8000</v>
      </c>
      <c r="E605" s="71">
        <f t="shared" si="10"/>
        <v>6100</v>
      </c>
    </row>
    <row r="606" spans="1:5" ht="12" customHeight="1">
      <c r="A606" s="69">
        <v>46204</v>
      </c>
      <c r="B606" s="144" t="s">
        <v>1367</v>
      </c>
      <c r="C606" s="79">
        <v>2500</v>
      </c>
      <c r="D606" s="79">
        <v>8000</v>
      </c>
      <c r="E606" s="71">
        <f t="shared" si="10"/>
        <v>5500</v>
      </c>
    </row>
    <row r="607" spans="1:5" ht="12" customHeight="1">
      <c r="A607" s="69">
        <v>46204</v>
      </c>
      <c r="B607" s="144" t="s">
        <v>25</v>
      </c>
      <c r="C607" s="79">
        <v>7000</v>
      </c>
      <c r="D607" s="79">
        <v>12000</v>
      </c>
      <c r="E607" s="71">
        <f t="shared" si="10"/>
        <v>5000</v>
      </c>
    </row>
    <row r="608" spans="1:5" ht="12" customHeight="1">
      <c r="A608" s="69">
        <v>46206</v>
      </c>
      <c r="B608" s="144" t="s">
        <v>17</v>
      </c>
      <c r="C608" s="79">
        <v>6100</v>
      </c>
      <c r="D608" s="79">
        <v>6500</v>
      </c>
      <c r="E608" s="71">
        <f t="shared" si="10"/>
        <v>400</v>
      </c>
    </row>
    <row r="609" spans="1:5" ht="12" customHeight="1">
      <c r="A609" s="69">
        <v>46206</v>
      </c>
      <c r="B609" s="144" t="s">
        <v>43</v>
      </c>
      <c r="C609" s="79">
        <v>3500</v>
      </c>
      <c r="D609" s="79">
        <v>8000</v>
      </c>
      <c r="E609" s="71">
        <f t="shared" si="10"/>
        <v>4500</v>
      </c>
    </row>
    <row r="610" spans="1:5" ht="12" customHeight="1">
      <c r="A610" s="69">
        <v>46206</v>
      </c>
      <c r="B610" s="144" t="s">
        <v>43</v>
      </c>
      <c r="C610" s="79">
        <v>3500</v>
      </c>
      <c r="D610" s="79">
        <v>8000</v>
      </c>
      <c r="E610" s="71">
        <f t="shared" si="10"/>
        <v>4500</v>
      </c>
    </row>
    <row r="611" spans="1:5" ht="12" customHeight="1">
      <c r="A611" s="69">
        <v>46206</v>
      </c>
      <c r="B611" s="144" t="s">
        <v>22</v>
      </c>
      <c r="C611" s="162">
        <v>8000</v>
      </c>
      <c r="D611" s="79">
        <v>12000</v>
      </c>
      <c r="E611" s="71">
        <f t="shared" si="10"/>
        <v>4000</v>
      </c>
    </row>
    <row r="612" spans="1:5" ht="12" customHeight="1">
      <c r="A612" s="69">
        <v>46206</v>
      </c>
      <c r="B612" s="144" t="s">
        <v>22</v>
      </c>
      <c r="C612" s="162">
        <v>8000</v>
      </c>
      <c r="D612" s="79">
        <v>12000</v>
      </c>
      <c r="E612" s="71">
        <f t="shared" si="10"/>
        <v>4000</v>
      </c>
    </row>
    <row r="613" spans="1:5" ht="12" customHeight="1">
      <c r="A613" s="69">
        <v>46209</v>
      </c>
      <c r="B613" s="144" t="s">
        <v>65</v>
      </c>
      <c r="C613" s="79">
        <v>2000</v>
      </c>
      <c r="D613" s="79">
        <v>6000</v>
      </c>
      <c r="E613" s="71">
        <f>+D613-C613</f>
        <v>4000</v>
      </c>
    </row>
    <row r="614" spans="1:5" ht="12" customHeight="1">
      <c r="A614" s="69">
        <v>46211</v>
      </c>
      <c r="B614" s="144" t="s">
        <v>65</v>
      </c>
      <c r="C614" s="79"/>
      <c r="D614" s="79">
        <v>6000</v>
      </c>
      <c r="E614" s="71">
        <f>+D614-C614</f>
        <v>6000</v>
      </c>
    </row>
    <row r="615" spans="1:5" ht="12" customHeight="1">
      <c r="A615" s="69">
        <v>46212</v>
      </c>
      <c r="B615" s="144" t="s">
        <v>22</v>
      </c>
      <c r="C615" s="162">
        <v>8000</v>
      </c>
      <c r="D615" s="79">
        <v>12000</v>
      </c>
      <c r="E615" s="71">
        <f>+D615-C615</f>
        <v>4000</v>
      </c>
    </row>
    <row r="616" spans="1:5" ht="12" customHeight="1">
      <c r="A616" s="69">
        <v>46212</v>
      </c>
      <c r="B616" s="144" t="s">
        <v>22</v>
      </c>
      <c r="C616" s="162">
        <v>8000</v>
      </c>
      <c r="D616" s="79">
        <v>11000</v>
      </c>
      <c r="E616" s="71">
        <f>+D616-C616</f>
        <v>3000</v>
      </c>
    </row>
    <row r="617" spans="1:5" ht="12" customHeight="1">
      <c r="A617" s="69">
        <v>46212</v>
      </c>
      <c r="B617" s="144" t="s">
        <v>25</v>
      </c>
      <c r="C617" s="79">
        <v>1900</v>
      </c>
      <c r="D617" s="79">
        <v>5000</v>
      </c>
      <c r="E617" s="71">
        <f t="shared" si="10"/>
        <v>3100</v>
      </c>
    </row>
    <row r="618" spans="1:5" ht="12" customHeight="1">
      <c r="A618" s="69">
        <v>46212</v>
      </c>
      <c r="B618" s="144" t="s">
        <v>1367</v>
      </c>
      <c r="C618" s="79">
        <v>2000</v>
      </c>
      <c r="D618" s="79">
        <v>5000</v>
      </c>
      <c r="E618" s="71">
        <f t="shared" si="10"/>
        <v>3000</v>
      </c>
    </row>
    <row r="619" spans="1:5" ht="12" customHeight="1">
      <c r="A619" s="69">
        <v>46212</v>
      </c>
      <c r="B619" s="144" t="s">
        <v>43</v>
      </c>
      <c r="C619" s="79">
        <v>6000</v>
      </c>
      <c r="D619" s="79">
        <v>10000</v>
      </c>
      <c r="E619" s="71">
        <f t="shared" si="10"/>
        <v>4000</v>
      </c>
    </row>
    <row r="620" spans="1:5" ht="12" customHeight="1">
      <c r="A620" s="69">
        <v>46212</v>
      </c>
      <c r="B620" s="144" t="s">
        <v>65</v>
      </c>
      <c r="C620" s="79">
        <v>2000</v>
      </c>
      <c r="D620" s="79">
        <v>6000</v>
      </c>
      <c r="E620" s="71">
        <f t="shared" si="10"/>
        <v>4000</v>
      </c>
    </row>
    <row r="621" spans="1:5" ht="12" customHeight="1">
      <c r="A621" s="69">
        <v>46212</v>
      </c>
      <c r="B621" s="144" t="s">
        <v>22</v>
      </c>
      <c r="C621" s="162">
        <v>8000</v>
      </c>
      <c r="D621" s="79">
        <v>11000</v>
      </c>
      <c r="E621" s="71">
        <f t="shared" si="10"/>
        <v>3000</v>
      </c>
    </row>
    <row r="622" spans="1:5" ht="12" customHeight="1">
      <c r="A622" s="69">
        <v>46212</v>
      </c>
      <c r="B622" s="144" t="s">
        <v>25</v>
      </c>
      <c r="C622" s="79">
        <v>1900</v>
      </c>
      <c r="D622" s="79">
        <v>5000</v>
      </c>
      <c r="E622" s="71">
        <f t="shared" si="10"/>
        <v>3100</v>
      </c>
    </row>
    <row r="623" spans="1:5" ht="13.5" customHeight="1">
      <c r="A623" s="69">
        <v>46212</v>
      </c>
      <c r="B623" s="144" t="s">
        <v>1367</v>
      </c>
      <c r="C623" s="79">
        <v>2000</v>
      </c>
      <c r="D623" s="79">
        <v>5000</v>
      </c>
      <c r="E623" s="71">
        <f t="shared" si="10"/>
        <v>3000</v>
      </c>
    </row>
    <row r="624" spans="1:5" ht="13.5" customHeight="1">
      <c r="A624" s="69">
        <v>46212</v>
      </c>
      <c r="B624" s="144" t="s">
        <v>43</v>
      </c>
      <c r="C624" s="79">
        <v>3500</v>
      </c>
      <c r="D624" s="79">
        <v>7000</v>
      </c>
      <c r="E624" s="71">
        <f t="shared" si="10"/>
        <v>3500</v>
      </c>
    </row>
    <row r="625" spans="1:5" ht="13.5" customHeight="1">
      <c r="A625" s="69">
        <v>46213</v>
      </c>
      <c r="B625" s="144" t="s">
        <v>1367</v>
      </c>
      <c r="C625" s="79">
        <v>2000</v>
      </c>
      <c r="D625" s="79">
        <v>8000</v>
      </c>
      <c r="E625" s="71">
        <f t="shared" si="10"/>
        <v>6000</v>
      </c>
    </row>
    <row r="626" spans="1:5" ht="13.5" customHeight="1">
      <c r="A626" s="69">
        <v>46217</v>
      </c>
      <c r="B626" s="75" t="s">
        <v>22</v>
      </c>
      <c r="C626" s="162">
        <v>8000</v>
      </c>
      <c r="D626" s="79">
        <v>11000</v>
      </c>
      <c r="E626" s="71">
        <f t="shared" si="10"/>
        <v>3000</v>
      </c>
    </row>
    <row r="627" spans="1:5" ht="13.5" customHeight="1">
      <c r="A627" s="69">
        <v>46218</v>
      </c>
      <c r="B627" s="144" t="s">
        <v>22</v>
      </c>
      <c r="C627" s="162">
        <v>8000</v>
      </c>
      <c r="D627" s="79">
        <v>11000</v>
      </c>
      <c r="E627" s="71">
        <f t="shared" si="10"/>
        <v>3000</v>
      </c>
    </row>
    <row r="628" spans="1:5" ht="13.5" customHeight="1">
      <c r="A628" s="69">
        <v>46218</v>
      </c>
      <c r="B628" t="s">
        <v>17</v>
      </c>
      <c r="C628" s="79">
        <v>6100</v>
      </c>
      <c r="D628" s="79">
        <v>9000</v>
      </c>
      <c r="E628" s="71">
        <f t="shared" si="10"/>
        <v>2900</v>
      </c>
    </row>
    <row r="629" spans="1:5" ht="13.5" customHeight="1">
      <c r="A629" s="69">
        <v>46218</v>
      </c>
      <c r="B629" t="s">
        <v>25</v>
      </c>
      <c r="C629" s="79">
        <v>1900</v>
      </c>
      <c r="D629" s="79">
        <v>8000</v>
      </c>
      <c r="E629" s="71">
        <f t="shared" si="10"/>
        <v>6100</v>
      </c>
    </row>
    <row r="630" spans="1:5" ht="13.5" customHeight="1">
      <c r="A630" s="69">
        <v>46218</v>
      </c>
      <c r="B630" s="75" t="s">
        <v>25</v>
      </c>
      <c r="C630" s="79">
        <v>1900</v>
      </c>
      <c r="D630" s="79">
        <v>8000</v>
      </c>
      <c r="E630" s="71">
        <f t="shared" si="10"/>
        <v>6100</v>
      </c>
    </row>
    <row r="631" spans="1:5" ht="13.5" customHeight="1">
      <c r="A631" s="69">
        <v>46219</v>
      </c>
      <c r="B631" s="144" t="s">
        <v>22</v>
      </c>
      <c r="C631" s="162">
        <v>8000</v>
      </c>
      <c r="D631" s="79">
        <v>12000</v>
      </c>
      <c r="E631" s="71">
        <f t="shared" si="10"/>
        <v>4000</v>
      </c>
    </row>
    <row r="632" spans="1:5" ht="13.5" customHeight="1">
      <c r="A632" s="69">
        <v>46219</v>
      </c>
      <c r="B632" t="s">
        <v>17</v>
      </c>
      <c r="C632" s="79">
        <v>6100</v>
      </c>
      <c r="D632" s="79">
        <v>9000</v>
      </c>
      <c r="E632" s="71">
        <f t="shared" si="10"/>
        <v>2900</v>
      </c>
    </row>
    <row r="633" spans="1:5" ht="13.5" customHeight="1">
      <c r="A633" s="69">
        <v>46219</v>
      </c>
      <c r="B633" s="144" t="s">
        <v>22</v>
      </c>
      <c r="C633" s="162">
        <v>8000</v>
      </c>
      <c r="D633" s="79">
        <v>12000</v>
      </c>
      <c r="E633" s="71">
        <f t="shared" si="10"/>
        <v>4000</v>
      </c>
    </row>
    <row r="634" spans="1:5" ht="13.5" customHeight="1">
      <c r="A634" s="69">
        <v>46220</v>
      </c>
      <c r="B634" s="144" t="s">
        <v>22</v>
      </c>
      <c r="C634" s="162">
        <v>8000</v>
      </c>
      <c r="D634" s="79">
        <v>11000</v>
      </c>
      <c r="E634" s="71">
        <f t="shared" si="10"/>
        <v>3000</v>
      </c>
    </row>
    <row r="635" spans="1:5" ht="13.5" customHeight="1">
      <c r="A635" s="69">
        <v>46220</v>
      </c>
      <c r="B635" s="75" t="s">
        <v>25</v>
      </c>
      <c r="C635" s="79">
        <v>1900</v>
      </c>
      <c r="D635" s="79">
        <v>5000</v>
      </c>
      <c r="E635" s="71">
        <f t="shared" si="10"/>
        <v>3100</v>
      </c>
    </row>
    <row r="636" spans="1:5" ht="13.5" customHeight="1">
      <c r="A636" s="69">
        <v>46221</v>
      </c>
      <c r="B636" s="144" t="s">
        <v>22</v>
      </c>
      <c r="C636" s="162">
        <v>8000</v>
      </c>
      <c r="D636" s="79">
        <v>12000</v>
      </c>
      <c r="E636" s="71">
        <f t="shared" si="10"/>
        <v>4000</v>
      </c>
    </row>
    <row r="637" spans="1:5" ht="13.5" customHeight="1">
      <c r="A637" s="69">
        <v>46222</v>
      </c>
      <c r="B637" s="144" t="s">
        <v>22</v>
      </c>
      <c r="C637" s="162">
        <v>8000</v>
      </c>
      <c r="D637" s="79">
        <v>12000</v>
      </c>
      <c r="E637" s="71">
        <f t="shared" si="10"/>
        <v>4000</v>
      </c>
    </row>
    <row r="638" spans="1:5" ht="13.5" customHeight="1">
      <c r="A638" s="69">
        <v>46222</v>
      </c>
      <c r="B638" s="75" t="s">
        <v>43</v>
      </c>
      <c r="C638" s="79">
        <v>3500</v>
      </c>
      <c r="D638" s="79">
        <v>8000</v>
      </c>
      <c r="E638" s="71">
        <f t="shared" si="10"/>
        <v>4500</v>
      </c>
    </row>
    <row r="639" spans="1:5" ht="13.5" customHeight="1">
      <c r="A639" s="69">
        <v>46222</v>
      </c>
      <c r="B639" s="75" t="s">
        <v>25</v>
      </c>
      <c r="C639" s="79">
        <v>1900</v>
      </c>
      <c r="D639" s="79">
        <v>8000</v>
      </c>
      <c r="E639" s="71">
        <f t="shared" si="10"/>
        <v>6100</v>
      </c>
    </row>
    <row r="640" spans="1:5" ht="13.5" customHeight="1">
      <c r="A640" s="69">
        <v>46224</v>
      </c>
      <c r="B640" s="75" t="s">
        <v>17</v>
      </c>
      <c r="C640" s="79">
        <v>6100</v>
      </c>
      <c r="D640" s="79">
        <v>9000</v>
      </c>
      <c r="E640" s="71">
        <f t="shared" si="10"/>
        <v>2900</v>
      </c>
    </row>
    <row r="641" spans="1:5" ht="13.5" customHeight="1">
      <c r="A641" s="69">
        <v>46224</v>
      </c>
      <c r="B641" s="75" t="s">
        <v>22</v>
      </c>
      <c r="C641" s="162">
        <v>8000</v>
      </c>
      <c r="D641" s="79">
        <v>11000</v>
      </c>
      <c r="E641" s="71">
        <f t="shared" si="10"/>
        <v>3000</v>
      </c>
    </row>
    <row r="642" spans="1:5" ht="13.5" customHeight="1">
      <c r="A642" s="69">
        <v>46224</v>
      </c>
      <c r="B642" s="75" t="s">
        <v>43</v>
      </c>
      <c r="C642" s="79">
        <v>6500</v>
      </c>
      <c r="D642" s="79">
        <v>10000</v>
      </c>
      <c r="E642" s="71">
        <f t="shared" ref="E642:E705" si="11">+D642-C642</f>
        <v>3500</v>
      </c>
    </row>
    <row r="643" spans="1:5" ht="13.5" customHeight="1">
      <c r="A643" s="69">
        <v>46224</v>
      </c>
      <c r="B643" s="75" t="s">
        <v>25</v>
      </c>
      <c r="C643" s="79">
        <v>1900</v>
      </c>
      <c r="D643" s="79">
        <v>5000</v>
      </c>
      <c r="E643" s="71">
        <f t="shared" si="11"/>
        <v>3100</v>
      </c>
    </row>
    <row r="644" spans="1:5" ht="13.5" customHeight="1">
      <c r="A644" s="69">
        <v>46224</v>
      </c>
      <c r="B644" s="144" t="s">
        <v>1367</v>
      </c>
      <c r="C644" s="79">
        <v>2000</v>
      </c>
      <c r="D644" s="79">
        <v>5000</v>
      </c>
      <c r="E644" s="71">
        <f t="shared" si="11"/>
        <v>3000</v>
      </c>
    </row>
    <row r="645" spans="1:5" ht="13.5" customHeight="1">
      <c r="A645" s="69">
        <v>46224</v>
      </c>
      <c r="B645" s="75" t="s">
        <v>22</v>
      </c>
      <c r="C645" s="162">
        <v>8000</v>
      </c>
      <c r="D645" s="79">
        <v>12000</v>
      </c>
      <c r="E645" s="71">
        <f t="shared" si="11"/>
        <v>4000</v>
      </c>
    </row>
    <row r="646" spans="1:5" ht="13.5" customHeight="1">
      <c r="A646" s="69">
        <v>46224</v>
      </c>
      <c r="B646" s="75" t="s">
        <v>43</v>
      </c>
      <c r="C646" s="79">
        <v>3500</v>
      </c>
      <c r="D646" s="79">
        <v>8000</v>
      </c>
      <c r="E646" s="71">
        <f t="shared" si="11"/>
        <v>4500</v>
      </c>
    </row>
    <row r="647" spans="1:5" ht="13.5" customHeight="1">
      <c r="A647" s="69">
        <v>46224</v>
      </c>
      <c r="B647" s="75" t="s">
        <v>22</v>
      </c>
      <c r="C647" s="162">
        <v>8000</v>
      </c>
      <c r="D647" s="79">
        <v>12000</v>
      </c>
      <c r="E647" s="71">
        <f t="shared" si="11"/>
        <v>4000</v>
      </c>
    </row>
    <row r="648" spans="1:5" ht="13.5" customHeight="1">
      <c r="A648" s="69">
        <v>46225</v>
      </c>
      <c r="B648" s="75" t="s">
        <v>17</v>
      </c>
      <c r="C648" s="79">
        <v>6100</v>
      </c>
      <c r="D648" s="79">
        <v>6500</v>
      </c>
      <c r="E648" s="71">
        <f t="shared" si="11"/>
        <v>400</v>
      </c>
    </row>
    <row r="649" spans="1:5" ht="13.5" customHeight="1">
      <c r="A649" s="69">
        <v>46225</v>
      </c>
      <c r="B649" s="75" t="s">
        <v>22</v>
      </c>
      <c r="C649" s="162">
        <v>8000</v>
      </c>
      <c r="D649" s="79">
        <v>12000</v>
      </c>
      <c r="E649" s="71">
        <f t="shared" si="11"/>
        <v>4000</v>
      </c>
    </row>
    <row r="650" spans="1:5" ht="13.5" customHeight="1">
      <c r="A650" s="69">
        <v>46225</v>
      </c>
      <c r="B650" s="75" t="s">
        <v>22</v>
      </c>
      <c r="C650" s="162">
        <v>8000</v>
      </c>
      <c r="D650" s="79">
        <v>12000</v>
      </c>
      <c r="E650" s="71">
        <f t="shared" si="11"/>
        <v>4000</v>
      </c>
    </row>
    <row r="651" spans="1:5" ht="13.5" customHeight="1">
      <c r="A651" s="69">
        <v>46225</v>
      </c>
      <c r="B651" s="75" t="s">
        <v>25</v>
      </c>
      <c r="C651" s="79">
        <v>1900</v>
      </c>
      <c r="D651" s="79">
        <v>8000</v>
      </c>
      <c r="E651" s="71">
        <f t="shared" si="11"/>
        <v>6100</v>
      </c>
    </row>
    <row r="652" spans="1:5" ht="13.5" customHeight="1">
      <c r="A652" s="69">
        <v>46226</v>
      </c>
      <c r="B652" s="75" t="s">
        <v>22</v>
      </c>
      <c r="C652" s="162">
        <v>8000</v>
      </c>
      <c r="D652" s="79">
        <v>12000</v>
      </c>
      <c r="E652" s="71">
        <f t="shared" si="11"/>
        <v>4000</v>
      </c>
    </row>
    <row r="653" spans="1:5" ht="13.5" customHeight="1">
      <c r="A653" s="69">
        <v>46227</v>
      </c>
      <c r="B653" s="75" t="s">
        <v>22</v>
      </c>
      <c r="C653" s="162">
        <v>8000</v>
      </c>
      <c r="D653" s="79">
        <v>12000</v>
      </c>
      <c r="E653" s="71">
        <f t="shared" si="11"/>
        <v>4000</v>
      </c>
    </row>
    <row r="654" spans="1:5" ht="13.5" customHeight="1">
      <c r="A654" s="69">
        <v>46227</v>
      </c>
      <c r="B654" s="144" t="s">
        <v>43</v>
      </c>
      <c r="C654" s="79">
        <v>3500</v>
      </c>
      <c r="D654" s="79">
        <v>8000</v>
      </c>
      <c r="E654" s="71">
        <f t="shared" si="11"/>
        <v>4500</v>
      </c>
    </row>
    <row r="655" spans="1:5" ht="13.5" customHeight="1">
      <c r="A655" s="69">
        <v>46228</v>
      </c>
      <c r="B655" s="75" t="s">
        <v>22</v>
      </c>
      <c r="C655" s="162">
        <v>8000</v>
      </c>
      <c r="D655" s="79">
        <v>12000</v>
      </c>
      <c r="E655" s="71">
        <f t="shared" si="11"/>
        <v>4000</v>
      </c>
    </row>
    <row r="656" spans="1:5" ht="13.5" customHeight="1">
      <c r="A656" s="69">
        <v>46229</v>
      </c>
      <c r="B656" s="144" t="s">
        <v>25</v>
      </c>
      <c r="C656" s="79">
        <v>4000</v>
      </c>
      <c r="D656" s="79">
        <v>10000</v>
      </c>
      <c r="E656" s="71">
        <f t="shared" si="11"/>
        <v>6000</v>
      </c>
    </row>
    <row r="657" spans="1:5" ht="13.5" customHeight="1">
      <c r="A657" s="69">
        <v>46230</v>
      </c>
      <c r="B657" s="75" t="s">
        <v>22</v>
      </c>
      <c r="C657" s="162">
        <v>8000</v>
      </c>
      <c r="D657" s="79">
        <v>12000</v>
      </c>
      <c r="E657" s="71">
        <f t="shared" si="11"/>
        <v>4000</v>
      </c>
    </row>
    <row r="658" spans="1:5" ht="13.5" customHeight="1">
      <c r="A658" s="69">
        <v>46229</v>
      </c>
      <c r="B658" s="75" t="s">
        <v>22</v>
      </c>
      <c r="C658" s="162">
        <v>8000</v>
      </c>
      <c r="D658" s="79">
        <v>11000</v>
      </c>
      <c r="E658" s="71">
        <f t="shared" si="11"/>
        <v>3000</v>
      </c>
    </row>
    <row r="659" spans="1:5" ht="13.5" customHeight="1">
      <c r="A659" s="69">
        <v>46229</v>
      </c>
      <c r="B659" s="75" t="s">
        <v>22</v>
      </c>
      <c r="C659" s="162">
        <v>8000</v>
      </c>
      <c r="D659" s="79">
        <v>11000</v>
      </c>
      <c r="E659" s="71">
        <f t="shared" si="11"/>
        <v>3000</v>
      </c>
    </row>
    <row r="660" spans="1:5" ht="13.5" customHeight="1">
      <c r="A660" s="69">
        <v>46230</v>
      </c>
      <c r="B660" s="144" t="s">
        <v>43</v>
      </c>
      <c r="C660" s="79">
        <f>3500+3000</f>
        <v>6500</v>
      </c>
      <c r="D660" s="79">
        <v>16000</v>
      </c>
      <c r="E660" s="71">
        <f t="shared" si="11"/>
        <v>9500</v>
      </c>
    </row>
    <row r="661" spans="1:5" ht="13.5" customHeight="1">
      <c r="A661" s="69">
        <v>46230</v>
      </c>
      <c r="B661" s="144" t="s">
        <v>65</v>
      </c>
      <c r="C661" s="79">
        <v>3000</v>
      </c>
      <c r="D661" s="79">
        <v>6000</v>
      </c>
      <c r="E661" s="71">
        <f t="shared" si="11"/>
        <v>3000</v>
      </c>
    </row>
    <row r="662" spans="1:5" ht="13.5" customHeight="1">
      <c r="A662" s="69">
        <v>46230</v>
      </c>
      <c r="B662" s="75" t="s">
        <v>22</v>
      </c>
      <c r="C662" s="162">
        <v>8000</v>
      </c>
      <c r="D662" s="79">
        <v>12000</v>
      </c>
      <c r="E662" s="71">
        <f t="shared" si="11"/>
        <v>4000</v>
      </c>
    </row>
    <row r="663" spans="1:5" ht="13.5" customHeight="1">
      <c r="A663" s="69">
        <v>46231</v>
      </c>
      <c r="B663" s="144" t="s">
        <v>43</v>
      </c>
      <c r="C663" s="79">
        <v>3500</v>
      </c>
      <c r="D663" s="79">
        <v>8000</v>
      </c>
      <c r="E663" s="71">
        <f t="shared" si="11"/>
        <v>4500</v>
      </c>
    </row>
    <row r="664" spans="1:5" ht="13.5" customHeight="1">
      <c r="A664" s="69">
        <v>46231</v>
      </c>
      <c r="B664" s="75" t="s">
        <v>22</v>
      </c>
      <c r="C664" s="162">
        <v>8000</v>
      </c>
      <c r="D664" s="79">
        <v>11000</v>
      </c>
      <c r="E664" s="71">
        <f t="shared" si="11"/>
        <v>3000</v>
      </c>
    </row>
    <row r="665" spans="1:5" ht="13.5" customHeight="1">
      <c r="A665" s="69">
        <v>46231</v>
      </c>
      <c r="B665" s="75" t="s">
        <v>22</v>
      </c>
      <c r="C665" s="162">
        <v>8000</v>
      </c>
      <c r="D665" s="79">
        <v>11000</v>
      </c>
      <c r="E665" s="71">
        <f t="shared" si="11"/>
        <v>3000</v>
      </c>
    </row>
    <row r="666" spans="1:5" ht="13.5" customHeight="1">
      <c r="A666" s="69">
        <v>46231</v>
      </c>
      <c r="B666" s="75" t="s">
        <v>25</v>
      </c>
      <c r="C666" s="79">
        <v>1900</v>
      </c>
      <c r="D666" s="79">
        <v>5000</v>
      </c>
      <c r="E666" s="71">
        <f t="shared" si="11"/>
        <v>3100</v>
      </c>
    </row>
    <row r="667" spans="1:5" ht="13.5" customHeight="1">
      <c r="A667" s="69">
        <v>46231</v>
      </c>
      <c r="B667" s="75" t="s">
        <v>17</v>
      </c>
      <c r="C667" s="79">
        <v>6100</v>
      </c>
      <c r="D667" s="79">
        <v>9000</v>
      </c>
      <c r="E667" s="71">
        <f t="shared" si="11"/>
        <v>2900</v>
      </c>
    </row>
    <row r="668" spans="1:5" ht="13.5" customHeight="1">
      <c r="A668" s="69">
        <v>46231</v>
      </c>
      <c r="B668" s="75" t="s">
        <v>1367</v>
      </c>
      <c r="C668" s="79">
        <v>1500</v>
      </c>
      <c r="D668" s="79">
        <v>8000</v>
      </c>
      <c r="E668" s="71">
        <f t="shared" si="11"/>
        <v>6500</v>
      </c>
    </row>
    <row r="669" spans="1:5" ht="13.5" customHeight="1">
      <c r="A669" s="69"/>
      <c r="B669" s="75"/>
      <c r="C669" s="79"/>
      <c r="D669" s="79"/>
      <c r="E669" s="71">
        <f t="shared" si="11"/>
        <v>0</v>
      </c>
    </row>
    <row r="670" spans="1:5" ht="13.5" customHeight="1">
      <c r="A670" s="69"/>
      <c r="B670" s="75"/>
      <c r="C670" s="79"/>
      <c r="D670" s="79"/>
      <c r="E670" s="71">
        <f t="shared" si="11"/>
        <v>0</v>
      </c>
    </row>
    <row r="671" spans="1:5" ht="13.5" customHeight="1">
      <c r="A671" s="69"/>
      <c r="B671" s="75"/>
      <c r="C671" s="79"/>
      <c r="D671" s="79"/>
      <c r="E671" s="71">
        <f t="shared" si="11"/>
        <v>0</v>
      </c>
    </row>
    <row r="672" spans="1:5" ht="13.5" customHeight="1">
      <c r="A672" s="69"/>
      <c r="B672" s="75"/>
      <c r="C672" s="79"/>
      <c r="D672" s="79"/>
      <c r="E672" s="71">
        <f t="shared" si="11"/>
        <v>0</v>
      </c>
    </row>
    <row r="673" spans="1:5" ht="13.5" customHeight="1">
      <c r="A673" s="69"/>
      <c r="B673" s="75"/>
      <c r="C673" s="79"/>
      <c r="D673" s="79"/>
      <c r="E673" s="71">
        <f t="shared" si="11"/>
        <v>0</v>
      </c>
    </row>
    <row r="674" spans="1:5" ht="13.5" customHeight="1">
      <c r="A674" s="69"/>
      <c r="B674" s="75"/>
      <c r="C674" s="79"/>
      <c r="D674" s="79"/>
      <c r="E674" s="71">
        <f t="shared" si="11"/>
        <v>0</v>
      </c>
    </row>
    <row r="675" spans="1:5" ht="13.5" customHeight="1">
      <c r="A675" s="69"/>
      <c r="B675" s="75"/>
      <c r="C675" s="79"/>
      <c r="D675" s="79"/>
      <c r="E675" s="71">
        <f t="shared" si="11"/>
        <v>0</v>
      </c>
    </row>
    <row r="676" spans="1:5" ht="13.5" customHeight="1">
      <c r="A676" s="69"/>
      <c r="B676" s="75"/>
      <c r="C676" s="79"/>
      <c r="D676" s="79"/>
      <c r="E676" s="71">
        <f t="shared" si="11"/>
        <v>0</v>
      </c>
    </row>
    <row r="677" spans="1:5" ht="13.5" customHeight="1">
      <c r="A677" s="69"/>
      <c r="B677" s="75"/>
      <c r="C677" s="79"/>
      <c r="D677" s="79"/>
      <c r="E677" s="71">
        <f t="shared" si="11"/>
        <v>0</v>
      </c>
    </row>
    <row r="678" spans="1:5" ht="13.5" customHeight="1">
      <c r="A678" s="69"/>
      <c r="B678" s="75"/>
      <c r="C678" s="79"/>
      <c r="D678" s="79"/>
      <c r="E678" s="71">
        <f t="shared" si="11"/>
        <v>0</v>
      </c>
    </row>
    <row r="679" spans="1:5" ht="13.5" customHeight="1">
      <c r="A679" s="69"/>
      <c r="B679" s="75"/>
      <c r="C679" s="79"/>
      <c r="D679" s="79"/>
      <c r="E679" s="71">
        <f t="shared" si="11"/>
        <v>0</v>
      </c>
    </row>
    <row r="680" spans="1:5" ht="13.5" customHeight="1">
      <c r="A680" s="69"/>
      <c r="B680" s="75"/>
      <c r="C680" s="79"/>
      <c r="D680" s="79"/>
      <c r="E680" s="71">
        <f t="shared" si="11"/>
        <v>0</v>
      </c>
    </row>
    <row r="681" spans="1:5" ht="13.5" customHeight="1">
      <c r="A681" s="69"/>
      <c r="B681" s="75"/>
      <c r="C681" s="79"/>
      <c r="D681" s="79"/>
      <c r="E681" s="71">
        <f t="shared" si="11"/>
        <v>0</v>
      </c>
    </row>
    <row r="682" spans="1:5" ht="13.5" customHeight="1">
      <c r="A682" s="69"/>
      <c r="B682" s="75"/>
      <c r="C682" s="79"/>
      <c r="D682" s="79"/>
      <c r="E682" s="71">
        <f t="shared" si="11"/>
        <v>0</v>
      </c>
    </row>
    <row r="683" spans="1:5" ht="13.5" customHeight="1">
      <c r="A683" s="69"/>
      <c r="B683" s="75"/>
      <c r="C683" s="79"/>
      <c r="D683" s="79"/>
      <c r="E683" s="71">
        <f t="shared" si="11"/>
        <v>0</v>
      </c>
    </row>
    <row r="684" spans="1:5" ht="13.5" customHeight="1">
      <c r="A684" s="69"/>
      <c r="B684" s="75"/>
      <c r="C684" s="79"/>
      <c r="D684" s="79"/>
      <c r="E684" s="71">
        <f t="shared" si="11"/>
        <v>0</v>
      </c>
    </row>
    <row r="685" spans="1:5" ht="13.5" customHeight="1">
      <c r="A685" s="69"/>
      <c r="B685" s="75"/>
      <c r="C685" s="79"/>
      <c r="D685" s="79"/>
      <c r="E685" s="71">
        <f t="shared" si="11"/>
        <v>0</v>
      </c>
    </row>
    <row r="686" spans="1:5" ht="13.5" customHeight="1">
      <c r="A686" s="69"/>
      <c r="B686" s="75"/>
      <c r="C686" s="79"/>
      <c r="D686" s="79"/>
      <c r="E686" s="71">
        <f t="shared" si="11"/>
        <v>0</v>
      </c>
    </row>
    <row r="687" spans="1:5" ht="13.5" customHeight="1">
      <c r="A687" s="69"/>
      <c r="B687" s="75"/>
      <c r="C687" s="79"/>
      <c r="D687" s="79"/>
      <c r="E687" s="71">
        <f t="shared" si="11"/>
        <v>0</v>
      </c>
    </row>
    <row r="688" spans="1:5" ht="13.5" customHeight="1">
      <c r="A688" s="69"/>
      <c r="B688" s="75"/>
      <c r="C688" s="79"/>
      <c r="D688" s="79"/>
      <c r="E688" s="71">
        <f t="shared" si="11"/>
        <v>0</v>
      </c>
    </row>
    <row r="689" spans="1:5" ht="13.5" customHeight="1">
      <c r="A689" s="69"/>
      <c r="B689" s="75"/>
      <c r="C689" s="79"/>
      <c r="D689" s="79"/>
      <c r="E689" s="71">
        <f t="shared" si="11"/>
        <v>0</v>
      </c>
    </row>
    <row r="690" spans="1:5" ht="13.5" customHeight="1">
      <c r="A690" s="69"/>
      <c r="B690" s="75"/>
      <c r="C690" s="79"/>
      <c r="D690" s="79"/>
      <c r="E690" s="71">
        <f t="shared" si="11"/>
        <v>0</v>
      </c>
    </row>
    <row r="691" spans="1:5" ht="13.5" customHeight="1">
      <c r="A691" s="69"/>
      <c r="B691" s="75"/>
      <c r="C691" s="79"/>
      <c r="D691" s="79"/>
      <c r="E691" s="71">
        <f t="shared" si="11"/>
        <v>0</v>
      </c>
    </row>
    <row r="692" spans="1:5" ht="13.5" customHeight="1">
      <c r="A692" s="69"/>
      <c r="B692" s="75"/>
      <c r="C692" s="79"/>
      <c r="D692" s="79"/>
      <c r="E692" s="71">
        <f t="shared" si="11"/>
        <v>0</v>
      </c>
    </row>
    <row r="693" spans="1:5" ht="13.5" customHeight="1">
      <c r="A693" s="69"/>
      <c r="B693" s="75"/>
      <c r="C693" s="79"/>
      <c r="D693" s="79"/>
      <c r="E693" s="71">
        <f t="shared" si="11"/>
        <v>0</v>
      </c>
    </row>
    <row r="694" spans="1:5" ht="13.5" customHeight="1">
      <c r="A694" s="69"/>
      <c r="B694" s="75"/>
      <c r="C694" s="79"/>
      <c r="D694" s="79"/>
      <c r="E694" s="71">
        <f t="shared" si="11"/>
        <v>0</v>
      </c>
    </row>
    <row r="695" spans="1:5" ht="13.5" customHeight="1">
      <c r="A695" s="69"/>
      <c r="B695" s="75"/>
      <c r="C695" s="79"/>
      <c r="D695" s="79"/>
      <c r="E695" s="71">
        <f t="shared" si="11"/>
        <v>0</v>
      </c>
    </row>
    <row r="696" spans="1:5" ht="13.5" customHeight="1">
      <c r="A696" s="69"/>
      <c r="B696" s="75"/>
      <c r="C696" s="79"/>
      <c r="D696" s="79"/>
      <c r="E696" s="71">
        <f t="shared" si="11"/>
        <v>0</v>
      </c>
    </row>
    <row r="697" spans="1:5" ht="13.5" customHeight="1">
      <c r="A697" s="69"/>
      <c r="B697" s="75"/>
      <c r="C697" s="79"/>
      <c r="D697" s="79"/>
      <c r="E697" s="71">
        <f t="shared" si="11"/>
        <v>0</v>
      </c>
    </row>
    <row r="698" spans="1:5" ht="13.5" customHeight="1">
      <c r="A698" s="69"/>
      <c r="B698" s="75"/>
      <c r="C698" s="79"/>
      <c r="D698" s="79"/>
      <c r="E698" s="71">
        <f t="shared" si="11"/>
        <v>0</v>
      </c>
    </row>
    <row r="699" spans="1:5" ht="13.5" customHeight="1">
      <c r="A699" s="69"/>
      <c r="B699" s="75"/>
      <c r="C699" s="79"/>
      <c r="D699" s="79"/>
      <c r="E699" s="71">
        <f t="shared" si="11"/>
        <v>0</v>
      </c>
    </row>
    <row r="700" spans="1:5" ht="13.5" customHeight="1">
      <c r="A700" s="69"/>
      <c r="B700" s="75"/>
      <c r="C700" s="79"/>
      <c r="D700" s="79"/>
      <c r="E700" s="71">
        <f t="shared" si="11"/>
        <v>0</v>
      </c>
    </row>
    <row r="701" spans="1:5" ht="13.5" customHeight="1">
      <c r="A701" s="69"/>
      <c r="B701" s="75"/>
      <c r="C701" s="79"/>
      <c r="D701" s="79"/>
      <c r="E701" s="71">
        <f t="shared" si="11"/>
        <v>0</v>
      </c>
    </row>
    <row r="702" spans="1:5" ht="13.5" customHeight="1">
      <c r="A702" s="69"/>
      <c r="B702" s="75"/>
      <c r="C702" s="79"/>
      <c r="D702" s="79"/>
      <c r="E702" s="71">
        <f t="shared" si="11"/>
        <v>0</v>
      </c>
    </row>
    <row r="703" spans="1:5" ht="13.5" customHeight="1">
      <c r="A703" s="69"/>
      <c r="B703" s="75"/>
      <c r="C703" s="79"/>
      <c r="D703" s="79"/>
      <c r="E703" s="71">
        <f t="shared" si="11"/>
        <v>0</v>
      </c>
    </row>
    <row r="704" spans="1:5" ht="13.5" customHeight="1">
      <c r="A704" s="69"/>
      <c r="B704" s="75"/>
      <c r="C704" s="79"/>
      <c r="D704" s="79"/>
      <c r="E704" s="71">
        <f t="shared" si="11"/>
        <v>0</v>
      </c>
    </row>
    <row r="705" spans="1:5" ht="13.5" customHeight="1">
      <c r="A705" s="69"/>
      <c r="B705" s="75"/>
      <c r="C705" s="79"/>
      <c r="D705" s="79"/>
      <c r="E705" s="71">
        <f t="shared" si="11"/>
        <v>0</v>
      </c>
    </row>
    <row r="706" spans="1:5" ht="13.5" customHeight="1">
      <c r="A706" s="69"/>
      <c r="B706" s="75"/>
      <c r="C706" s="79"/>
      <c r="D706" s="79"/>
      <c r="E706" s="71">
        <f t="shared" ref="E706:E769" si="12">+D706-C706</f>
        <v>0</v>
      </c>
    </row>
    <row r="707" spans="1:5" ht="13.5" customHeight="1">
      <c r="A707" s="69"/>
      <c r="B707" s="75"/>
      <c r="C707" s="79"/>
      <c r="D707" s="79"/>
      <c r="E707" s="71">
        <f t="shared" si="12"/>
        <v>0</v>
      </c>
    </row>
    <row r="708" spans="1:5" ht="13.5" customHeight="1">
      <c r="A708" s="69"/>
      <c r="B708" s="75"/>
      <c r="C708" s="79"/>
      <c r="D708" s="79"/>
      <c r="E708" s="71">
        <f t="shared" si="12"/>
        <v>0</v>
      </c>
    </row>
    <row r="709" spans="1:5" ht="13.5" customHeight="1">
      <c r="A709" s="69"/>
      <c r="B709" s="75"/>
      <c r="C709" s="79"/>
      <c r="D709" s="79"/>
      <c r="E709" s="71">
        <f t="shared" si="12"/>
        <v>0</v>
      </c>
    </row>
    <row r="710" spans="1:5" ht="13.5" customHeight="1">
      <c r="A710" s="69"/>
      <c r="B710" s="75"/>
      <c r="C710" s="79"/>
      <c r="D710" s="79"/>
      <c r="E710" s="71">
        <f t="shared" si="12"/>
        <v>0</v>
      </c>
    </row>
    <row r="711" spans="1:5" ht="13.5" customHeight="1">
      <c r="A711" s="69"/>
      <c r="B711" s="75"/>
      <c r="C711" s="79"/>
      <c r="D711" s="79"/>
      <c r="E711" s="71">
        <f t="shared" si="12"/>
        <v>0</v>
      </c>
    </row>
    <row r="712" spans="1:5" ht="13.5" customHeight="1">
      <c r="A712" s="69"/>
      <c r="B712" s="75"/>
      <c r="C712" s="79"/>
      <c r="D712" s="79"/>
      <c r="E712" s="71">
        <f t="shared" si="12"/>
        <v>0</v>
      </c>
    </row>
    <row r="713" spans="1:5" ht="13.5" customHeight="1">
      <c r="A713" s="69"/>
      <c r="B713" s="75"/>
      <c r="C713" s="79"/>
      <c r="D713" s="79"/>
      <c r="E713" s="71">
        <f t="shared" si="12"/>
        <v>0</v>
      </c>
    </row>
    <row r="714" spans="1:5" ht="13.5" customHeight="1">
      <c r="A714" s="69"/>
      <c r="B714" s="75"/>
      <c r="C714" s="79"/>
      <c r="D714" s="79"/>
      <c r="E714" s="71">
        <f t="shared" si="12"/>
        <v>0</v>
      </c>
    </row>
    <row r="715" spans="1:5" ht="13.5" customHeight="1">
      <c r="A715" s="69"/>
      <c r="B715" s="75"/>
      <c r="C715" s="79"/>
      <c r="D715" s="79"/>
      <c r="E715" s="71">
        <f t="shared" si="12"/>
        <v>0</v>
      </c>
    </row>
    <row r="716" spans="1:5" ht="13.5" customHeight="1">
      <c r="A716" s="69"/>
      <c r="B716" s="75"/>
      <c r="C716" s="79"/>
      <c r="D716" s="79"/>
      <c r="E716" s="71">
        <f t="shared" si="12"/>
        <v>0</v>
      </c>
    </row>
    <row r="717" spans="1:5" ht="13.5" customHeight="1">
      <c r="A717" s="69"/>
      <c r="B717" s="75"/>
      <c r="C717" s="79"/>
      <c r="D717" s="79"/>
      <c r="E717" s="71">
        <f t="shared" si="12"/>
        <v>0</v>
      </c>
    </row>
    <row r="718" spans="1:5" ht="13.5" customHeight="1">
      <c r="A718" s="69"/>
      <c r="B718" s="75"/>
      <c r="C718" s="79"/>
      <c r="D718" s="79"/>
      <c r="E718" s="71">
        <f t="shared" si="12"/>
        <v>0</v>
      </c>
    </row>
    <row r="719" spans="1:5" ht="13.5" customHeight="1">
      <c r="A719" s="69"/>
      <c r="B719" s="75"/>
      <c r="C719" s="79"/>
      <c r="D719" s="79"/>
      <c r="E719" s="71">
        <f t="shared" si="12"/>
        <v>0</v>
      </c>
    </row>
    <row r="720" spans="1:5" ht="13.5" customHeight="1">
      <c r="A720" s="69"/>
      <c r="B720" s="75"/>
      <c r="C720" s="79"/>
      <c r="D720" s="79"/>
      <c r="E720" s="71">
        <f t="shared" si="12"/>
        <v>0</v>
      </c>
    </row>
    <row r="721" spans="1:5" ht="13.5" customHeight="1">
      <c r="A721" s="69"/>
      <c r="B721" s="75"/>
      <c r="C721" s="79"/>
      <c r="D721" s="79"/>
      <c r="E721" s="71">
        <f t="shared" si="12"/>
        <v>0</v>
      </c>
    </row>
    <row r="722" spans="1:5" ht="13.5" customHeight="1">
      <c r="A722" s="69"/>
      <c r="B722" s="75"/>
      <c r="C722" s="79"/>
      <c r="D722" s="79"/>
      <c r="E722" s="71">
        <f t="shared" si="12"/>
        <v>0</v>
      </c>
    </row>
    <row r="723" spans="1:5" ht="13.5" customHeight="1">
      <c r="A723" s="69"/>
      <c r="B723" s="75"/>
      <c r="C723" s="79"/>
      <c r="D723" s="79"/>
      <c r="E723" s="71">
        <f t="shared" si="12"/>
        <v>0</v>
      </c>
    </row>
    <row r="724" spans="1:5" ht="13.5" customHeight="1">
      <c r="A724" s="69"/>
      <c r="B724" s="75"/>
      <c r="C724" s="79"/>
      <c r="D724" s="79"/>
      <c r="E724" s="71">
        <f t="shared" si="12"/>
        <v>0</v>
      </c>
    </row>
    <row r="725" spans="1:5" ht="13.5" customHeight="1">
      <c r="A725" s="69"/>
      <c r="B725" s="75"/>
      <c r="C725" s="79"/>
      <c r="D725" s="79"/>
      <c r="E725" s="71">
        <f t="shared" si="12"/>
        <v>0</v>
      </c>
    </row>
    <row r="726" spans="1:5" ht="13.5" customHeight="1">
      <c r="A726" s="69"/>
      <c r="B726" s="75"/>
      <c r="C726" s="79"/>
      <c r="D726" s="79"/>
      <c r="E726" s="71">
        <f t="shared" si="12"/>
        <v>0</v>
      </c>
    </row>
    <row r="727" spans="1:5" ht="13.5" customHeight="1">
      <c r="A727" s="69"/>
      <c r="B727" s="75"/>
      <c r="C727" s="79"/>
      <c r="D727" s="79"/>
      <c r="E727" s="71">
        <f t="shared" si="12"/>
        <v>0</v>
      </c>
    </row>
    <row r="728" spans="1:5" ht="13.5" customHeight="1">
      <c r="A728" s="69"/>
      <c r="B728" s="75"/>
      <c r="C728" s="79"/>
      <c r="D728" s="79"/>
      <c r="E728" s="71">
        <f t="shared" si="12"/>
        <v>0</v>
      </c>
    </row>
    <row r="729" spans="1:5" ht="13.5" customHeight="1">
      <c r="A729" s="69"/>
      <c r="B729" s="75"/>
      <c r="C729" s="79"/>
      <c r="D729" s="79"/>
      <c r="E729" s="71">
        <f t="shared" si="12"/>
        <v>0</v>
      </c>
    </row>
    <row r="730" spans="1:5" ht="13.5" customHeight="1">
      <c r="A730" s="69"/>
      <c r="B730" s="75"/>
      <c r="C730" s="79"/>
      <c r="D730" s="79"/>
      <c r="E730" s="71">
        <f t="shared" si="12"/>
        <v>0</v>
      </c>
    </row>
    <row r="731" spans="1:5" ht="13.5" customHeight="1">
      <c r="A731" s="69"/>
      <c r="B731" s="75"/>
      <c r="C731" s="79"/>
      <c r="D731" s="79"/>
      <c r="E731" s="71">
        <f t="shared" si="12"/>
        <v>0</v>
      </c>
    </row>
    <row r="732" spans="1:5" ht="13.5" customHeight="1">
      <c r="A732" s="69"/>
      <c r="B732" s="75"/>
      <c r="C732" s="79"/>
      <c r="D732" s="79"/>
      <c r="E732" s="71">
        <f t="shared" si="12"/>
        <v>0</v>
      </c>
    </row>
    <row r="733" spans="1:5" ht="13.5" customHeight="1">
      <c r="A733" s="69"/>
      <c r="B733" s="75"/>
      <c r="C733" s="79"/>
      <c r="D733" s="79"/>
      <c r="E733" s="71">
        <f t="shared" si="12"/>
        <v>0</v>
      </c>
    </row>
    <row r="734" spans="1:5" ht="13.5" customHeight="1">
      <c r="A734" s="69"/>
      <c r="B734" s="75"/>
      <c r="C734" s="79"/>
      <c r="D734" s="79"/>
      <c r="E734" s="71">
        <f t="shared" si="12"/>
        <v>0</v>
      </c>
    </row>
    <row r="735" spans="1:5" ht="13.5" customHeight="1">
      <c r="A735" s="69"/>
      <c r="B735" s="75"/>
      <c r="C735" s="79"/>
      <c r="D735" s="79"/>
      <c r="E735" s="71">
        <f t="shared" si="12"/>
        <v>0</v>
      </c>
    </row>
    <row r="736" spans="1:5" ht="13.5" customHeight="1">
      <c r="A736" s="69"/>
      <c r="B736" s="75"/>
      <c r="C736" s="79"/>
      <c r="D736" s="79"/>
      <c r="E736" s="71">
        <f t="shared" si="12"/>
        <v>0</v>
      </c>
    </row>
    <row r="737" spans="1:5" ht="13.5" customHeight="1">
      <c r="A737" s="69"/>
      <c r="B737" s="75"/>
      <c r="C737" s="79"/>
      <c r="D737" s="79"/>
      <c r="E737" s="71">
        <f t="shared" si="12"/>
        <v>0</v>
      </c>
    </row>
    <row r="738" spans="1:5" ht="13.5" customHeight="1">
      <c r="A738" s="69"/>
      <c r="B738" s="75"/>
      <c r="C738" s="79"/>
      <c r="D738" s="79"/>
      <c r="E738" s="71">
        <f t="shared" si="12"/>
        <v>0</v>
      </c>
    </row>
    <row r="739" spans="1:5" ht="13.5" customHeight="1">
      <c r="A739" s="69"/>
      <c r="B739" s="75"/>
      <c r="C739" s="79"/>
      <c r="D739" s="79"/>
      <c r="E739" s="71">
        <f t="shared" si="12"/>
        <v>0</v>
      </c>
    </row>
    <row r="740" spans="1:5" ht="13.5" customHeight="1">
      <c r="A740" s="69"/>
      <c r="B740" s="75"/>
      <c r="C740" s="79"/>
      <c r="D740" s="79"/>
      <c r="E740" s="71">
        <f t="shared" si="12"/>
        <v>0</v>
      </c>
    </row>
    <row r="741" spans="1:5" ht="13.5" customHeight="1">
      <c r="A741" s="69"/>
      <c r="B741" s="75"/>
      <c r="C741" s="79"/>
      <c r="D741" s="79"/>
      <c r="E741" s="71">
        <f t="shared" si="12"/>
        <v>0</v>
      </c>
    </row>
    <row r="742" spans="1:5" ht="13.5" customHeight="1">
      <c r="A742" s="69"/>
      <c r="B742" s="75"/>
      <c r="C742" s="79"/>
      <c r="D742" s="79"/>
      <c r="E742" s="71">
        <f t="shared" si="12"/>
        <v>0</v>
      </c>
    </row>
    <row r="743" spans="1:5" ht="13.5" customHeight="1">
      <c r="A743" s="69"/>
      <c r="B743" s="75"/>
      <c r="C743" s="79"/>
      <c r="D743" s="79"/>
      <c r="E743" s="71">
        <f t="shared" si="12"/>
        <v>0</v>
      </c>
    </row>
    <row r="744" spans="1:5" ht="13.5" customHeight="1">
      <c r="A744" s="69"/>
      <c r="B744" s="75"/>
      <c r="C744" s="79"/>
      <c r="D744" s="79"/>
      <c r="E744" s="71">
        <f t="shared" si="12"/>
        <v>0</v>
      </c>
    </row>
    <row r="745" spans="1:5" ht="13.5" customHeight="1">
      <c r="A745" s="69"/>
      <c r="B745" s="75"/>
      <c r="C745" s="79"/>
      <c r="D745" s="79"/>
      <c r="E745" s="71">
        <f t="shared" si="12"/>
        <v>0</v>
      </c>
    </row>
    <row r="746" spans="1:5" ht="13.5" customHeight="1">
      <c r="A746" s="69"/>
      <c r="B746" s="75"/>
      <c r="C746" s="79"/>
      <c r="D746" s="79"/>
      <c r="E746" s="71">
        <f t="shared" si="12"/>
        <v>0</v>
      </c>
    </row>
    <row r="747" spans="1:5" ht="13.5" customHeight="1">
      <c r="A747" s="69"/>
      <c r="B747" s="75"/>
      <c r="C747" s="79"/>
      <c r="D747" s="79"/>
      <c r="E747" s="71">
        <f t="shared" si="12"/>
        <v>0</v>
      </c>
    </row>
    <row r="748" spans="1:5" ht="13.5" customHeight="1">
      <c r="A748" s="69"/>
      <c r="B748" s="75"/>
      <c r="C748" s="79"/>
      <c r="D748" s="79"/>
      <c r="E748" s="71">
        <f t="shared" si="12"/>
        <v>0</v>
      </c>
    </row>
    <row r="749" spans="1:5" ht="13.5" customHeight="1">
      <c r="A749" s="69"/>
      <c r="B749" s="75"/>
      <c r="C749" s="79"/>
      <c r="D749" s="79"/>
      <c r="E749" s="71">
        <f t="shared" si="12"/>
        <v>0</v>
      </c>
    </row>
    <row r="750" spans="1:5" ht="13.5" customHeight="1">
      <c r="A750" s="69"/>
      <c r="B750" s="75"/>
      <c r="C750" s="79"/>
      <c r="D750" s="79"/>
      <c r="E750" s="71">
        <f t="shared" si="12"/>
        <v>0</v>
      </c>
    </row>
    <row r="751" spans="1:5" ht="13.5" customHeight="1">
      <c r="A751" s="69"/>
      <c r="B751" s="75"/>
      <c r="C751" s="79"/>
      <c r="D751" s="79"/>
      <c r="E751" s="71">
        <f t="shared" si="12"/>
        <v>0</v>
      </c>
    </row>
    <row r="752" spans="1:5" ht="13.5" customHeight="1">
      <c r="A752" s="69"/>
      <c r="B752" s="75"/>
      <c r="C752" s="79"/>
      <c r="D752" s="79"/>
      <c r="E752" s="71">
        <f t="shared" si="12"/>
        <v>0</v>
      </c>
    </row>
    <row r="753" spans="1:5" ht="13.5" customHeight="1">
      <c r="A753" s="69"/>
      <c r="B753" s="75"/>
      <c r="C753" s="79"/>
      <c r="D753" s="79"/>
      <c r="E753" s="71">
        <f t="shared" si="12"/>
        <v>0</v>
      </c>
    </row>
    <row r="754" spans="1:5" ht="13.5" customHeight="1">
      <c r="A754" s="69"/>
      <c r="B754" s="75"/>
      <c r="C754" s="79"/>
      <c r="D754" s="79"/>
      <c r="E754" s="71">
        <f t="shared" si="12"/>
        <v>0</v>
      </c>
    </row>
    <row r="755" spans="1:5" ht="13.5" customHeight="1">
      <c r="A755" s="69"/>
      <c r="B755" s="75"/>
      <c r="C755" s="79"/>
      <c r="D755" s="79"/>
      <c r="E755" s="71">
        <f t="shared" si="12"/>
        <v>0</v>
      </c>
    </row>
    <row r="756" spans="1:5" ht="13.5" customHeight="1">
      <c r="A756" s="69"/>
      <c r="B756" s="75"/>
      <c r="C756" s="79"/>
      <c r="D756" s="79"/>
      <c r="E756" s="71">
        <f t="shared" si="12"/>
        <v>0</v>
      </c>
    </row>
    <row r="757" spans="1:5" ht="13.5" customHeight="1">
      <c r="A757" s="69"/>
      <c r="B757" s="75"/>
      <c r="C757" s="79"/>
      <c r="D757" s="79"/>
      <c r="E757" s="71">
        <f t="shared" si="12"/>
        <v>0</v>
      </c>
    </row>
    <row r="758" spans="1:5" ht="13.5" customHeight="1">
      <c r="A758" s="69"/>
      <c r="B758" s="75"/>
      <c r="C758" s="79"/>
      <c r="D758" s="79"/>
      <c r="E758" s="71">
        <f t="shared" si="12"/>
        <v>0</v>
      </c>
    </row>
    <row r="759" spans="1:5" ht="13.5" customHeight="1">
      <c r="A759" s="69"/>
      <c r="B759" s="75"/>
      <c r="C759" s="79"/>
      <c r="D759" s="79"/>
      <c r="E759" s="71">
        <f t="shared" si="12"/>
        <v>0</v>
      </c>
    </row>
    <row r="760" spans="1:5" ht="13.5" customHeight="1">
      <c r="A760" s="69"/>
      <c r="B760" s="75"/>
      <c r="C760" s="79"/>
      <c r="D760" s="79"/>
      <c r="E760" s="71">
        <f t="shared" si="12"/>
        <v>0</v>
      </c>
    </row>
    <row r="761" spans="1:5" ht="13.5" customHeight="1">
      <c r="A761" s="69"/>
      <c r="B761" s="75"/>
      <c r="C761" s="79"/>
      <c r="D761" s="79"/>
      <c r="E761" s="71">
        <f t="shared" si="12"/>
        <v>0</v>
      </c>
    </row>
    <row r="762" spans="1:5" ht="13.5" customHeight="1">
      <c r="A762" s="69"/>
      <c r="B762" s="75"/>
      <c r="C762" s="79"/>
      <c r="D762" s="79"/>
      <c r="E762" s="71">
        <f t="shared" si="12"/>
        <v>0</v>
      </c>
    </row>
    <row r="763" spans="1:5" ht="13.5" customHeight="1">
      <c r="A763" s="69"/>
      <c r="B763" s="75"/>
      <c r="C763" s="79"/>
      <c r="D763" s="79"/>
      <c r="E763" s="71">
        <f t="shared" si="12"/>
        <v>0</v>
      </c>
    </row>
    <row r="764" spans="1:5" ht="13.5" customHeight="1">
      <c r="A764" s="69"/>
      <c r="B764" s="75"/>
      <c r="C764" s="79"/>
      <c r="D764" s="79"/>
      <c r="E764" s="71">
        <f t="shared" si="12"/>
        <v>0</v>
      </c>
    </row>
    <row r="765" spans="1:5" ht="13.5" customHeight="1">
      <c r="A765" s="69"/>
      <c r="B765" s="75"/>
      <c r="C765" s="79"/>
      <c r="D765" s="79"/>
      <c r="E765" s="71">
        <f t="shared" si="12"/>
        <v>0</v>
      </c>
    </row>
    <row r="766" spans="1:5" ht="13.5" customHeight="1">
      <c r="A766" s="69"/>
      <c r="B766" s="75"/>
      <c r="C766" s="79"/>
      <c r="D766" s="79"/>
      <c r="E766" s="71">
        <f t="shared" si="12"/>
        <v>0</v>
      </c>
    </row>
    <row r="767" spans="1:5" ht="13.5" customHeight="1">
      <c r="A767" s="69"/>
      <c r="B767" s="75"/>
      <c r="C767" s="79"/>
      <c r="D767" s="79"/>
      <c r="E767" s="71">
        <f t="shared" si="12"/>
        <v>0</v>
      </c>
    </row>
    <row r="768" spans="1:5" ht="13.5" customHeight="1">
      <c r="A768" s="69"/>
      <c r="B768" s="75"/>
      <c r="C768" s="79"/>
      <c r="D768" s="79"/>
      <c r="E768" s="71">
        <f t="shared" si="12"/>
        <v>0</v>
      </c>
    </row>
    <row r="769" spans="1:5" ht="13.5" customHeight="1">
      <c r="A769" s="69"/>
      <c r="B769" s="75"/>
      <c r="C769" s="79"/>
      <c r="D769" s="79"/>
      <c r="E769" s="71">
        <f t="shared" si="12"/>
        <v>0</v>
      </c>
    </row>
    <row r="770" spans="1:5" ht="13.5" customHeight="1">
      <c r="A770" s="69"/>
      <c r="B770" s="75"/>
      <c r="C770" s="79"/>
      <c r="D770" s="79"/>
      <c r="E770" s="71">
        <f t="shared" ref="E770:E833" si="13">+D770-C770</f>
        <v>0</v>
      </c>
    </row>
    <row r="771" spans="1:5" ht="13.5" customHeight="1">
      <c r="A771" s="69"/>
      <c r="B771" s="75"/>
      <c r="C771" s="79"/>
      <c r="D771" s="79"/>
      <c r="E771" s="71">
        <f t="shared" si="13"/>
        <v>0</v>
      </c>
    </row>
    <row r="772" spans="1:5" ht="13.5" customHeight="1">
      <c r="A772" s="69"/>
      <c r="B772" s="75"/>
      <c r="C772" s="79"/>
      <c r="D772" s="79"/>
      <c r="E772" s="71">
        <f t="shared" si="13"/>
        <v>0</v>
      </c>
    </row>
    <row r="773" spans="1:5" ht="13.5" customHeight="1">
      <c r="A773" s="69"/>
      <c r="B773" s="75"/>
      <c r="C773" s="79"/>
      <c r="D773" s="79"/>
      <c r="E773" s="71">
        <f t="shared" si="13"/>
        <v>0</v>
      </c>
    </row>
    <row r="774" spans="1:5" ht="13.5" customHeight="1">
      <c r="A774" s="69"/>
      <c r="B774" s="75"/>
      <c r="C774" s="79"/>
      <c r="D774" s="79"/>
      <c r="E774" s="71">
        <f t="shared" si="13"/>
        <v>0</v>
      </c>
    </row>
    <row r="775" spans="1:5" ht="13.5" customHeight="1">
      <c r="A775" s="69"/>
      <c r="B775" s="75"/>
      <c r="C775" s="79"/>
      <c r="D775" s="79"/>
      <c r="E775" s="71">
        <f t="shared" si="13"/>
        <v>0</v>
      </c>
    </row>
    <row r="776" spans="1:5" ht="13.5" customHeight="1">
      <c r="A776" s="69"/>
      <c r="B776" s="75"/>
      <c r="C776" s="79"/>
      <c r="D776" s="79"/>
      <c r="E776" s="71">
        <f t="shared" si="13"/>
        <v>0</v>
      </c>
    </row>
    <row r="777" spans="1:5" ht="13.5" customHeight="1">
      <c r="A777" s="69"/>
      <c r="B777" s="75"/>
      <c r="C777" s="79"/>
      <c r="D777" s="79"/>
      <c r="E777" s="71">
        <f t="shared" si="13"/>
        <v>0</v>
      </c>
    </row>
    <row r="778" spans="1:5" ht="13.5" customHeight="1">
      <c r="A778" s="69"/>
      <c r="B778" s="75"/>
      <c r="C778" s="79"/>
      <c r="D778" s="79"/>
      <c r="E778" s="71">
        <f t="shared" si="13"/>
        <v>0</v>
      </c>
    </row>
    <row r="779" spans="1:5" ht="13.5" customHeight="1">
      <c r="A779" s="69"/>
      <c r="B779" s="75"/>
      <c r="C779" s="79"/>
      <c r="D779" s="79"/>
      <c r="E779" s="71">
        <f t="shared" si="13"/>
        <v>0</v>
      </c>
    </row>
    <row r="780" spans="1:5" ht="13.5" customHeight="1">
      <c r="A780" s="69"/>
      <c r="B780" s="75"/>
      <c r="C780" s="79"/>
      <c r="D780" s="79"/>
      <c r="E780" s="71">
        <f t="shared" si="13"/>
        <v>0</v>
      </c>
    </row>
    <row r="781" spans="1:5" ht="13.5" customHeight="1">
      <c r="A781" s="69"/>
      <c r="B781" s="75"/>
      <c r="C781" s="79"/>
      <c r="D781" s="79"/>
      <c r="E781" s="71">
        <f t="shared" si="13"/>
        <v>0</v>
      </c>
    </row>
    <row r="782" spans="1:5" ht="13.5" customHeight="1">
      <c r="A782" s="69"/>
      <c r="B782" s="75"/>
      <c r="C782" s="79"/>
      <c r="D782" s="79"/>
      <c r="E782" s="71">
        <f t="shared" si="13"/>
        <v>0</v>
      </c>
    </row>
    <row r="783" spans="1:5" ht="13.5" customHeight="1">
      <c r="A783" s="69"/>
      <c r="B783" s="75"/>
      <c r="C783" s="79"/>
      <c r="D783" s="79"/>
      <c r="E783" s="71">
        <f t="shared" si="13"/>
        <v>0</v>
      </c>
    </row>
    <row r="784" spans="1:5" ht="13.5" customHeight="1">
      <c r="A784" s="69"/>
      <c r="B784" s="75"/>
      <c r="C784" s="79"/>
      <c r="D784" s="79"/>
      <c r="E784" s="71">
        <f t="shared" si="13"/>
        <v>0</v>
      </c>
    </row>
    <row r="785" spans="1:5" ht="13.5" customHeight="1">
      <c r="A785" s="69"/>
      <c r="B785" s="75"/>
      <c r="C785" s="79"/>
      <c r="D785" s="79"/>
      <c r="E785" s="71">
        <f t="shared" si="13"/>
        <v>0</v>
      </c>
    </row>
    <row r="786" spans="1:5" ht="13.5" customHeight="1">
      <c r="A786" s="69"/>
      <c r="B786" s="75"/>
      <c r="C786" s="79"/>
      <c r="D786" s="79"/>
      <c r="E786" s="71">
        <f t="shared" si="13"/>
        <v>0</v>
      </c>
    </row>
    <row r="787" spans="1:5" ht="13.5" customHeight="1">
      <c r="A787" s="69"/>
      <c r="B787" s="75"/>
      <c r="C787" s="79"/>
      <c r="D787" s="79"/>
      <c r="E787" s="71">
        <f t="shared" si="13"/>
        <v>0</v>
      </c>
    </row>
    <row r="788" spans="1:5" ht="13.5" customHeight="1">
      <c r="A788" s="69"/>
      <c r="B788" s="75"/>
      <c r="C788" s="79"/>
      <c r="D788" s="79"/>
      <c r="E788" s="71">
        <f t="shared" si="13"/>
        <v>0</v>
      </c>
    </row>
    <row r="789" spans="1:5" ht="13.5" customHeight="1">
      <c r="A789" s="69"/>
      <c r="B789" s="75"/>
      <c r="C789" s="79"/>
      <c r="D789" s="79"/>
      <c r="E789" s="71">
        <f t="shared" si="13"/>
        <v>0</v>
      </c>
    </row>
    <row r="790" spans="1:5" ht="13.5" customHeight="1">
      <c r="A790" s="69"/>
      <c r="B790" s="75"/>
      <c r="C790" s="79"/>
      <c r="D790" s="79"/>
      <c r="E790" s="71">
        <f t="shared" si="13"/>
        <v>0</v>
      </c>
    </row>
    <row r="791" spans="1:5" ht="13.5" customHeight="1">
      <c r="A791" s="69"/>
      <c r="B791" s="75"/>
      <c r="C791" s="79"/>
      <c r="D791" s="79"/>
      <c r="E791" s="71">
        <f t="shared" si="13"/>
        <v>0</v>
      </c>
    </row>
    <row r="792" spans="1:5" ht="13.5" customHeight="1">
      <c r="A792" s="69"/>
      <c r="B792" s="75"/>
      <c r="C792" s="79"/>
      <c r="D792" s="79"/>
      <c r="E792" s="71">
        <f t="shared" si="13"/>
        <v>0</v>
      </c>
    </row>
    <row r="793" spans="1:5" ht="13.5" customHeight="1">
      <c r="A793" s="69"/>
      <c r="B793" s="75"/>
      <c r="C793" s="79"/>
      <c r="D793" s="79"/>
      <c r="E793" s="71">
        <f t="shared" si="13"/>
        <v>0</v>
      </c>
    </row>
    <row r="794" spans="1:5" ht="13.5" customHeight="1">
      <c r="A794" s="69"/>
      <c r="B794" s="75"/>
      <c r="C794" s="79"/>
      <c r="D794" s="79"/>
      <c r="E794" s="71">
        <f t="shared" si="13"/>
        <v>0</v>
      </c>
    </row>
    <row r="795" spans="1:5" ht="13.5" customHeight="1">
      <c r="A795" s="69"/>
      <c r="B795" s="75"/>
      <c r="C795" s="79"/>
      <c r="D795" s="79"/>
      <c r="E795" s="71">
        <f t="shared" si="13"/>
        <v>0</v>
      </c>
    </row>
    <row r="796" spans="1:5" ht="13.5" customHeight="1">
      <c r="A796" s="69"/>
      <c r="B796" s="75"/>
      <c r="C796" s="79"/>
      <c r="D796" s="79"/>
      <c r="E796" s="71">
        <f t="shared" si="13"/>
        <v>0</v>
      </c>
    </row>
    <row r="797" spans="1:5" ht="13.5" customHeight="1">
      <c r="A797" s="69"/>
      <c r="B797" s="75"/>
      <c r="C797" s="79"/>
      <c r="D797" s="79"/>
      <c r="E797" s="71">
        <f t="shared" si="13"/>
        <v>0</v>
      </c>
    </row>
    <row r="798" spans="1:5" ht="13.5" customHeight="1">
      <c r="A798" s="69"/>
      <c r="B798" s="75"/>
      <c r="C798" s="79"/>
      <c r="D798" s="79"/>
      <c r="E798" s="71">
        <f t="shared" si="13"/>
        <v>0</v>
      </c>
    </row>
    <row r="799" spans="1:5" ht="13.5" customHeight="1">
      <c r="A799" s="69"/>
      <c r="B799" s="75"/>
      <c r="C799" s="79"/>
      <c r="D799" s="79"/>
      <c r="E799" s="71">
        <f t="shared" si="13"/>
        <v>0</v>
      </c>
    </row>
    <row r="800" spans="1:5" ht="13.5" customHeight="1">
      <c r="A800" s="69"/>
      <c r="B800" s="75"/>
      <c r="C800" s="79"/>
      <c r="D800" s="79"/>
      <c r="E800" s="71">
        <f t="shared" si="13"/>
        <v>0</v>
      </c>
    </row>
    <row r="801" spans="1:5" ht="13.5" customHeight="1">
      <c r="A801" s="69"/>
      <c r="B801" s="75"/>
      <c r="C801" s="79"/>
      <c r="D801" s="79"/>
      <c r="E801" s="71">
        <f t="shared" si="13"/>
        <v>0</v>
      </c>
    </row>
    <row r="802" spans="1:5" ht="13.5" customHeight="1">
      <c r="A802" s="69"/>
      <c r="B802" s="75"/>
      <c r="C802" s="79"/>
      <c r="D802" s="79"/>
      <c r="E802" s="71">
        <f t="shared" si="13"/>
        <v>0</v>
      </c>
    </row>
    <row r="803" spans="1:5" ht="13.5" customHeight="1">
      <c r="A803" s="69"/>
      <c r="B803" s="75"/>
      <c r="C803" s="79"/>
      <c r="D803" s="79"/>
      <c r="E803" s="71">
        <f t="shared" si="13"/>
        <v>0</v>
      </c>
    </row>
    <row r="804" spans="1:5" ht="13.5" customHeight="1">
      <c r="A804" s="69"/>
      <c r="B804" s="75"/>
      <c r="C804" s="79"/>
      <c r="D804" s="79"/>
      <c r="E804" s="71">
        <f t="shared" si="13"/>
        <v>0</v>
      </c>
    </row>
    <row r="805" spans="1:5" ht="13.5" customHeight="1">
      <c r="A805" s="69"/>
      <c r="B805" s="75"/>
      <c r="C805" s="79"/>
      <c r="D805" s="79"/>
      <c r="E805" s="71">
        <f t="shared" si="13"/>
        <v>0</v>
      </c>
    </row>
    <row r="806" spans="1:5" ht="13.5" customHeight="1">
      <c r="A806" s="69"/>
      <c r="B806" s="75"/>
      <c r="C806" s="79"/>
      <c r="D806" s="79"/>
      <c r="E806" s="71">
        <f t="shared" si="13"/>
        <v>0</v>
      </c>
    </row>
    <row r="807" spans="1:5" ht="13.5" customHeight="1">
      <c r="A807" s="69"/>
      <c r="B807" s="75"/>
      <c r="C807" s="79"/>
      <c r="D807" s="79"/>
      <c r="E807" s="71">
        <f t="shared" si="13"/>
        <v>0</v>
      </c>
    </row>
    <row r="808" spans="1:5" ht="13.5" customHeight="1">
      <c r="A808" s="69"/>
      <c r="B808" s="75"/>
      <c r="C808" s="79"/>
      <c r="D808" s="79"/>
      <c r="E808" s="71">
        <f t="shared" si="13"/>
        <v>0</v>
      </c>
    </row>
    <row r="809" spans="1:5" ht="13.5" customHeight="1">
      <c r="A809" s="69"/>
      <c r="B809" s="75"/>
      <c r="C809" s="79"/>
      <c r="D809" s="79"/>
      <c r="E809" s="71">
        <f t="shared" si="13"/>
        <v>0</v>
      </c>
    </row>
    <row r="810" spans="1:5" ht="13.5" customHeight="1">
      <c r="A810" s="69"/>
      <c r="B810" s="75"/>
      <c r="C810" s="79"/>
      <c r="D810" s="79"/>
      <c r="E810" s="71">
        <f t="shared" si="13"/>
        <v>0</v>
      </c>
    </row>
    <row r="811" spans="1:5" ht="13.5" customHeight="1">
      <c r="A811" s="69"/>
      <c r="B811" s="75"/>
      <c r="C811" s="79"/>
      <c r="D811" s="79"/>
      <c r="E811" s="71">
        <f t="shared" si="13"/>
        <v>0</v>
      </c>
    </row>
    <row r="812" spans="1:5" ht="13.5" customHeight="1">
      <c r="A812" s="69"/>
      <c r="B812" s="75"/>
      <c r="C812" s="79"/>
      <c r="D812" s="79"/>
      <c r="E812" s="71">
        <f t="shared" si="13"/>
        <v>0</v>
      </c>
    </row>
    <row r="813" spans="1:5" ht="13.5" customHeight="1">
      <c r="A813" s="69"/>
      <c r="B813" s="75"/>
      <c r="C813" s="79"/>
      <c r="D813" s="79"/>
      <c r="E813" s="71">
        <f t="shared" si="13"/>
        <v>0</v>
      </c>
    </row>
    <row r="814" spans="1:5" ht="13.5" customHeight="1">
      <c r="A814" s="69"/>
      <c r="B814" s="75"/>
      <c r="C814" s="79"/>
      <c r="D814" s="79"/>
      <c r="E814" s="71">
        <f t="shared" si="13"/>
        <v>0</v>
      </c>
    </row>
    <row r="815" spans="1:5" ht="13.5" customHeight="1">
      <c r="A815" s="69"/>
      <c r="B815" s="75"/>
      <c r="C815" s="79"/>
      <c r="D815" s="79"/>
      <c r="E815" s="71">
        <f t="shared" si="13"/>
        <v>0</v>
      </c>
    </row>
    <row r="816" spans="1:5" ht="13.5" customHeight="1">
      <c r="A816" s="69"/>
      <c r="B816" s="75"/>
      <c r="C816" s="79"/>
      <c r="D816" s="79"/>
      <c r="E816" s="71">
        <f t="shared" si="13"/>
        <v>0</v>
      </c>
    </row>
    <row r="817" spans="1:5" ht="13.5" customHeight="1">
      <c r="A817" s="69"/>
      <c r="B817" s="75"/>
      <c r="C817" s="79"/>
      <c r="D817" s="79"/>
      <c r="E817" s="71">
        <f t="shared" si="13"/>
        <v>0</v>
      </c>
    </row>
    <row r="818" spans="1:5" ht="13.5" customHeight="1">
      <c r="A818" s="69"/>
      <c r="B818" s="75"/>
      <c r="C818" s="79"/>
      <c r="D818" s="79"/>
      <c r="E818" s="71">
        <f t="shared" si="13"/>
        <v>0</v>
      </c>
    </row>
    <row r="819" spans="1:5" ht="13.5" customHeight="1">
      <c r="A819" s="69"/>
      <c r="B819" s="75"/>
      <c r="C819" s="79"/>
      <c r="D819" s="79"/>
      <c r="E819" s="71">
        <f t="shared" si="13"/>
        <v>0</v>
      </c>
    </row>
    <row r="820" spans="1:5" ht="13.5" customHeight="1">
      <c r="A820" s="69"/>
      <c r="B820" s="75"/>
      <c r="C820" s="79"/>
      <c r="D820" s="79"/>
      <c r="E820" s="71">
        <f t="shared" si="13"/>
        <v>0</v>
      </c>
    </row>
    <row r="821" spans="1:5" ht="13.5" customHeight="1">
      <c r="A821" s="69"/>
      <c r="B821" s="75"/>
      <c r="C821" s="79"/>
      <c r="D821" s="79"/>
      <c r="E821" s="71">
        <f t="shared" si="13"/>
        <v>0</v>
      </c>
    </row>
    <row r="822" spans="1:5" ht="13.5" customHeight="1">
      <c r="A822" s="69"/>
      <c r="B822" s="75"/>
      <c r="C822" s="79"/>
      <c r="D822" s="79"/>
      <c r="E822" s="71">
        <f t="shared" si="13"/>
        <v>0</v>
      </c>
    </row>
    <row r="823" spans="1:5" ht="13.5" customHeight="1">
      <c r="A823" s="69"/>
      <c r="B823" s="75"/>
      <c r="C823" s="79"/>
      <c r="D823" s="79"/>
      <c r="E823" s="71">
        <f t="shared" si="13"/>
        <v>0</v>
      </c>
    </row>
    <row r="824" spans="1:5" ht="13.5" customHeight="1">
      <c r="A824" s="69"/>
      <c r="B824" s="75"/>
      <c r="C824" s="79"/>
      <c r="D824" s="79"/>
      <c r="E824" s="71">
        <f t="shared" si="13"/>
        <v>0</v>
      </c>
    </row>
    <row r="825" spans="1:5" ht="13.5" customHeight="1">
      <c r="A825" s="69"/>
      <c r="B825" s="75"/>
      <c r="C825" s="79"/>
      <c r="D825" s="79"/>
      <c r="E825" s="71">
        <f t="shared" si="13"/>
        <v>0</v>
      </c>
    </row>
    <row r="826" spans="1:5" ht="13.5" customHeight="1">
      <c r="A826" s="69"/>
      <c r="B826" s="75"/>
      <c r="C826" s="79"/>
      <c r="D826" s="79"/>
      <c r="E826" s="71">
        <f t="shared" si="13"/>
        <v>0</v>
      </c>
    </row>
    <row r="827" spans="1:5" ht="13.5" customHeight="1">
      <c r="A827" s="69"/>
      <c r="B827" s="75"/>
      <c r="C827" s="79"/>
      <c r="D827" s="79"/>
      <c r="E827" s="71">
        <f t="shared" si="13"/>
        <v>0</v>
      </c>
    </row>
    <row r="828" spans="1:5" ht="13.5" customHeight="1">
      <c r="A828" s="69"/>
      <c r="B828" s="75"/>
      <c r="C828" s="79"/>
      <c r="D828" s="79"/>
      <c r="E828" s="71">
        <f t="shared" si="13"/>
        <v>0</v>
      </c>
    </row>
    <row r="829" spans="1:5" ht="13.5" customHeight="1">
      <c r="A829" s="69"/>
      <c r="B829" s="75"/>
      <c r="C829" s="79"/>
      <c r="D829" s="79"/>
      <c r="E829" s="71">
        <f t="shared" si="13"/>
        <v>0</v>
      </c>
    </row>
    <row r="830" spans="1:5" ht="13.5" customHeight="1">
      <c r="A830" s="69"/>
      <c r="B830" s="75"/>
      <c r="C830" s="79"/>
      <c r="D830" s="79"/>
      <c r="E830" s="71">
        <f t="shared" si="13"/>
        <v>0</v>
      </c>
    </row>
    <row r="831" spans="1:5" ht="13.5" customHeight="1">
      <c r="A831" s="69"/>
      <c r="B831" s="75"/>
      <c r="C831" s="79"/>
      <c r="D831" s="79"/>
      <c r="E831" s="71">
        <f t="shared" si="13"/>
        <v>0</v>
      </c>
    </row>
    <row r="832" spans="1:5" ht="13.5" customHeight="1">
      <c r="A832" s="69"/>
      <c r="B832" s="75"/>
      <c r="C832" s="79"/>
      <c r="D832" s="79"/>
      <c r="E832" s="71">
        <f t="shared" si="13"/>
        <v>0</v>
      </c>
    </row>
    <row r="833" spans="1:5" ht="13.5" customHeight="1">
      <c r="A833" s="69"/>
      <c r="B833" s="75"/>
      <c r="C833" s="79"/>
      <c r="D833" s="79"/>
      <c r="E833" s="71">
        <f t="shared" si="13"/>
        <v>0</v>
      </c>
    </row>
    <row r="834" spans="1:5" ht="13.5" customHeight="1">
      <c r="A834" s="69"/>
      <c r="B834" s="75"/>
      <c r="C834" s="79"/>
      <c r="D834" s="79"/>
      <c r="E834" s="71">
        <f t="shared" ref="E834:E897" si="14">+D834-C834</f>
        <v>0</v>
      </c>
    </row>
    <row r="835" spans="1:5" ht="13.5" customHeight="1">
      <c r="A835" s="69"/>
      <c r="B835" s="75"/>
      <c r="C835" s="79"/>
      <c r="D835" s="79"/>
      <c r="E835" s="71">
        <f t="shared" si="14"/>
        <v>0</v>
      </c>
    </row>
    <row r="836" spans="1:5" ht="13.5" customHeight="1">
      <c r="A836" s="69"/>
      <c r="B836" s="75"/>
      <c r="C836" s="79"/>
      <c r="D836" s="79"/>
      <c r="E836" s="71">
        <f t="shared" si="14"/>
        <v>0</v>
      </c>
    </row>
    <row r="837" spans="1:5" ht="13.5" customHeight="1">
      <c r="A837" s="69"/>
      <c r="B837" s="75"/>
      <c r="C837" s="79"/>
      <c r="D837" s="79"/>
      <c r="E837" s="71">
        <f t="shared" si="14"/>
        <v>0</v>
      </c>
    </row>
    <row r="838" spans="1:5" ht="13.5" customHeight="1">
      <c r="A838" s="69"/>
      <c r="B838" s="75"/>
      <c r="C838" s="79"/>
      <c r="D838" s="79"/>
      <c r="E838" s="71">
        <f t="shared" si="14"/>
        <v>0</v>
      </c>
    </row>
    <row r="839" spans="1:5" ht="13.5" customHeight="1">
      <c r="A839" s="69"/>
      <c r="B839" s="75"/>
      <c r="C839" s="79"/>
      <c r="D839" s="79"/>
      <c r="E839" s="71">
        <f t="shared" si="14"/>
        <v>0</v>
      </c>
    </row>
    <row r="840" spans="1:5" ht="13.5" customHeight="1">
      <c r="A840" s="69"/>
      <c r="B840" s="75"/>
      <c r="C840" s="79"/>
      <c r="D840" s="79"/>
      <c r="E840" s="71">
        <f t="shared" si="14"/>
        <v>0</v>
      </c>
    </row>
    <row r="841" spans="1:5" ht="13.5" customHeight="1">
      <c r="A841" s="69"/>
      <c r="B841" s="75"/>
      <c r="C841" s="79"/>
      <c r="D841" s="79"/>
      <c r="E841" s="71">
        <f t="shared" si="14"/>
        <v>0</v>
      </c>
    </row>
    <row r="842" spans="1:5" ht="13.5" customHeight="1">
      <c r="A842" s="69"/>
      <c r="B842" s="75"/>
      <c r="C842" s="79"/>
      <c r="D842" s="79"/>
      <c r="E842" s="71">
        <f t="shared" si="14"/>
        <v>0</v>
      </c>
    </row>
    <row r="843" spans="1:5" ht="13.5" customHeight="1">
      <c r="A843" s="69"/>
      <c r="B843" s="75"/>
      <c r="C843" s="79"/>
      <c r="D843" s="79"/>
      <c r="E843" s="71">
        <f t="shared" si="14"/>
        <v>0</v>
      </c>
    </row>
    <row r="844" spans="1:5" ht="13.5" customHeight="1">
      <c r="A844" s="69"/>
      <c r="B844" s="75"/>
      <c r="C844" s="79"/>
      <c r="D844" s="79"/>
      <c r="E844" s="71">
        <f t="shared" si="14"/>
        <v>0</v>
      </c>
    </row>
    <row r="845" spans="1:5" ht="13.5" customHeight="1">
      <c r="A845" s="69"/>
      <c r="B845" s="75"/>
      <c r="C845" s="79"/>
      <c r="D845" s="79"/>
      <c r="E845" s="71">
        <f t="shared" si="14"/>
        <v>0</v>
      </c>
    </row>
    <row r="846" spans="1:5" ht="13.5" customHeight="1">
      <c r="A846" s="69"/>
      <c r="B846" s="75"/>
      <c r="C846" s="79"/>
      <c r="D846" s="79"/>
      <c r="E846" s="71">
        <f t="shared" si="14"/>
        <v>0</v>
      </c>
    </row>
    <row r="847" spans="1:5" ht="13.5" customHeight="1">
      <c r="A847" s="69"/>
      <c r="B847" s="75"/>
      <c r="C847" s="79"/>
      <c r="D847" s="79"/>
      <c r="E847" s="71">
        <f t="shared" si="14"/>
        <v>0</v>
      </c>
    </row>
    <row r="848" spans="1:5" ht="13.5" customHeight="1">
      <c r="A848" s="69"/>
      <c r="B848" s="75"/>
      <c r="C848" s="79"/>
      <c r="D848" s="79"/>
      <c r="E848" s="71">
        <f t="shared" si="14"/>
        <v>0</v>
      </c>
    </row>
    <row r="849" spans="1:5" ht="13.5" customHeight="1">
      <c r="A849" s="69"/>
      <c r="B849" s="75"/>
      <c r="C849" s="79"/>
      <c r="D849" s="79"/>
      <c r="E849" s="71">
        <f t="shared" si="14"/>
        <v>0</v>
      </c>
    </row>
    <row r="850" spans="1:5" ht="13.5" customHeight="1">
      <c r="A850" s="69"/>
      <c r="B850" s="75"/>
      <c r="C850" s="79"/>
      <c r="D850" s="79"/>
      <c r="E850" s="71">
        <f t="shared" si="14"/>
        <v>0</v>
      </c>
    </row>
    <row r="851" spans="1:5" ht="13.5" customHeight="1">
      <c r="A851" s="69"/>
      <c r="B851" s="75"/>
      <c r="C851" s="79"/>
      <c r="D851" s="79"/>
      <c r="E851" s="71">
        <f t="shared" si="14"/>
        <v>0</v>
      </c>
    </row>
    <row r="852" spans="1:5" ht="13.5" customHeight="1">
      <c r="A852" s="69"/>
      <c r="B852" s="75"/>
      <c r="C852" s="79"/>
      <c r="D852" s="79"/>
      <c r="E852" s="71">
        <f t="shared" si="14"/>
        <v>0</v>
      </c>
    </row>
    <row r="853" spans="1:5" ht="13.5" customHeight="1">
      <c r="A853" s="69"/>
      <c r="B853" s="75"/>
      <c r="C853" s="79"/>
      <c r="D853" s="79"/>
      <c r="E853" s="71">
        <f t="shared" si="14"/>
        <v>0</v>
      </c>
    </row>
    <row r="854" spans="1:5" ht="13.5" customHeight="1">
      <c r="A854" s="69"/>
      <c r="B854" s="75"/>
      <c r="C854" s="79"/>
      <c r="D854" s="79"/>
      <c r="E854" s="71">
        <f t="shared" si="14"/>
        <v>0</v>
      </c>
    </row>
    <row r="855" spans="1:5" ht="13.5" customHeight="1">
      <c r="A855" s="69"/>
      <c r="B855" s="75"/>
      <c r="C855" s="79"/>
      <c r="D855" s="79"/>
      <c r="E855" s="71">
        <f t="shared" si="14"/>
        <v>0</v>
      </c>
    </row>
    <row r="856" spans="1:5" ht="13.5" customHeight="1">
      <c r="A856" s="69"/>
      <c r="B856" s="75"/>
      <c r="C856" s="79"/>
      <c r="D856" s="79"/>
      <c r="E856" s="71">
        <f t="shared" si="14"/>
        <v>0</v>
      </c>
    </row>
    <row r="857" spans="1:5" ht="13.5" customHeight="1">
      <c r="A857" s="69"/>
      <c r="B857" s="75"/>
      <c r="C857" s="79"/>
      <c r="D857" s="79"/>
      <c r="E857" s="71">
        <f t="shared" si="14"/>
        <v>0</v>
      </c>
    </row>
    <row r="858" spans="1:5" ht="13.5" customHeight="1">
      <c r="A858" s="69"/>
      <c r="B858" s="75"/>
      <c r="C858" s="79"/>
      <c r="D858" s="79"/>
      <c r="E858" s="71">
        <f t="shared" si="14"/>
        <v>0</v>
      </c>
    </row>
    <row r="859" spans="1:5" ht="13.5" customHeight="1">
      <c r="A859" s="69"/>
      <c r="B859" s="75"/>
      <c r="C859" s="79"/>
      <c r="D859" s="79"/>
      <c r="E859" s="71">
        <f t="shared" si="14"/>
        <v>0</v>
      </c>
    </row>
    <row r="860" spans="1:5" ht="13.5" customHeight="1">
      <c r="A860" s="69"/>
      <c r="B860" s="75"/>
      <c r="C860" s="79"/>
      <c r="D860" s="79"/>
      <c r="E860" s="71">
        <f t="shared" si="14"/>
        <v>0</v>
      </c>
    </row>
    <row r="861" spans="1:5" ht="13.5" customHeight="1">
      <c r="A861" s="69"/>
      <c r="B861" s="75"/>
      <c r="C861" s="79"/>
      <c r="D861" s="79"/>
      <c r="E861" s="71">
        <f t="shared" si="14"/>
        <v>0</v>
      </c>
    </row>
    <row r="862" spans="1:5" ht="13.5" customHeight="1">
      <c r="A862" s="69"/>
      <c r="B862" s="75"/>
      <c r="C862" s="79"/>
      <c r="D862" s="79"/>
      <c r="E862" s="71">
        <f t="shared" si="14"/>
        <v>0</v>
      </c>
    </row>
    <row r="863" spans="1:5" ht="13.5" customHeight="1">
      <c r="A863" s="69"/>
      <c r="B863" s="75"/>
      <c r="C863" s="79"/>
      <c r="D863" s="79"/>
      <c r="E863" s="71">
        <f t="shared" si="14"/>
        <v>0</v>
      </c>
    </row>
    <row r="864" spans="1:5" ht="13.5" customHeight="1">
      <c r="A864" s="69"/>
      <c r="B864" s="75"/>
      <c r="C864" s="79"/>
      <c r="D864" s="79"/>
      <c r="E864" s="71">
        <f t="shared" si="14"/>
        <v>0</v>
      </c>
    </row>
    <row r="865" spans="1:5" ht="13.5" customHeight="1">
      <c r="A865" s="69"/>
      <c r="B865" s="75"/>
      <c r="C865" s="79"/>
      <c r="D865" s="79"/>
      <c r="E865" s="71">
        <f t="shared" si="14"/>
        <v>0</v>
      </c>
    </row>
    <row r="866" spans="1:5" ht="13.5" customHeight="1">
      <c r="A866" s="69"/>
      <c r="B866" s="75"/>
      <c r="C866" s="79"/>
      <c r="D866" s="79"/>
      <c r="E866" s="71">
        <f t="shared" si="14"/>
        <v>0</v>
      </c>
    </row>
    <row r="867" spans="1:5" ht="13.5" customHeight="1">
      <c r="A867" s="69"/>
      <c r="B867" s="75"/>
      <c r="C867" s="79"/>
      <c r="D867" s="79"/>
      <c r="E867" s="71">
        <f t="shared" si="14"/>
        <v>0</v>
      </c>
    </row>
    <row r="868" spans="1:5" ht="13.5" customHeight="1">
      <c r="A868" s="69"/>
      <c r="B868" s="75"/>
      <c r="C868" s="79"/>
      <c r="D868" s="79"/>
      <c r="E868" s="71">
        <f t="shared" si="14"/>
        <v>0</v>
      </c>
    </row>
    <row r="869" spans="1:5" ht="13.5" customHeight="1">
      <c r="A869" s="69"/>
      <c r="B869" s="75"/>
      <c r="C869" s="79"/>
      <c r="D869" s="79"/>
      <c r="E869" s="71">
        <f t="shared" si="14"/>
        <v>0</v>
      </c>
    </row>
    <row r="870" spans="1:5" ht="13.5" customHeight="1">
      <c r="A870" s="69"/>
      <c r="B870" s="75"/>
      <c r="C870" s="79"/>
      <c r="D870" s="79"/>
      <c r="E870" s="71">
        <f t="shared" si="14"/>
        <v>0</v>
      </c>
    </row>
    <row r="871" spans="1:5" ht="13.5" customHeight="1">
      <c r="A871" s="69"/>
      <c r="B871" s="75"/>
      <c r="C871" s="79"/>
      <c r="D871" s="79"/>
      <c r="E871" s="71">
        <f t="shared" si="14"/>
        <v>0</v>
      </c>
    </row>
    <row r="872" spans="1:5" ht="13.5" customHeight="1">
      <c r="A872" s="69"/>
      <c r="B872" s="75"/>
      <c r="C872" s="79"/>
      <c r="D872" s="79"/>
      <c r="E872" s="71">
        <f t="shared" si="14"/>
        <v>0</v>
      </c>
    </row>
    <row r="873" spans="1:5" ht="13.5" customHeight="1">
      <c r="A873" s="69"/>
      <c r="B873" s="75"/>
      <c r="C873" s="79"/>
      <c r="D873" s="79"/>
      <c r="E873" s="71">
        <f t="shared" si="14"/>
        <v>0</v>
      </c>
    </row>
    <row r="874" spans="1:5" ht="13.5" customHeight="1">
      <c r="A874" s="69"/>
      <c r="B874" s="75"/>
      <c r="C874" s="79"/>
      <c r="D874" s="79"/>
      <c r="E874" s="71">
        <f t="shared" si="14"/>
        <v>0</v>
      </c>
    </row>
    <row r="875" spans="1:5" ht="13.5" customHeight="1">
      <c r="A875" s="69"/>
      <c r="B875" s="75"/>
      <c r="C875" s="79"/>
      <c r="D875" s="79"/>
      <c r="E875" s="71">
        <f t="shared" si="14"/>
        <v>0</v>
      </c>
    </row>
    <row r="876" spans="1:5" ht="13.5" customHeight="1">
      <c r="A876" s="69"/>
      <c r="B876" s="75"/>
      <c r="C876" s="79"/>
      <c r="D876" s="79"/>
      <c r="E876" s="71">
        <f t="shared" si="14"/>
        <v>0</v>
      </c>
    </row>
    <row r="877" spans="1:5" ht="13.5" customHeight="1">
      <c r="A877" s="69"/>
      <c r="B877" s="75"/>
      <c r="C877" s="79"/>
      <c r="D877" s="79"/>
      <c r="E877" s="71">
        <f t="shared" si="14"/>
        <v>0</v>
      </c>
    </row>
    <row r="878" spans="1:5" ht="13.5" customHeight="1">
      <c r="A878" s="69"/>
      <c r="B878" s="75"/>
      <c r="C878" s="79"/>
      <c r="D878" s="79"/>
      <c r="E878" s="71">
        <f t="shared" si="14"/>
        <v>0</v>
      </c>
    </row>
    <row r="879" spans="1:5" ht="13.5" customHeight="1">
      <c r="A879" s="69"/>
      <c r="B879" s="75"/>
      <c r="C879" s="79"/>
      <c r="D879" s="79"/>
      <c r="E879" s="71">
        <f t="shared" si="14"/>
        <v>0</v>
      </c>
    </row>
    <row r="880" spans="1:5" ht="13.5" customHeight="1">
      <c r="A880" s="69"/>
      <c r="B880" s="75"/>
      <c r="C880" s="79"/>
      <c r="D880" s="79"/>
      <c r="E880" s="71">
        <f t="shared" si="14"/>
        <v>0</v>
      </c>
    </row>
    <row r="881" spans="1:5" ht="13.5" customHeight="1">
      <c r="A881" s="69"/>
      <c r="B881" s="75"/>
      <c r="C881" s="79"/>
      <c r="D881" s="79"/>
      <c r="E881" s="71">
        <f t="shared" si="14"/>
        <v>0</v>
      </c>
    </row>
    <row r="882" spans="1:5" ht="13.5" customHeight="1">
      <c r="A882" s="69"/>
      <c r="B882" s="75"/>
      <c r="C882" s="79"/>
      <c r="D882" s="79"/>
      <c r="E882" s="71">
        <f t="shared" si="14"/>
        <v>0</v>
      </c>
    </row>
    <row r="883" spans="1:5" ht="13.5" customHeight="1">
      <c r="A883" s="69"/>
      <c r="B883" s="75"/>
      <c r="C883" s="79"/>
      <c r="D883" s="79"/>
      <c r="E883" s="71">
        <f t="shared" si="14"/>
        <v>0</v>
      </c>
    </row>
    <row r="884" spans="1:5" ht="13.5" customHeight="1">
      <c r="A884" s="69"/>
      <c r="B884" s="75"/>
      <c r="C884" s="79"/>
      <c r="D884" s="79"/>
      <c r="E884" s="71">
        <f t="shared" si="14"/>
        <v>0</v>
      </c>
    </row>
    <row r="885" spans="1:5" ht="13.5" customHeight="1">
      <c r="A885" s="69"/>
      <c r="B885" s="75"/>
      <c r="C885" s="79"/>
      <c r="D885" s="79"/>
      <c r="E885" s="71">
        <f t="shared" si="14"/>
        <v>0</v>
      </c>
    </row>
    <row r="886" spans="1:5" ht="13.5" customHeight="1">
      <c r="A886" s="69"/>
      <c r="B886" s="75"/>
      <c r="C886" s="79"/>
      <c r="D886" s="79"/>
      <c r="E886" s="71">
        <f t="shared" si="14"/>
        <v>0</v>
      </c>
    </row>
    <row r="887" spans="1:5" ht="13.5" customHeight="1">
      <c r="A887" s="69"/>
      <c r="B887" s="75"/>
      <c r="C887" s="79"/>
      <c r="D887" s="79"/>
      <c r="E887" s="71">
        <f t="shared" si="14"/>
        <v>0</v>
      </c>
    </row>
    <row r="888" spans="1:5" ht="13.5" customHeight="1">
      <c r="A888" s="69"/>
      <c r="B888" s="75"/>
      <c r="C888" s="79"/>
      <c r="D888" s="79"/>
      <c r="E888" s="71">
        <f t="shared" si="14"/>
        <v>0</v>
      </c>
    </row>
    <row r="889" spans="1:5" ht="13.5" customHeight="1">
      <c r="A889" s="69"/>
      <c r="B889" s="75"/>
      <c r="C889" s="79"/>
      <c r="D889" s="79"/>
      <c r="E889" s="71">
        <f t="shared" si="14"/>
        <v>0</v>
      </c>
    </row>
    <row r="890" spans="1:5" ht="13.5" customHeight="1">
      <c r="A890" s="69"/>
      <c r="B890" s="75"/>
      <c r="C890" s="79"/>
      <c r="D890" s="79"/>
      <c r="E890" s="71">
        <f t="shared" si="14"/>
        <v>0</v>
      </c>
    </row>
    <row r="891" spans="1:5" ht="13.5" customHeight="1">
      <c r="A891" s="69"/>
      <c r="B891" s="75"/>
      <c r="C891" s="79"/>
      <c r="D891" s="79"/>
      <c r="E891" s="71">
        <f t="shared" si="14"/>
        <v>0</v>
      </c>
    </row>
    <row r="892" spans="1:5" ht="13.5" customHeight="1">
      <c r="A892" s="69"/>
      <c r="B892" s="75"/>
      <c r="C892" s="79"/>
      <c r="D892" s="79"/>
      <c r="E892" s="71">
        <f t="shared" si="14"/>
        <v>0</v>
      </c>
    </row>
    <row r="893" spans="1:5" ht="13.5" customHeight="1">
      <c r="A893" s="69"/>
      <c r="B893" s="75"/>
      <c r="C893" s="79"/>
      <c r="D893" s="79"/>
      <c r="E893" s="71">
        <f t="shared" si="14"/>
        <v>0</v>
      </c>
    </row>
    <row r="894" spans="1:5" ht="13.5" customHeight="1">
      <c r="A894" s="69"/>
      <c r="B894" s="75"/>
      <c r="C894" s="79"/>
      <c r="D894" s="79"/>
      <c r="E894" s="71">
        <f t="shared" si="14"/>
        <v>0</v>
      </c>
    </row>
    <row r="895" spans="1:5" ht="13.5" customHeight="1">
      <c r="A895" s="69"/>
      <c r="B895" s="75"/>
      <c r="C895" s="79"/>
      <c r="D895" s="79"/>
      <c r="E895" s="71">
        <f t="shared" si="14"/>
        <v>0</v>
      </c>
    </row>
    <row r="896" spans="1:5" ht="13.5" customHeight="1">
      <c r="A896" s="69"/>
      <c r="B896" s="75"/>
      <c r="C896" s="79"/>
      <c r="D896" s="79"/>
      <c r="E896" s="71">
        <f t="shared" si="14"/>
        <v>0</v>
      </c>
    </row>
    <row r="897" spans="1:5" ht="13.5" customHeight="1">
      <c r="A897" s="69"/>
      <c r="B897" s="75"/>
      <c r="C897" s="79"/>
      <c r="D897" s="79"/>
      <c r="E897" s="71">
        <f t="shared" si="14"/>
        <v>0</v>
      </c>
    </row>
    <row r="898" spans="1:5" ht="13.5" customHeight="1">
      <c r="A898" s="69"/>
      <c r="B898" s="75"/>
      <c r="C898" s="79"/>
      <c r="D898" s="79"/>
      <c r="E898" s="71">
        <f t="shared" ref="E898:E961" si="15">+D898-C898</f>
        <v>0</v>
      </c>
    </row>
    <row r="899" spans="1:5" ht="13.5" customHeight="1">
      <c r="A899" s="69"/>
      <c r="B899" s="75"/>
      <c r="C899" s="79"/>
      <c r="D899" s="79"/>
      <c r="E899" s="71">
        <f t="shared" si="15"/>
        <v>0</v>
      </c>
    </row>
    <row r="900" spans="1:5" ht="13.5" customHeight="1">
      <c r="A900" s="69"/>
      <c r="B900" s="75"/>
      <c r="C900" s="79"/>
      <c r="D900" s="79"/>
      <c r="E900" s="71">
        <f t="shared" si="15"/>
        <v>0</v>
      </c>
    </row>
    <row r="901" spans="1:5" ht="13.5" customHeight="1">
      <c r="A901" s="69"/>
      <c r="B901" s="75"/>
      <c r="C901" s="79"/>
      <c r="D901" s="79"/>
      <c r="E901" s="71">
        <f t="shared" si="15"/>
        <v>0</v>
      </c>
    </row>
    <row r="902" spans="1:5" ht="13.5" customHeight="1">
      <c r="A902" s="69"/>
      <c r="B902" s="75"/>
      <c r="C902" s="79"/>
      <c r="D902" s="79"/>
      <c r="E902" s="71">
        <f t="shared" si="15"/>
        <v>0</v>
      </c>
    </row>
    <row r="903" spans="1:5" ht="13.5" customHeight="1">
      <c r="A903" s="69"/>
      <c r="B903" s="75"/>
      <c r="C903" s="79"/>
      <c r="D903" s="79"/>
      <c r="E903" s="71">
        <f t="shared" si="15"/>
        <v>0</v>
      </c>
    </row>
    <row r="904" spans="1:5" ht="13.5" customHeight="1">
      <c r="A904" s="69"/>
      <c r="B904" s="75"/>
      <c r="C904" s="79"/>
      <c r="D904" s="79"/>
      <c r="E904" s="71">
        <f t="shared" si="15"/>
        <v>0</v>
      </c>
    </row>
    <row r="905" spans="1:5" ht="13.5" customHeight="1">
      <c r="A905" s="69"/>
      <c r="B905" s="75"/>
      <c r="C905" s="79"/>
      <c r="D905" s="79"/>
      <c r="E905" s="71">
        <f t="shared" si="15"/>
        <v>0</v>
      </c>
    </row>
    <row r="906" spans="1:5" ht="13.5" customHeight="1">
      <c r="A906" s="69"/>
      <c r="B906" s="75"/>
      <c r="C906" s="79"/>
      <c r="D906" s="79"/>
      <c r="E906" s="71">
        <f t="shared" si="15"/>
        <v>0</v>
      </c>
    </row>
    <row r="907" spans="1:5" ht="13.5" customHeight="1">
      <c r="A907" s="69"/>
      <c r="B907" s="75"/>
      <c r="C907" s="79"/>
      <c r="D907" s="79"/>
      <c r="E907" s="71">
        <f t="shared" si="15"/>
        <v>0</v>
      </c>
    </row>
    <row r="908" spans="1:5" ht="13.5" customHeight="1">
      <c r="A908" s="69"/>
      <c r="B908" s="75"/>
      <c r="C908" s="79"/>
      <c r="D908" s="79"/>
      <c r="E908" s="71">
        <f t="shared" si="15"/>
        <v>0</v>
      </c>
    </row>
    <row r="909" spans="1:5" ht="13.5" customHeight="1">
      <c r="A909" s="69"/>
      <c r="B909" s="75"/>
      <c r="C909" s="79"/>
      <c r="D909" s="79"/>
      <c r="E909" s="71">
        <f t="shared" si="15"/>
        <v>0</v>
      </c>
    </row>
    <row r="910" spans="1:5" ht="13.5" customHeight="1">
      <c r="A910" s="69"/>
      <c r="B910" s="75"/>
      <c r="C910" s="79"/>
      <c r="D910" s="79"/>
      <c r="E910" s="71">
        <f t="shared" si="15"/>
        <v>0</v>
      </c>
    </row>
    <row r="911" spans="1:5" ht="13.5" customHeight="1">
      <c r="A911" s="69"/>
      <c r="B911" s="75"/>
      <c r="C911" s="79"/>
      <c r="D911" s="79"/>
      <c r="E911" s="71">
        <f t="shared" si="15"/>
        <v>0</v>
      </c>
    </row>
    <row r="912" spans="1:5" ht="13.5" customHeight="1">
      <c r="A912" s="69"/>
      <c r="B912" s="75"/>
      <c r="C912" s="79"/>
      <c r="D912" s="79"/>
      <c r="E912" s="71">
        <f t="shared" si="15"/>
        <v>0</v>
      </c>
    </row>
    <row r="913" spans="1:5" ht="13.5" customHeight="1">
      <c r="A913" s="69"/>
      <c r="B913" s="75"/>
      <c r="C913" s="79"/>
      <c r="D913" s="79"/>
      <c r="E913" s="71">
        <f t="shared" si="15"/>
        <v>0</v>
      </c>
    </row>
    <row r="914" spans="1:5" ht="13.5" customHeight="1">
      <c r="A914" s="69"/>
      <c r="B914" s="75"/>
      <c r="C914" s="79"/>
      <c r="D914" s="79"/>
      <c r="E914" s="71">
        <f t="shared" si="15"/>
        <v>0</v>
      </c>
    </row>
    <row r="915" spans="1:5" ht="13.5" customHeight="1">
      <c r="A915" s="69"/>
      <c r="B915" s="75"/>
      <c r="C915" s="79"/>
      <c r="D915" s="79"/>
      <c r="E915" s="71">
        <f t="shared" si="15"/>
        <v>0</v>
      </c>
    </row>
    <row r="916" spans="1:5" ht="13.5" customHeight="1">
      <c r="A916" s="69"/>
      <c r="B916" s="75"/>
      <c r="C916" s="79"/>
      <c r="D916" s="79"/>
      <c r="E916" s="71">
        <f t="shared" si="15"/>
        <v>0</v>
      </c>
    </row>
    <row r="917" spans="1:5" ht="13.5" customHeight="1">
      <c r="A917" s="69"/>
      <c r="B917" s="75"/>
      <c r="C917" s="79"/>
      <c r="D917" s="79"/>
      <c r="E917" s="71">
        <f t="shared" si="15"/>
        <v>0</v>
      </c>
    </row>
    <row r="918" spans="1:5" ht="13.5" customHeight="1">
      <c r="A918" s="69"/>
      <c r="B918" s="75"/>
      <c r="C918" s="79"/>
      <c r="D918" s="79"/>
      <c r="E918" s="71">
        <f t="shared" si="15"/>
        <v>0</v>
      </c>
    </row>
    <row r="919" spans="1:5" ht="13.5" customHeight="1">
      <c r="A919" s="69"/>
      <c r="B919" s="75"/>
      <c r="C919" s="79"/>
      <c r="D919" s="79"/>
      <c r="E919" s="71">
        <f t="shared" si="15"/>
        <v>0</v>
      </c>
    </row>
    <row r="920" spans="1:5" ht="13.5" customHeight="1">
      <c r="A920" s="69"/>
      <c r="B920" s="75"/>
      <c r="C920" s="79"/>
      <c r="D920" s="79"/>
      <c r="E920" s="71">
        <f t="shared" si="15"/>
        <v>0</v>
      </c>
    </row>
    <row r="921" spans="1:5" ht="13.5" customHeight="1">
      <c r="A921" s="69"/>
      <c r="B921" s="75"/>
      <c r="C921" s="79"/>
      <c r="D921" s="79"/>
      <c r="E921" s="71">
        <f t="shared" si="15"/>
        <v>0</v>
      </c>
    </row>
    <row r="922" spans="1:5" ht="13.5" customHeight="1">
      <c r="A922" s="69"/>
      <c r="B922" s="75"/>
      <c r="C922" s="79"/>
      <c r="D922" s="79"/>
      <c r="E922" s="71">
        <f t="shared" si="15"/>
        <v>0</v>
      </c>
    </row>
    <row r="923" spans="1:5" ht="13.5" customHeight="1">
      <c r="A923" s="69"/>
      <c r="B923" s="75"/>
      <c r="C923" s="79"/>
      <c r="D923" s="79"/>
      <c r="E923" s="71">
        <f t="shared" si="15"/>
        <v>0</v>
      </c>
    </row>
    <row r="924" spans="1:5" ht="13.5" customHeight="1">
      <c r="A924" s="69"/>
      <c r="B924" s="75"/>
      <c r="C924" s="79"/>
      <c r="D924" s="79"/>
      <c r="E924" s="71">
        <f t="shared" si="15"/>
        <v>0</v>
      </c>
    </row>
    <row r="925" spans="1:5" ht="13.5" customHeight="1">
      <c r="A925" s="69"/>
      <c r="B925" s="75"/>
      <c r="C925" s="79"/>
      <c r="D925" s="79"/>
      <c r="E925" s="71">
        <f t="shared" si="15"/>
        <v>0</v>
      </c>
    </row>
    <row r="926" spans="1:5" ht="13.5" customHeight="1">
      <c r="A926" s="69"/>
      <c r="B926" s="75"/>
      <c r="C926" s="79"/>
      <c r="D926" s="79"/>
      <c r="E926" s="71">
        <f t="shared" si="15"/>
        <v>0</v>
      </c>
    </row>
    <row r="927" spans="1:5" ht="13.5" customHeight="1">
      <c r="A927" s="69"/>
      <c r="B927" s="75"/>
      <c r="C927" s="79"/>
      <c r="D927" s="79"/>
      <c r="E927" s="71">
        <f t="shared" si="15"/>
        <v>0</v>
      </c>
    </row>
    <row r="928" spans="1:5" ht="13.5" customHeight="1">
      <c r="A928" s="69"/>
      <c r="B928" s="75"/>
      <c r="C928" s="79"/>
      <c r="D928" s="79"/>
      <c r="E928" s="71">
        <f t="shared" si="15"/>
        <v>0</v>
      </c>
    </row>
    <row r="929" spans="1:5" ht="13.5" customHeight="1">
      <c r="A929" s="69"/>
      <c r="B929" s="75"/>
      <c r="C929" s="79"/>
      <c r="D929" s="79"/>
      <c r="E929" s="71">
        <f t="shared" si="15"/>
        <v>0</v>
      </c>
    </row>
    <row r="930" spans="1:5" ht="13.5" customHeight="1">
      <c r="A930" s="69"/>
      <c r="B930" s="75"/>
      <c r="C930" s="79"/>
      <c r="D930" s="79"/>
      <c r="E930" s="71">
        <f t="shared" si="15"/>
        <v>0</v>
      </c>
    </row>
    <row r="931" spans="1:5" ht="13.5" customHeight="1">
      <c r="A931" s="69"/>
      <c r="B931" s="75"/>
      <c r="C931" s="79"/>
      <c r="D931" s="79"/>
      <c r="E931" s="71">
        <f t="shared" si="15"/>
        <v>0</v>
      </c>
    </row>
    <row r="932" spans="1:5" ht="13.5" customHeight="1">
      <c r="A932" s="69"/>
      <c r="B932" s="75"/>
      <c r="C932" s="79"/>
      <c r="D932" s="79"/>
      <c r="E932" s="71">
        <f t="shared" si="15"/>
        <v>0</v>
      </c>
    </row>
    <row r="933" spans="1:5" ht="13.5" customHeight="1">
      <c r="A933" s="69"/>
      <c r="B933" s="75"/>
      <c r="C933" s="79"/>
      <c r="D933" s="79"/>
      <c r="E933" s="71">
        <f t="shared" si="15"/>
        <v>0</v>
      </c>
    </row>
    <row r="934" spans="1:5" ht="13.5" customHeight="1">
      <c r="A934" s="69"/>
      <c r="B934" s="75"/>
      <c r="C934" s="79"/>
      <c r="D934" s="79"/>
      <c r="E934" s="71">
        <f t="shared" si="15"/>
        <v>0</v>
      </c>
    </row>
    <row r="935" spans="1:5" ht="13.5" customHeight="1">
      <c r="A935" s="69"/>
      <c r="B935" s="75"/>
      <c r="C935" s="79"/>
      <c r="D935" s="79"/>
      <c r="E935" s="71">
        <f t="shared" si="15"/>
        <v>0</v>
      </c>
    </row>
    <row r="936" spans="1:5" ht="13.5" customHeight="1">
      <c r="A936" s="69"/>
      <c r="B936" s="75"/>
      <c r="C936" s="79"/>
      <c r="D936" s="79"/>
      <c r="E936" s="71">
        <f t="shared" si="15"/>
        <v>0</v>
      </c>
    </row>
    <row r="937" spans="1:5" ht="13.5" customHeight="1">
      <c r="A937" s="69"/>
      <c r="B937" s="75"/>
      <c r="C937" s="79"/>
      <c r="D937" s="79"/>
      <c r="E937" s="71">
        <f t="shared" si="15"/>
        <v>0</v>
      </c>
    </row>
    <row r="938" spans="1:5" ht="13.5" customHeight="1">
      <c r="A938" s="69"/>
      <c r="B938" s="75"/>
      <c r="C938" s="79"/>
      <c r="D938" s="79"/>
      <c r="E938" s="71">
        <f t="shared" si="15"/>
        <v>0</v>
      </c>
    </row>
    <row r="939" spans="1:5" ht="13.5" customHeight="1">
      <c r="A939" s="69"/>
      <c r="B939" s="75"/>
      <c r="C939" s="79"/>
      <c r="D939" s="79"/>
      <c r="E939" s="71">
        <f t="shared" si="15"/>
        <v>0</v>
      </c>
    </row>
    <row r="940" spans="1:5" ht="13.5" customHeight="1">
      <c r="A940" s="69"/>
      <c r="B940" s="75"/>
      <c r="C940" s="79"/>
      <c r="D940" s="79"/>
      <c r="E940" s="71">
        <f t="shared" si="15"/>
        <v>0</v>
      </c>
    </row>
    <row r="941" spans="1:5" ht="13.5" customHeight="1">
      <c r="A941" s="69"/>
      <c r="B941" s="75"/>
      <c r="C941" s="79"/>
      <c r="D941" s="79"/>
      <c r="E941" s="71">
        <f t="shared" si="15"/>
        <v>0</v>
      </c>
    </row>
    <row r="942" spans="1:5" ht="13.5" customHeight="1">
      <c r="A942" s="69"/>
      <c r="B942" s="75"/>
      <c r="C942" s="79"/>
      <c r="D942" s="79"/>
      <c r="E942" s="71">
        <f t="shared" si="15"/>
        <v>0</v>
      </c>
    </row>
    <row r="943" spans="1:5" ht="13.5" customHeight="1">
      <c r="A943" s="69"/>
      <c r="B943" s="75"/>
      <c r="C943" s="79"/>
      <c r="D943" s="79"/>
      <c r="E943" s="71">
        <f t="shared" si="15"/>
        <v>0</v>
      </c>
    </row>
    <row r="944" spans="1:5" ht="13.5" customHeight="1">
      <c r="A944" s="69"/>
      <c r="B944" s="75"/>
      <c r="C944" s="79"/>
      <c r="D944" s="79"/>
      <c r="E944" s="71">
        <f t="shared" si="15"/>
        <v>0</v>
      </c>
    </row>
    <row r="945" spans="1:5" ht="13.5" customHeight="1">
      <c r="A945" s="69"/>
      <c r="B945" s="75"/>
      <c r="C945" s="79"/>
      <c r="D945" s="79"/>
      <c r="E945" s="71">
        <f t="shared" si="15"/>
        <v>0</v>
      </c>
    </row>
    <row r="946" spans="1:5" ht="13.5" customHeight="1">
      <c r="A946" s="69"/>
      <c r="B946" s="75"/>
      <c r="C946" s="79"/>
      <c r="D946" s="79"/>
      <c r="E946" s="71">
        <f t="shared" si="15"/>
        <v>0</v>
      </c>
    </row>
    <row r="947" spans="1:5" ht="13.5" customHeight="1">
      <c r="A947" s="69"/>
      <c r="B947" s="75"/>
      <c r="C947" s="79"/>
      <c r="D947" s="79"/>
      <c r="E947" s="71">
        <f t="shared" si="15"/>
        <v>0</v>
      </c>
    </row>
    <row r="948" spans="1:5" ht="13.5" customHeight="1">
      <c r="A948" s="69"/>
      <c r="B948" s="75"/>
      <c r="C948" s="79"/>
      <c r="D948" s="79"/>
      <c r="E948" s="71">
        <f t="shared" si="15"/>
        <v>0</v>
      </c>
    </row>
    <row r="949" spans="1:5" ht="13.5" customHeight="1">
      <c r="A949" s="69"/>
      <c r="B949" s="75"/>
      <c r="C949" s="79"/>
      <c r="D949" s="79"/>
      <c r="E949" s="71">
        <f t="shared" si="15"/>
        <v>0</v>
      </c>
    </row>
    <row r="950" spans="1:5" ht="13.5" customHeight="1">
      <c r="A950" s="69"/>
      <c r="B950" s="75"/>
      <c r="C950" s="79"/>
      <c r="D950" s="79"/>
      <c r="E950" s="71">
        <f t="shared" si="15"/>
        <v>0</v>
      </c>
    </row>
    <row r="951" spans="1:5" ht="13.5" customHeight="1">
      <c r="A951" s="69"/>
      <c r="B951" s="75"/>
      <c r="C951" s="79"/>
      <c r="D951" s="79"/>
      <c r="E951" s="71">
        <f t="shared" si="15"/>
        <v>0</v>
      </c>
    </row>
    <row r="952" spans="1:5" ht="13.5" customHeight="1">
      <c r="A952" s="69"/>
      <c r="B952" s="75"/>
      <c r="C952" s="79"/>
      <c r="D952" s="79"/>
      <c r="E952" s="71">
        <f t="shared" si="15"/>
        <v>0</v>
      </c>
    </row>
    <row r="953" spans="1:5" ht="13.5" customHeight="1">
      <c r="A953" s="69"/>
      <c r="B953" s="75"/>
      <c r="C953" s="79"/>
      <c r="D953" s="79"/>
      <c r="E953" s="71">
        <f t="shared" si="15"/>
        <v>0</v>
      </c>
    </row>
    <row r="954" spans="1:5" ht="13.5" customHeight="1">
      <c r="A954" s="69"/>
      <c r="B954" s="75"/>
      <c r="C954" s="79"/>
      <c r="D954" s="79"/>
      <c r="E954" s="71">
        <f t="shared" si="15"/>
        <v>0</v>
      </c>
    </row>
    <row r="955" spans="1:5" ht="13.5" customHeight="1">
      <c r="A955" s="69"/>
      <c r="B955" s="75"/>
      <c r="C955" s="79"/>
      <c r="D955" s="79"/>
      <c r="E955" s="71">
        <f t="shared" si="15"/>
        <v>0</v>
      </c>
    </row>
    <row r="956" spans="1:5" ht="13.5" customHeight="1">
      <c r="A956" s="69"/>
      <c r="B956" s="75"/>
      <c r="C956" s="79"/>
      <c r="D956" s="79"/>
      <c r="E956" s="71">
        <f t="shared" si="15"/>
        <v>0</v>
      </c>
    </row>
    <row r="957" spans="1:5" ht="13.5" customHeight="1">
      <c r="A957" s="69"/>
      <c r="B957" s="75"/>
      <c r="C957" s="79"/>
      <c r="D957" s="79"/>
      <c r="E957" s="71">
        <f t="shared" si="15"/>
        <v>0</v>
      </c>
    </row>
    <row r="958" spans="1:5" ht="13.5" customHeight="1">
      <c r="A958" s="69"/>
      <c r="B958" s="75"/>
      <c r="C958" s="79"/>
      <c r="D958" s="79"/>
      <c r="E958" s="71">
        <f t="shared" si="15"/>
        <v>0</v>
      </c>
    </row>
    <row r="959" spans="1:5" ht="13.5" customHeight="1">
      <c r="A959" s="69"/>
      <c r="B959" s="75"/>
      <c r="C959" s="79"/>
      <c r="D959" s="79"/>
      <c r="E959" s="71">
        <f t="shared" si="15"/>
        <v>0</v>
      </c>
    </row>
    <row r="960" spans="1:5" ht="13.5" customHeight="1">
      <c r="A960" s="69"/>
      <c r="B960" s="75"/>
      <c r="C960" s="79"/>
      <c r="D960" s="79"/>
      <c r="E960" s="71">
        <f t="shared" si="15"/>
        <v>0</v>
      </c>
    </row>
    <row r="961" spans="1:5" ht="13.5" customHeight="1">
      <c r="A961" s="69"/>
      <c r="B961" s="75"/>
      <c r="C961" s="79"/>
      <c r="D961" s="79"/>
      <c r="E961" s="71">
        <f t="shared" si="15"/>
        <v>0</v>
      </c>
    </row>
    <row r="962" spans="1:5" ht="13.5" customHeight="1">
      <c r="A962" s="69"/>
      <c r="B962" s="75"/>
      <c r="C962" s="79"/>
      <c r="D962" s="79"/>
      <c r="E962" s="71">
        <f t="shared" ref="E962:E1025" si="16">+D962-C962</f>
        <v>0</v>
      </c>
    </row>
    <row r="963" spans="1:5" ht="13.5" customHeight="1">
      <c r="A963" s="69"/>
      <c r="B963" s="75"/>
      <c r="C963" s="79"/>
      <c r="D963" s="79"/>
      <c r="E963" s="71">
        <f t="shared" si="16"/>
        <v>0</v>
      </c>
    </row>
    <row r="964" spans="1:5" ht="13.5" customHeight="1">
      <c r="A964" s="69"/>
      <c r="B964" s="75"/>
      <c r="C964" s="79"/>
      <c r="D964" s="79"/>
      <c r="E964" s="71">
        <f t="shared" si="16"/>
        <v>0</v>
      </c>
    </row>
    <row r="965" spans="1:5" ht="13.5" customHeight="1">
      <c r="A965" s="69"/>
      <c r="B965" s="75"/>
      <c r="C965" s="79"/>
      <c r="D965" s="79"/>
      <c r="E965" s="71">
        <f t="shared" si="16"/>
        <v>0</v>
      </c>
    </row>
    <row r="966" spans="1:5" ht="13.5" customHeight="1">
      <c r="A966" s="69"/>
      <c r="B966" s="75"/>
      <c r="C966" s="79"/>
      <c r="D966" s="79"/>
      <c r="E966" s="71">
        <f t="shared" si="16"/>
        <v>0</v>
      </c>
    </row>
    <row r="967" spans="1:5" ht="13.5" customHeight="1">
      <c r="A967" s="69"/>
      <c r="B967" s="75"/>
      <c r="C967" s="79"/>
      <c r="D967" s="79"/>
      <c r="E967" s="71">
        <f t="shared" si="16"/>
        <v>0</v>
      </c>
    </row>
    <row r="968" spans="1:5" ht="13.5" customHeight="1">
      <c r="A968" s="69"/>
      <c r="B968" s="75"/>
      <c r="C968" s="79"/>
      <c r="D968" s="79"/>
      <c r="E968" s="71">
        <f t="shared" si="16"/>
        <v>0</v>
      </c>
    </row>
    <row r="969" spans="1:5" ht="13.5" customHeight="1">
      <c r="A969" s="69"/>
      <c r="B969" s="75"/>
      <c r="C969" s="79"/>
      <c r="D969" s="79"/>
      <c r="E969" s="71">
        <f t="shared" si="16"/>
        <v>0</v>
      </c>
    </row>
    <row r="970" spans="1:5" ht="13.5" customHeight="1">
      <c r="A970" s="69"/>
      <c r="B970" s="75"/>
      <c r="C970" s="79"/>
      <c r="D970" s="79"/>
      <c r="E970" s="71">
        <f t="shared" si="16"/>
        <v>0</v>
      </c>
    </row>
    <row r="971" spans="1:5" ht="13.5" customHeight="1">
      <c r="A971" s="69"/>
      <c r="B971" s="75"/>
      <c r="C971" s="79"/>
      <c r="D971" s="79"/>
      <c r="E971" s="71">
        <f t="shared" si="16"/>
        <v>0</v>
      </c>
    </row>
    <row r="972" spans="1:5" ht="13.5" customHeight="1">
      <c r="A972" s="69"/>
      <c r="B972" s="75"/>
      <c r="C972" s="79"/>
      <c r="D972" s="79"/>
      <c r="E972" s="71">
        <f t="shared" si="16"/>
        <v>0</v>
      </c>
    </row>
    <row r="973" spans="1:5" ht="13.5" customHeight="1">
      <c r="A973" s="69"/>
      <c r="B973" s="75"/>
      <c r="C973" s="79"/>
      <c r="D973" s="79"/>
      <c r="E973" s="71">
        <f t="shared" si="16"/>
        <v>0</v>
      </c>
    </row>
    <row r="974" spans="1:5" ht="13.5" customHeight="1">
      <c r="A974" s="69"/>
      <c r="B974" s="75"/>
      <c r="C974" s="79"/>
      <c r="D974" s="79"/>
      <c r="E974" s="71">
        <f t="shared" si="16"/>
        <v>0</v>
      </c>
    </row>
    <row r="975" spans="1:5" ht="13.5" customHeight="1">
      <c r="A975" s="69"/>
      <c r="B975" s="75"/>
      <c r="C975" s="79"/>
      <c r="D975" s="79"/>
      <c r="E975" s="71">
        <f t="shared" si="16"/>
        <v>0</v>
      </c>
    </row>
    <row r="976" spans="1:5" ht="13.5" customHeight="1">
      <c r="A976" s="69"/>
      <c r="B976" s="75"/>
      <c r="C976" s="79"/>
      <c r="D976" s="79"/>
      <c r="E976" s="71">
        <f t="shared" si="16"/>
        <v>0</v>
      </c>
    </row>
    <row r="977" spans="1:5" ht="13.5" customHeight="1">
      <c r="A977" s="69"/>
      <c r="B977" s="75"/>
      <c r="C977" s="79"/>
      <c r="D977" s="79"/>
      <c r="E977" s="71">
        <f t="shared" si="16"/>
        <v>0</v>
      </c>
    </row>
    <row r="978" spans="1:5" ht="13.5" customHeight="1">
      <c r="A978" s="69"/>
      <c r="B978" s="75"/>
      <c r="C978" s="79"/>
      <c r="D978" s="79"/>
      <c r="E978" s="71">
        <f t="shared" si="16"/>
        <v>0</v>
      </c>
    </row>
    <row r="979" spans="1:5" ht="13.5" customHeight="1">
      <c r="A979" s="69"/>
      <c r="B979" s="75"/>
      <c r="C979" s="79"/>
      <c r="D979" s="79"/>
      <c r="E979" s="71">
        <f t="shared" si="16"/>
        <v>0</v>
      </c>
    </row>
    <row r="980" spans="1:5" ht="13.5" customHeight="1">
      <c r="A980" s="69"/>
      <c r="B980" s="75"/>
      <c r="C980" s="79"/>
      <c r="D980" s="79"/>
      <c r="E980" s="71">
        <f t="shared" si="16"/>
        <v>0</v>
      </c>
    </row>
    <row r="981" spans="1:5" ht="13.5" customHeight="1">
      <c r="A981" s="69"/>
      <c r="B981" s="75"/>
      <c r="C981" s="79"/>
      <c r="D981" s="79"/>
      <c r="E981" s="71">
        <f t="shared" si="16"/>
        <v>0</v>
      </c>
    </row>
    <row r="982" spans="1:5" ht="13.5" customHeight="1">
      <c r="A982" s="69"/>
      <c r="B982" s="75"/>
      <c r="C982" s="79"/>
      <c r="D982" s="79"/>
      <c r="E982" s="71">
        <f t="shared" si="16"/>
        <v>0</v>
      </c>
    </row>
    <row r="983" spans="1:5" ht="13.5" customHeight="1">
      <c r="A983" s="69"/>
      <c r="B983" s="75"/>
      <c r="C983" s="79"/>
      <c r="D983" s="79"/>
      <c r="E983" s="71">
        <f t="shared" si="16"/>
        <v>0</v>
      </c>
    </row>
    <row r="984" spans="1:5" ht="13.5" customHeight="1">
      <c r="A984" s="69"/>
      <c r="B984" s="75"/>
      <c r="C984" s="79"/>
      <c r="D984" s="79"/>
      <c r="E984" s="71">
        <f t="shared" si="16"/>
        <v>0</v>
      </c>
    </row>
    <row r="985" spans="1:5" ht="13.5" customHeight="1">
      <c r="A985" s="69"/>
      <c r="B985" s="75"/>
      <c r="C985" s="79"/>
      <c r="D985" s="79"/>
      <c r="E985" s="71">
        <f t="shared" si="16"/>
        <v>0</v>
      </c>
    </row>
    <row r="986" spans="1:5" ht="13.5" customHeight="1">
      <c r="A986" s="69"/>
      <c r="B986" s="75"/>
      <c r="C986" s="79"/>
      <c r="D986" s="79"/>
      <c r="E986" s="71">
        <f t="shared" si="16"/>
        <v>0</v>
      </c>
    </row>
    <row r="987" spans="1:5" ht="13.5" customHeight="1">
      <c r="A987" s="69"/>
      <c r="B987" s="75"/>
      <c r="C987" s="79"/>
      <c r="D987" s="79"/>
      <c r="E987" s="71">
        <f t="shared" si="16"/>
        <v>0</v>
      </c>
    </row>
    <row r="988" spans="1:5" ht="13.5" customHeight="1">
      <c r="A988" s="69"/>
      <c r="B988" s="75"/>
      <c r="C988" s="79"/>
      <c r="D988" s="79"/>
      <c r="E988" s="71">
        <f t="shared" si="16"/>
        <v>0</v>
      </c>
    </row>
    <row r="989" spans="1:5" ht="13.5" customHeight="1">
      <c r="A989" s="69"/>
      <c r="B989" s="75"/>
      <c r="C989" s="79"/>
      <c r="D989" s="79"/>
      <c r="E989" s="71">
        <f t="shared" si="16"/>
        <v>0</v>
      </c>
    </row>
    <row r="990" spans="1:5" ht="13.5" customHeight="1">
      <c r="A990" s="69"/>
      <c r="B990" s="75"/>
      <c r="C990" s="79"/>
      <c r="D990" s="79"/>
      <c r="E990" s="71">
        <f t="shared" si="16"/>
        <v>0</v>
      </c>
    </row>
    <row r="991" spans="1:5" ht="13.5" customHeight="1">
      <c r="A991" s="69"/>
      <c r="B991" s="75"/>
      <c r="C991" s="79"/>
      <c r="D991" s="79"/>
      <c r="E991" s="71">
        <f t="shared" si="16"/>
        <v>0</v>
      </c>
    </row>
    <row r="992" spans="1:5" ht="13.5" customHeight="1">
      <c r="A992" s="69"/>
      <c r="B992" s="75"/>
      <c r="C992" s="79"/>
      <c r="D992" s="79"/>
      <c r="E992" s="71">
        <f t="shared" si="16"/>
        <v>0</v>
      </c>
    </row>
    <row r="993" spans="1:5" ht="13.5" customHeight="1">
      <c r="A993" s="69"/>
      <c r="B993" s="75"/>
      <c r="C993" s="79"/>
      <c r="D993" s="79"/>
      <c r="E993" s="71">
        <f t="shared" si="16"/>
        <v>0</v>
      </c>
    </row>
    <row r="994" spans="1:5" ht="13.5" customHeight="1">
      <c r="A994" s="69"/>
      <c r="B994" s="75"/>
      <c r="C994" s="79"/>
      <c r="D994" s="79"/>
      <c r="E994" s="71">
        <f t="shared" si="16"/>
        <v>0</v>
      </c>
    </row>
    <row r="995" spans="1:5" ht="13.5" customHeight="1">
      <c r="A995" s="69"/>
      <c r="B995" s="75"/>
      <c r="C995" s="79"/>
      <c r="D995" s="79"/>
      <c r="E995" s="71">
        <f t="shared" si="16"/>
        <v>0</v>
      </c>
    </row>
    <row r="996" spans="1:5" ht="13.5" customHeight="1">
      <c r="A996" s="69"/>
      <c r="B996" s="75"/>
      <c r="C996" s="79"/>
      <c r="D996" s="79"/>
      <c r="E996" s="71">
        <f t="shared" si="16"/>
        <v>0</v>
      </c>
    </row>
    <row r="997" spans="1:5" ht="13.5" customHeight="1">
      <c r="A997" s="69"/>
      <c r="B997" s="75"/>
      <c r="C997" s="79"/>
      <c r="D997" s="79"/>
      <c r="E997" s="71">
        <f t="shared" si="16"/>
        <v>0</v>
      </c>
    </row>
    <row r="998" spans="1:5" ht="13.5" customHeight="1">
      <c r="A998" s="69"/>
      <c r="B998" s="75"/>
      <c r="C998" s="79"/>
      <c r="D998" s="79"/>
      <c r="E998" s="71">
        <f t="shared" si="16"/>
        <v>0</v>
      </c>
    </row>
    <row r="999" spans="1:5" ht="13.5" customHeight="1">
      <c r="A999" s="69"/>
      <c r="B999" s="75"/>
      <c r="C999" s="79"/>
      <c r="D999" s="79"/>
      <c r="E999" s="71">
        <f t="shared" si="16"/>
        <v>0</v>
      </c>
    </row>
    <row r="1000" spans="1:5" ht="13.5" customHeight="1">
      <c r="A1000" s="69"/>
      <c r="B1000" s="75"/>
      <c r="C1000" s="79"/>
      <c r="D1000" s="79"/>
      <c r="E1000" s="71">
        <f t="shared" si="16"/>
        <v>0</v>
      </c>
    </row>
    <row r="1001" spans="1:5" ht="13.5" customHeight="1">
      <c r="A1001" s="69"/>
      <c r="B1001" s="75"/>
      <c r="C1001" s="79"/>
      <c r="D1001" s="79"/>
      <c r="E1001" s="71">
        <f t="shared" si="16"/>
        <v>0</v>
      </c>
    </row>
    <row r="1002" spans="1:5" ht="13.5" customHeight="1">
      <c r="A1002" s="69"/>
      <c r="B1002" s="75"/>
      <c r="C1002" s="79"/>
      <c r="D1002" s="79"/>
      <c r="E1002" s="71">
        <f t="shared" si="16"/>
        <v>0</v>
      </c>
    </row>
    <row r="1003" spans="1:5" ht="13.5" customHeight="1">
      <c r="A1003" s="69"/>
      <c r="B1003" s="75"/>
      <c r="C1003" s="79"/>
      <c r="D1003" s="79"/>
      <c r="E1003" s="71">
        <f t="shared" si="16"/>
        <v>0</v>
      </c>
    </row>
    <row r="1004" spans="1:5" ht="13.5" customHeight="1">
      <c r="A1004" s="69"/>
      <c r="B1004" s="75"/>
      <c r="C1004" s="79"/>
      <c r="D1004" s="79"/>
      <c r="E1004" s="71">
        <f t="shared" si="16"/>
        <v>0</v>
      </c>
    </row>
    <row r="1005" spans="1:5" ht="13.5" customHeight="1">
      <c r="A1005" s="69"/>
      <c r="B1005" s="75"/>
      <c r="C1005" s="79"/>
      <c r="D1005" s="79"/>
      <c r="E1005" s="71">
        <f t="shared" si="16"/>
        <v>0</v>
      </c>
    </row>
    <row r="1006" spans="1:5" ht="13.5" customHeight="1">
      <c r="A1006" s="69"/>
      <c r="B1006" s="75"/>
      <c r="C1006" s="79"/>
      <c r="D1006" s="79"/>
      <c r="E1006" s="71">
        <f t="shared" si="16"/>
        <v>0</v>
      </c>
    </row>
    <row r="1007" spans="1:5" ht="13.5" customHeight="1">
      <c r="A1007" s="69"/>
      <c r="B1007" s="75"/>
      <c r="C1007" s="79"/>
      <c r="D1007" s="79"/>
      <c r="E1007" s="71">
        <f t="shared" si="16"/>
        <v>0</v>
      </c>
    </row>
    <row r="1008" spans="1:5" ht="13.5" customHeight="1">
      <c r="A1008" s="69"/>
      <c r="B1008" s="75"/>
      <c r="C1008" s="79"/>
      <c r="D1008" s="79"/>
      <c r="E1008" s="71">
        <f t="shared" si="16"/>
        <v>0</v>
      </c>
    </row>
    <row r="1009" spans="1:5" ht="13.5" customHeight="1">
      <c r="A1009" s="69"/>
      <c r="B1009" s="75"/>
      <c r="C1009" s="79"/>
      <c r="D1009" s="79"/>
      <c r="E1009" s="71">
        <f t="shared" si="16"/>
        <v>0</v>
      </c>
    </row>
    <row r="1010" spans="1:5" ht="13.5" customHeight="1">
      <c r="A1010" s="69"/>
      <c r="B1010" s="75"/>
      <c r="C1010" s="79"/>
      <c r="D1010" s="79"/>
      <c r="E1010" s="71">
        <f t="shared" si="16"/>
        <v>0</v>
      </c>
    </row>
    <row r="1011" spans="1:5" ht="13.5" customHeight="1">
      <c r="A1011" s="69"/>
      <c r="B1011" s="75"/>
      <c r="C1011" s="79"/>
      <c r="D1011" s="79"/>
      <c r="E1011" s="71">
        <f t="shared" si="16"/>
        <v>0</v>
      </c>
    </row>
    <row r="1012" spans="1:5" ht="13.5" customHeight="1">
      <c r="A1012" s="69"/>
      <c r="B1012" s="75"/>
      <c r="C1012" s="79"/>
      <c r="D1012" s="79"/>
      <c r="E1012" s="71">
        <f t="shared" si="16"/>
        <v>0</v>
      </c>
    </row>
    <row r="1013" spans="1:5" ht="13.5" customHeight="1">
      <c r="A1013" s="69"/>
      <c r="B1013" s="75"/>
      <c r="C1013" s="79"/>
      <c r="D1013" s="79"/>
      <c r="E1013" s="71">
        <f t="shared" si="16"/>
        <v>0</v>
      </c>
    </row>
    <row r="1014" spans="1:5" ht="13.5" customHeight="1">
      <c r="A1014" s="69"/>
      <c r="B1014" s="75"/>
      <c r="C1014" s="79"/>
      <c r="D1014" s="79"/>
      <c r="E1014" s="71">
        <f t="shared" si="16"/>
        <v>0</v>
      </c>
    </row>
    <row r="1015" spans="1:5" ht="13.5" customHeight="1">
      <c r="A1015" s="69"/>
      <c r="B1015" s="75"/>
      <c r="C1015" s="79"/>
      <c r="D1015" s="79"/>
      <c r="E1015" s="71">
        <f t="shared" si="16"/>
        <v>0</v>
      </c>
    </row>
    <row r="1016" spans="1:5" ht="13.5" customHeight="1">
      <c r="A1016" s="69"/>
      <c r="B1016" s="75"/>
      <c r="C1016" s="79"/>
      <c r="D1016" s="79"/>
      <c r="E1016" s="71">
        <f t="shared" si="16"/>
        <v>0</v>
      </c>
    </row>
    <row r="1017" spans="1:5" ht="13.5" customHeight="1">
      <c r="A1017" s="69"/>
      <c r="B1017" s="75"/>
      <c r="C1017" s="79"/>
      <c r="D1017" s="79"/>
      <c r="E1017" s="71">
        <f t="shared" si="16"/>
        <v>0</v>
      </c>
    </row>
    <row r="1018" spans="1:5" ht="13.5" customHeight="1">
      <c r="A1018" s="69"/>
      <c r="B1018" s="75"/>
      <c r="C1018" s="79"/>
      <c r="D1018" s="79"/>
      <c r="E1018" s="71">
        <f t="shared" si="16"/>
        <v>0</v>
      </c>
    </row>
    <row r="1019" spans="1:5" ht="13.5" customHeight="1">
      <c r="A1019" s="69"/>
      <c r="B1019" s="75"/>
      <c r="C1019" s="79"/>
      <c r="D1019" s="79"/>
      <c r="E1019" s="71">
        <f t="shared" si="16"/>
        <v>0</v>
      </c>
    </row>
    <row r="1020" spans="1:5" ht="13.5" customHeight="1">
      <c r="A1020" s="69"/>
      <c r="B1020" s="75"/>
      <c r="C1020" s="79"/>
      <c r="D1020" s="79"/>
      <c r="E1020" s="71">
        <f t="shared" si="16"/>
        <v>0</v>
      </c>
    </row>
    <row r="1021" spans="1:5" ht="13.5" customHeight="1">
      <c r="A1021" s="69"/>
      <c r="B1021" s="75"/>
      <c r="C1021" s="79"/>
      <c r="D1021" s="79"/>
      <c r="E1021" s="71">
        <f t="shared" si="16"/>
        <v>0</v>
      </c>
    </row>
    <row r="1022" spans="1:5" ht="13.5" customHeight="1">
      <c r="A1022" s="69"/>
      <c r="B1022" s="75"/>
      <c r="C1022" s="79"/>
      <c r="D1022" s="79"/>
      <c r="E1022" s="71">
        <f t="shared" si="16"/>
        <v>0</v>
      </c>
    </row>
    <row r="1023" spans="1:5" ht="13.5" customHeight="1">
      <c r="A1023" s="69"/>
      <c r="B1023" s="75"/>
      <c r="C1023" s="79"/>
      <c r="D1023" s="79"/>
      <c r="E1023" s="71">
        <f t="shared" si="16"/>
        <v>0</v>
      </c>
    </row>
    <row r="1024" spans="1:5" ht="13.5" customHeight="1">
      <c r="A1024" s="69"/>
      <c r="B1024" s="75"/>
      <c r="C1024" s="79"/>
      <c r="D1024" s="79"/>
      <c r="E1024" s="71">
        <f t="shared" si="16"/>
        <v>0</v>
      </c>
    </row>
    <row r="1025" spans="1:5" ht="13.5" customHeight="1">
      <c r="A1025" s="69"/>
      <c r="B1025" s="75"/>
      <c r="C1025" s="79"/>
      <c r="D1025" s="79"/>
      <c r="E1025" s="71">
        <f t="shared" si="16"/>
        <v>0</v>
      </c>
    </row>
    <row r="1026" spans="1:5" ht="13.5" customHeight="1">
      <c r="A1026" s="69"/>
      <c r="B1026" s="75"/>
      <c r="C1026" s="79"/>
      <c r="D1026" s="79"/>
      <c r="E1026" s="71">
        <f t="shared" ref="E1026:E1089" si="17">+D1026-C1026</f>
        <v>0</v>
      </c>
    </row>
    <row r="1027" spans="1:5" ht="13.5" customHeight="1">
      <c r="A1027" s="69"/>
      <c r="B1027" s="75"/>
      <c r="C1027" s="79"/>
      <c r="D1027" s="79"/>
      <c r="E1027" s="71">
        <f t="shared" si="17"/>
        <v>0</v>
      </c>
    </row>
    <row r="1028" spans="1:5" ht="13.5" customHeight="1">
      <c r="A1028" s="69"/>
      <c r="B1028" s="75"/>
      <c r="C1028" s="79"/>
      <c r="D1028" s="79"/>
      <c r="E1028" s="71">
        <f t="shared" si="17"/>
        <v>0</v>
      </c>
    </row>
    <row r="1029" spans="1:5" ht="13.5" customHeight="1">
      <c r="A1029" s="69"/>
      <c r="B1029" s="75"/>
      <c r="C1029" s="79"/>
      <c r="D1029" s="79"/>
      <c r="E1029" s="71">
        <f t="shared" si="17"/>
        <v>0</v>
      </c>
    </row>
    <row r="1030" spans="1:5" ht="13.5" customHeight="1">
      <c r="A1030" s="69"/>
      <c r="B1030" s="75"/>
      <c r="C1030" s="79"/>
      <c r="D1030" s="79"/>
      <c r="E1030" s="71">
        <f t="shared" si="17"/>
        <v>0</v>
      </c>
    </row>
    <row r="1031" spans="1:5" ht="13.5" customHeight="1">
      <c r="A1031" s="69"/>
      <c r="B1031" s="75"/>
      <c r="C1031" s="79"/>
      <c r="D1031" s="79"/>
      <c r="E1031" s="71">
        <f t="shared" si="17"/>
        <v>0</v>
      </c>
    </row>
    <row r="1032" spans="1:5" ht="13.5" customHeight="1">
      <c r="A1032" s="69"/>
      <c r="B1032" s="75"/>
      <c r="C1032" s="79"/>
      <c r="D1032" s="79"/>
      <c r="E1032" s="71">
        <f t="shared" si="17"/>
        <v>0</v>
      </c>
    </row>
    <row r="1033" spans="1:5" ht="13.5" customHeight="1">
      <c r="A1033" s="69"/>
      <c r="B1033" s="75"/>
      <c r="C1033" s="79"/>
      <c r="D1033" s="79"/>
      <c r="E1033" s="71">
        <f t="shared" si="17"/>
        <v>0</v>
      </c>
    </row>
    <row r="1034" spans="1:5" ht="13.5" customHeight="1">
      <c r="A1034" s="69"/>
      <c r="B1034" s="75"/>
      <c r="C1034" s="79"/>
      <c r="D1034" s="79"/>
      <c r="E1034" s="71">
        <f t="shared" si="17"/>
        <v>0</v>
      </c>
    </row>
    <row r="1035" spans="1:5" ht="13.5" customHeight="1">
      <c r="A1035" s="69"/>
      <c r="B1035" s="75"/>
      <c r="C1035" s="79"/>
      <c r="D1035" s="79"/>
      <c r="E1035" s="71">
        <f t="shared" si="17"/>
        <v>0</v>
      </c>
    </row>
    <row r="1036" spans="1:5" ht="13.5" customHeight="1">
      <c r="A1036" s="69"/>
      <c r="B1036" s="75"/>
      <c r="C1036" s="79"/>
      <c r="D1036" s="79"/>
      <c r="E1036" s="71">
        <f t="shared" si="17"/>
        <v>0</v>
      </c>
    </row>
    <row r="1037" spans="1:5" ht="13.5" customHeight="1">
      <c r="A1037" s="69"/>
      <c r="B1037" s="75"/>
      <c r="C1037" s="79"/>
      <c r="D1037" s="79"/>
      <c r="E1037" s="71">
        <f t="shared" si="17"/>
        <v>0</v>
      </c>
    </row>
    <row r="1038" spans="1:5" ht="13.5" customHeight="1">
      <c r="A1038" s="69"/>
      <c r="B1038" s="75"/>
      <c r="C1038" s="79"/>
      <c r="D1038" s="79"/>
      <c r="E1038" s="71">
        <f t="shared" si="17"/>
        <v>0</v>
      </c>
    </row>
    <row r="1039" spans="1:5" ht="13.5" customHeight="1">
      <c r="A1039" s="69"/>
      <c r="B1039" s="75"/>
      <c r="C1039" s="79"/>
      <c r="D1039" s="79"/>
      <c r="E1039" s="71">
        <f t="shared" si="17"/>
        <v>0</v>
      </c>
    </row>
    <row r="1040" spans="1:5" ht="13.5" customHeight="1">
      <c r="A1040" s="69"/>
      <c r="B1040" s="75"/>
      <c r="C1040" s="79"/>
      <c r="D1040" s="79"/>
      <c r="E1040" s="71">
        <f t="shared" si="17"/>
        <v>0</v>
      </c>
    </row>
    <row r="1041" spans="1:5" ht="13.5" customHeight="1">
      <c r="A1041" s="69"/>
      <c r="B1041" s="75"/>
      <c r="C1041" s="79"/>
      <c r="D1041" s="79"/>
      <c r="E1041" s="71">
        <f t="shared" si="17"/>
        <v>0</v>
      </c>
    </row>
    <row r="1042" spans="1:5" ht="13.5" customHeight="1">
      <c r="A1042" s="69"/>
      <c r="B1042" s="75"/>
      <c r="C1042" s="79"/>
      <c r="D1042" s="79"/>
      <c r="E1042" s="71">
        <f t="shared" si="17"/>
        <v>0</v>
      </c>
    </row>
    <row r="1043" spans="1:5" ht="13.5" customHeight="1">
      <c r="A1043" s="69"/>
      <c r="B1043" s="75"/>
      <c r="C1043" s="79"/>
      <c r="D1043" s="79"/>
      <c r="E1043" s="71">
        <f t="shared" si="17"/>
        <v>0</v>
      </c>
    </row>
    <row r="1044" spans="1:5" ht="13.5" customHeight="1">
      <c r="A1044" s="69"/>
      <c r="B1044" s="75"/>
      <c r="C1044" s="79"/>
      <c r="D1044" s="79"/>
      <c r="E1044" s="71">
        <f t="shared" si="17"/>
        <v>0</v>
      </c>
    </row>
    <row r="1045" spans="1:5" ht="13.5" customHeight="1">
      <c r="A1045" s="69"/>
      <c r="B1045" s="75"/>
      <c r="C1045" s="79"/>
      <c r="D1045" s="79"/>
      <c r="E1045" s="71">
        <f t="shared" si="17"/>
        <v>0</v>
      </c>
    </row>
    <row r="1046" spans="1:5" ht="13.5" customHeight="1">
      <c r="A1046" s="69"/>
      <c r="B1046" s="75"/>
      <c r="C1046" s="79"/>
      <c r="D1046" s="79"/>
      <c r="E1046" s="71">
        <f t="shared" si="17"/>
        <v>0</v>
      </c>
    </row>
    <row r="1047" spans="1:5" ht="13.5" customHeight="1">
      <c r="A1047" s="69"/>
      <c r="B1047" s="75"/>
      <c r="C1047" s="79"/>
      <c r="D1047" s="79"/>
      <c r="E1047" s="71">
        <f t="shared" si="17"/>
        <v>0</v>
      </c>
    </row>
    <row r="1048" spans="1:5" ht="13.5" customHeight="1">
      <c r="A1048" s="69"/>
      <c r="B1048" s="75"/>
      <c r="C1048" s="79"/>
      <c r="D1048" s="79"/>
      <c r="E1048" s="71">
        <f t="shared" si="17"/>
        <v>0</v>
      </c>
    </row>
    <row r="1049" spans="1:5" ht="13.5" customHeight="1">
      <c r="A1049" s="69"/>
      <c r="B1049" s="75"/>
      <c r="C1049" s="79"/>
      <c r="D1049" s="79"/>
      <c r="E1049" s="71">
        <f t="shared" si="17"/>
        <v>0</v>
      </c>
    </row>
    <row r="1050" spans="1:5" ht="13.5" customHeight="1">
      <c r="A1050" s="69"/>
      <c r="B1050" s="75"/>
      <c r="C1050" s="79"/>
      <c r="D1050" s="79"/>
      <c r="E1050" s="71">
        <f t="shared" si="17"/>
        <v>0</v>
      </c>
    </row>
    <row r="1051" spans="1:5" ht="13.5" customHeight="1">
      <c r="A1051" s="69"/>
      <c r="B1051" s="75"/>
      <c r="C1051" s="79"/>
      <c r="D1051" s="79"/>
      <c r="E1051" s="71">
        <f t="shared" si="17"/>
        <v>0</v>
      </c>
    </row>
    <row r="1052" spans="1:5" ht="13.5" customHeight="1">
      <c r="A1052" s="69"/>
      <c r="B1052" s="75"/>
      <c r="C1052" s="79"/>
      <c r="D1052" s="79"/>
      <c r="E1052" s="71">
        <f t="shared" si="17"/>
        <v>0</v>
      </c>
    </row>
    <row r="1053" spans="1:5" ht="13.5" customHeight="1">
      <c r="A1053" s="69"/>
      <c r="B1053" s="75"/>
      <c r="C1053" s="79"/>
      <c r="D1053" s="79"/>
      <c r="E1053" s="71">
        <f t="shared" si="17"/>
        <v>0</v>
      </c>
    </row>
    <row r="1054" spans="1:5" ht="13.5" customHeight="1">
      <c r="A1054" s="69"/>
      <c r="B1054" s="75"/>
      <c r="C1054" s="79"/>
      <c r="D1054" s="79"/>
      <c r="E1054" s="71">
        <f t="shared" si="17"/>
        <v>0</v>
      </c>
    </row>
    <row r="1055" spans="1:5" ht="13.5" customHeight="1">
      <c r="A1055" s="69"/>
      <c r="B1055" s="75"/>
      <c r="C1055" s="79"/>
      <c r="D1055" s="79"/>
      <c r="E1055" s="71">
        <f t="shared" si="17"/>
        <v>0</v>
      </c>
    </row>
    <row r="1056" spans="1:5" ht="13.5" customHeight="1">
      <c r="A1056" s="69"/>
      <c r="B1056" s="75"/>
      <c r="C1056" s="79"/>
      <c r="D1056" s="79"/>
      <c r="E1056" s="71">
        <f t="shared" si="17"/>
        <v>0</v>
      </c>
    </row>
    <row r="1057" spans="1:5" ht="13.5" customHeight="1">
      <c r="A1057" s="69"/>
      <c r="B1057" s="75"/>
      <c r="C1057" s="79"/>
      <c r="D1057" s="79"/>
      <c r="E1057" s="71">
        <f t="shared" si="17"/>
        <v>0</v>
      </c>
    </row>
    <row r="1058" spans="1:5" ht="13.5" customHeight="1">
      <c r="A1058" s="69"/>
      <c r="B1058" s="75"/>
      <c r="C1058" s="79"/>
      <c r="D1058" s="79"/>
      <c r="E1058" s="71">
        <f t="shared" si="17"/>
        <v>0</v>
      </c>
    </row>
    <row r="1059" spans="1:5" ht="13.5" customHeight="1">
      <c r="A1059" s="69"/>
      <c r="B1059" s="75"/>
      <c r="C1059" s="79"/>
      <c r="D1059" s="79"/>
      <c r="E1059" s="71">
        <f t="shared" si="17"/>
        <v>0</v>
      </c>
    </row>
    <row r="1060" spans="1:5" ht="13.5" customHeight="1">
      <c r="A1060" s="69"/>
      <c r="B1060" s="75"/>
      <c r="C1060" s="79"/>
      <c r="D1060" s="79"/>
      <c r="E1060" s="71">
        <f t="shared" si="17"/>
        <v>0</v>
      </c>
    </row>
    <row r="1061" spans="1:5" ht="13.5" customHeight="1">
      <c r="A1061" s="69"/>
      <c r="B1061" s="75"/>
      <c r="C1061" s="79"/>
      <c r="D1061" s="79"/>
      <c r="E1061" s="71">
        <f t="shared" si="17"/>
        <v>0</v>
      </c>
    </row>
    <row r="1062" spans="1:5" ht="13.5" customHeight="1">
      <c r="A1062" s="69"/>
      <c r="B1062" s="75"/>
      <c r="C1062" s="79"/>
      <c r="D1062" s="79"/>
      <c r="E1062" s="71">
        <f t="shared" si="17"/>
        <v>0</v>
      </c>
    </row>
    <row r="1063" spans="1:5" ht="13.5" customHeight="1">
      <c r="A1063" s="69"/>
      <c r="B1063" s="75"/>
      <c r="C1063" s="79"/>
      <c r="D1063" s="79"/>
      <c r="E1063" s="71">
        <f t="shared" si="17"/>
        <v>0</v>
      </c>
    </row>
    <row r="1064" spans="1:5" ht="13.5" customHeight="1">
      <c r="A1064" s="69"/>
      <c r="B1064" s="75"/>
      <c r="C1064" s="79"/>
      <c r="D1064" s="79"/>
      <c r="E1064" s="71">
        <f t="shared" si="17"/>
        <v>0</v>
      </c>
    </row>
    <row r="1065" spans="1:5" ht="13.5" customHeight="1">
      <c r="A1065" s="69"/>
      <c r="B1065" s="75"/>
      <c r="C1065" s="79"/>
      <c r="D1065" s="79"/>
      <c r="E1065" s="71">
        <f t="shared" si="17"/>
        <v>0</v>
      </c>
    </row>
    <row r="1066" spans="1:5" ht="13.5" customHeight="1">
      <c r="A1066" s="69"/>
      <c r="B1066" s="75"/>
      <c r="C1066" s="79"/>
      <c r="D1066" s="79"/>
      <c r="E1066" s="71">
        <f t="shared" si="17"/>
        <v>0</v>
      </c>
    </row>
    <row r="1067" spans="1:5" ht="13.5" customHeight="1">
      <c r="A1067" s="69"/>
      <c r="B1067" s="75"/>
      <c r="C1067" s="79"/>
      <c r="D1067" s="79"/>
      <c r="E1067" s="71">
        <f t="shared" si="17"/>
        <v>0</v>
      </c>
    </row>
    <row r="1068" spans="1:5" ht="13.5" customHeight="1">
      <c r="A1068" s="69"/>
      <c r="B1068" s="75"/>
      <c r="C1068" s="79"/>
      <c r="D1068" s="79"/>
      <c r="E1068" s="71">
        <f t="shared" si="17"/>
        <v>0</v>
      </c>
    </row>
    <row r="1069" spans="1:5" ht="13.5" customHeight="1">
      <c r="A1069" s="69"/>
      <c r="B1069" s="75"/>
      <c r="C1069" s="79"/>
      <c r="D1069" s="79"/>
      <c r="E1069" s="71">
        <f t="shared" si="17"/>
        <v>0</v>
      </c>
    </row>
    <row r="1070" spans="1:5" ht="13.5" customHeight="1">
      <c r="A1070" s="69"/>
      <c r="B1070" s="75"/>
      <c r="C1070" s="79"/>
      <c r="D1070" s="79"/>
      <c r="E1070" s="71">
        <f t="shared" si="17"/>
        <v>0</v>
      </c>
    </row>
    <row r="1071" spans="1:5" ht="13.5" customHeight="1">
      <c r="A1071" s="69"/>
      <c r="B1071" s="75"/>
      <c r="C1071" s="79"/>
      <c r="D1071" s="79"/>
      <c r="E1071" s="71">
        <f t="shared" si="17"/>
        <v>0</v>
      </c>
    </row>
    <row r="1072" spans="1:5" ht="13.5" customHeight="1">
      <c r="A1072" s="69"/>
      <c r="B1072" s="75"/>
      <c r="C1072" s="79"/>
      <c r="D1072" s="79"/>
      <c r="E1072" s="71">
        <f t="shared" si="17"/>
        <v>0</v>
      </c>
    </row>
    <row r="1073" spans="1:5" ht="13.5" customHeight="1">
      <c r="A1073" s="69"/>
      <c r="B1073" s="75"/>
      <c r="C1073" s="79"/>
      <c r="D1073" s="79"/>
      <c r="E1073" s="71">
        <f t="shared" si="17"/>
        <v>0</v>
      </c>
    </row>
    <row r="1074" spans="1:5" ht="13.5" customHeight="1">
      <c r="A1074" s="69"/>
      <c r="B1074" s="75"/>
      <c r="C1074" s="79"/>
      <c r="D1074" s="79"/>
      <c r="E1074" s="71">
        <f t="shared" si="17"/>
        <v>0</v>
      </c>
    </row>
    <row r="1075" spans="1:5" ht="13.5" customHeight="1">
      <c r="A1075" s="69"/>
      <c r="B1075" s="75"/>
      <c r="C1075" s="79"/>
      <c r="D1075" s="79"/>
      <c r="E1075" s="71">
        <f t="shared" si="17"/>
        <v>0</v>
      </c>
    </row>
    <row r="1076" spans="1:5" ht="13.5" customHeight="1">
      <c r="A1076" s="69"/>
      <c r="B1076" s="75"/>
      <c r="C1076" s="79"/>
      <c r="D1076" s="79"/>
      <c r="E1076" s="71">
        <f t="shared" si="17"/>
        <v>0</v>
      </c>
    </row>
    <row r="1077" spans="1:5" ht="13.5" customHeight="1">
      <c r="A1077" s="69"/>
      <c r="B1077" s="75"/>
      <c r="C1077" s="79"/>
      <c r="D1077" s="79"/>
      <c r="E1077" s="71">
        <f t="shared" si="17"/>
        <v>0</v>
      </c>
    </row>
    <row r="1078" spans="1:5" ht="13.5" customHeight="1">
      <c r="A1078" s="69"/>
      <c r="B1078" s="75"/>
      <c r="C1078" s="79"/>
      <c r="D1078" s="79"/>
      <c r="E1078" s="71">
        <f t="shared" si="17"/>
        <v>0</v>
      </c>
    </row>
    <row r="1079" spans="1:5" ht="13.5" customHeight="1">
      <c r="A1079" s="69"/>
      <c r="B1079" s="75"/>
      <c r="C1079" s="79"/>
      <c r="D1079" s="79"/>
      <c r="E1079" s="71">
        <f t="shared" si="17"/>
        <v>0</v>
      </c>
    </row>
    <row r="1080" spans="1:5" ht="13.5" customHeight="1">
      <c r="A1080" s="69"/>
      <c r="B1080" s="75"/>
      <c r="C1080" s="79"/>
      <c r="D1080" s="79"/>
      <c r="E1080" s="71">
        <f t="shared" si="17"/>
        <v>0</v>
      </c>
    </row>
    <row r="1081" spans="1:5" ht="13.5" customHeight="1">
      <c r="A1081" s="69"/>
      <c r="B1081" s="75"/>
      <c r="C1081" s="79"/>
      <c r="D1081" s="79"/>
      <c r="E1081" s="71">
        <f t="shared" si="17"/>
        <v>0</v>
      </c>
    </row>
    <row r="1082" spans="1:5" ht="13.5" customHeight="1">
      <c r="A1082" s="69"/>
      <c r="B1082" s="75"/>
      <c r="C1082" s="79"/>
      <c r="D1082" s="79"/>
      <c r="E1082" s="71">
        <f t="shared" si="17"/>
        <v>0</v>
      </c>
    </row>
    <row r="1083" spans="1:5" ht="13.5" customHeight="1">
      <c r="A1083" s="69"/>
      <c r="B1083" s="75"/>
      <c r="C1083" s="79"/>
      <c r="D1083" s="79"/>
      <c r="E1083" s="71">
        <f t="shared" si="17"/>
        <v>0</v>
      </c>
    </row>
    <row r="1084" spans="1:5" ht="13.5" customHeight="1">
      <c r="A1084" s="69"/>
      <c r="B1084" s="75"/>
      <c r="C1084" s="79"/>
      <c r="D1084" s="79"/>
      <c r="E1084" s="71">
        <f t="shared" si="17"/>
        <v>0</v>
      </c>
    </row>
    <row r="1085" spans="1:5" ht="13.5" customHeight="1">
      <c r="A1085" s="69"/>
      <c r="B1085" s="75"/>
      <c r="C1085" s="79"/>
      <c r="D1085" s="79"/>
      <c r="E1085" s="71">
        <f t="shared" si="17"/>
        <v>0</v>
      </c>
    </row>
    <row r="1086" spans="1:5" ht="13.5" customHeight="1">
      <c r="A1086" s="69"/>
      <c r="B1086" s="75"/>
      <c r="C1086" s="79"/>
      <c r="D1086" s="79"/>
      <c r="E1086" s="71">
        <f t="shared" si="17"/>
        <v>0</v>
      </c>
    </row>
    <row r="1087" spans="1:5" ht="13.5" customHeight="1">
      <c r="A1087" s="69"/>
      <c r="B1087" s="75"/>
      <c r="C1087" s="79"/>
      <c r="D1087" s="79"/>
      <c r="E1087" s="71">
        <f t="shared" si="17"/>
        <v>0</v>
      </c>
    </row>
    <row r="1088" spans="1:5" ht="13.5" customHeight="1">
      <c r="A1088" s="69"/>
      <c r="B1088" s="75"/>
      <c r="C1088" s="79"/>
      <c r="D1088" s="79"/>
      <c r="E1088" s="71">
        <f t="shared" si="17"/>
        <v>0</v>
      </c>
    </row>
    <row r="1089" spans="1:5" ht="13.5" customHeight="1">
      <c r="A1089" s="69"/>
      <c r="B1089" s="75"/>
      <c r="C1089" s="79"/>
      <c r="D1089" s="79"/>
      <c r="E1089" s="71">
        <f t="shared" si="17"/>
        <v>0</v>
      </c>
    </row>
    <row r="1090" spans="1:5" ht="13.5" customHeight="1">
      <c r="A1090" s="69"/>
      <c r="B1090" s="75"/>
      <c r="C1090" s="79"/>
      <c r="D1090" s="79"/>
      <c r="E1090" s="71">
        <f t="shared" ref="E1090:E1153" si="18">+D1090-C1090</f>
        <v>0</v>
      </c>
    </row>
    <row r="1091" spans="1:5" ht="13.5" customHeight="1">
      <c r="A1091" s="69"/>
      <c r="B1091" s="75"/>
      <c r="C1091" s="79"/>
      <c r="D1091" s="79"/>
      <c r="E1091" s="71">
        <f t="shared" si="18"/>
        <v>0</v>
      </c>
    </row>
    <row r="1092" spans="1:5" ht="13.5" customHeight="1">
      <c r="A1092" s="69"/>
      <c r="B1092" s="75"/>
      <c r="C1092" s="79"/>
      <c r="D1092" s="79"/>
      <c r="E1092" s="71">
        <f t="shared" si="18"/>
        <v>0</v>
      </c>
    </row>
    <row r="1093" spans="1:5" ht="13.5" customHeight="1">
      <c r="A1093" s="69"/>
      <c r="B1093" s="75"/>
      <c r="C1093" s="79"/>
      <c r="D1093" s="79"/>
      <c r="E1093" s="71">
        <f t="shared" si="18"/>
        <v>0</v>
      </c>
    </row>
    <row r="1094" spans="1:5" ht="13.5" customHeight="1">
      <c r="A1094" s="69"/>
      <c r="B1094" s="75"/>
      <c r="C1094" s="79"/>
      <c r="D1094" s="79"/>
      <c r="E1094" s="71">
        <f t="shared" si="18"/>
        <v>0</v>
      </c>
    </row>
    <row r="1095" spans="1:5" ht="13.5" customHeight="1">
      <c r="A1095" s="69"/>
      <c r="B1095" s="75"/>
      <c r="C1095" s="79"/>
      <c r="D1095" s="79"/>
      <c r="E1095" s="71">
        <f t="shared" si="18"/>
        <v>0</v>
      </c>
    </row>
    <row r="1096" spans="1:5" ht="13.5" customHeight="1">
      <c r="A1096" s="69"/>
      <c r="B1096" s="75"/>
      <c r="C1096" s="79"/>
      <c r="D1096" s="79"/>
      <c r="E1096" s="71">
        <f t="shared" si="18"/>
        <v>0</v>
      </c>
    </row>
    <row r="1097" spans="1:5" ht="13.5" customHeight="1">
      <c r="A1097" s="69"/>
      <c r="B1097" s="75"/>
      <c r="C1097" s="79"/>
      <c r="D1097" s="79"/>
      <c r="E1097" s="71">
        <f t="shared" si="18"/>
        <v>0</v>
      </c>
    </row>
    <row r="1098" spans="1:5" ht="13.5" customHeight="1">
      <c r="A1098" s="69"/>
      <c r="B1098" s="75"/>
      <c r="C1098" s="79"/>
      <c r="D1098" s="79"/>
      <c r="E1098" s="71">
        <f t="shared" si="18"/>
        <v>0</v>
      </c>
    </row>
    <row r="1099" spans="1:5" ht="13.5" customHeight="1">
      <c r="A1099" s="69"/>
      <c r="B1099" s="75"/>
      <c r="C1099" s="79"/>
      <c r="D1099" s="79"/>
      <c r="E1099" s="71">
        <f t="shared" si="18"/>
        <v>0</v>
      </c>
    </row>
    <row r="1100" spans="1:5" ht="13.5" customHeight="1">
      <c r="A1100" s="69"/>
      <c r="B1100" s="75"/>
      <c r="C1100" s="79"/>
      <c r="D1100" s="79"/>
      <c r="E1100" s="71">
        <f t="shared" si="18"/>
        <v>0</v>
      </c>
    </row>
    <row r="1101" spans="1:5" ht="13.5" customHeight="1">
      <c r="A1101" s="69"/>
      <c r="B1101" s="75"/>
      <c r="C1101" s="79"/>
      <c r="D1101" s="79"/>
      <c r="E1101" s="71">
        <f t="shared" si="18"/>
        <v>0</v>
      </c>
    </row>
    <row r="1102" spans="1:5" ht="13.5" customHeight="1">
      <c r="A1102" s="69"/>
      <c r="B1102" s="75"/>
      <c r="C1102" s="79"/>
      <c r="D1102" s="79"/>
      <c r="E1102" s="71">
        <f t="shared" si="18"/>
        <v>0</v>
      </c>
    </row>
    <row r="1103" spans="1:5" ht="13.5" customHeight="1">
      <c r="A1103" s="69"/>
      <c r="B1103" s="75"/>
      <c r="C1103" s="79"/>
      <c r="D1103" s="79"/>
      <c r="E1103" s="71">
        <f t="shared" si="18"/>
        <v>0</v>
      </c>
    </row>
    <row r="1104" spans="1:5" ht="13.5" customHeight="1">
      <c r="A1104" s="69"/>
      <c r="B1104" s="75"/>
      <c r="C1104" s="79"/>
      <c r="D1104" s="79"/>
      <c r="E1104" s="71">
        <f t="shared" si="18"/>
        <v>0</v>
      </c>
    </row>
    <row r="1105" spans="1:5" ht="13.5" customHeight="1">
      <c r="A1105" s="69"/>
      <c r="B1105" s="75"/>
      <c r="C1105" s="79"/>
      <c r="D1105" s="79"/>
      <c r="E1105" s="71">
        <f t="shared" si="18"/>
        <v>0</v>
      </c>
    </row>
    <row r="1106" spans="1:5" ht="13.5" customHeight="1">
      <c r="A1106" s="69"/>
      <c r="B1106" s="75"/>
      <c r="C1106" s="79"/>
      <c r="D1106" s="79"/>
      <c r="E1106" s="71">
        <f t="shared" si="18"/>
        <v>0</v>
      </c>
    </row>
    <row r="1107" spans="1:5" ht="13.5" customHeight="1">
      <c r="A1107" s="69"/>
      <c r="B1107" s="75"/>
      <c r="C1107" s="79"/>
      <c r="D1107" s="79"/>
      <c r="E1107" s="71">
        <f t="shared" si="18"/>
        <v>0</v>
      </c>
    </row>
    <row r="1108" spans="1:5" ht="13.5" customHeight="1">
      <c r="A1108" s="69"/>
      <c r="B1108" s="75"/>
      <c r="C1108" s="79"/>
      <c r="D1108" s="79"/>
      <c r="E1108" s="71">
        <f t="shared" si="18"/>
        <v>0</v>
      </c>
    </row>
    <row r="1109" spans="1:5" ht="13.5" customHeight="1">
      <c r="A1109" s="69"/>
      <c r="B1109" s="75"/>
      <c r="C1109" s="79"/>
      <c r="D1109" s="79"/>
      <c r="E1109" s="71">
        <f t="shared" si="18"/>
        <v>0</v>
      </c>
    </row>
    <row r="1110" spans="1:5" ht="13.5" customHeight="1">
      <c r="A1110" s="69"/>
      <c r="B1110" s="75"/>
      <c r="C1110" s="79"/>
      <c r="D1110" s="79"/>
      <c r="E1110" s="71">
        <f t="shared" si="18"/>
        <v>0</v>
      </c>
    </row>
    <row r="1111" spans="1:5" ht="13.5" customHeight="1">
      <c r="A1111" s="69"/>
      <c r="B1111" s="75"/>
      <c r="C1111" s="79"/>
      <c r="D1111" s="79"/>
      <c r="E1111" s="71">
        <f t="shared" si="18"/>
        <v>0</v>
      </c>
    </row>
    <row r="1112" spans="1:5" ht="13.5" customHeight="1">
      <c r="A1112" s="69"/>
      <c r="B1112" s="75"/>
      <c r="C1112" s="79"/>
      <c r="D1112" s="79"/>
      <c r="E1112" s="71">
        <f t="shared" si="18"/>
        <v>0</v>
      </c>
    </row>
    <row r="1113" spans="1:5" ht="13.5" customHeight="1">
      <c r="A1113" s="69"/>
      <c r="B1113" s="75"/>
      <c r="C1113" s="79"/>
      <c r="D1113" s="79"/>
      <c r="E1113" s="71">
        <f t="shared" si="18"/>
        <v>0</v>
      </c>
    </row>
    <row r="1114" spans="1:5" ht="13.5" customHeight="1">
      <c r="A1114" s="69"/>
      <c r="B1114" s="75"/>
      <c r="C1114" s="79"/>
      <c r="D1114" s="79"/>
      <c r="E1114" s="71">
        <f t="shared" si="18"/>
        <v>0</v>
      </c>
    </row>
    <row r="1115" spans="1:5" ht="13.5" customHeight="1">
      <c r="A1115" s="69"/>
      <c r="B1115" s="75"/>
      <c r="C1115" s="79"/>
      <c r="D1115" s="79"/>
      <c r="E1115" s="71">
        <f t="shared" si="18"/>
        <v>0</v>
      </c>
    </row>
    <row r="1116" spans="1:5" ht="13.5" customHeight="1">
      <c r="A1116" s="69"/>
      <c r="B1116" s="75"/>
      <c r="C1116" s="79"/>
      <c r="D1116" s="79"/>
      <c r="E1116" s="71">
        <f t="shared" si="18"/>
        <v>0</v>
      </c>
    </row>
    <row r="1117" spans="1:5" ht="13.5" customHeight="1">
      <c r="A1117" s="69"/>
      <c r="B1117" s="75"/>
      <c r="C1117" s="79"/>
      <c r="D1117" s="79"/>
      <c r="E1117" s="71">
        <f t="shared" si="18"/>
        <v>0</v>
      </c>
    </row>
    <row r="1118" spans="1:5" ht="13.5" customHeight="1">
      <c r="A1118" s="69"/>
      <c r="B1118" s="75"/>
      <c r="C1118" s="79"/>
      <c r="D1118" s="79"/>
      <c r="E1118" s="71">
        <f t="shared" si="18"/>
        <v>0</v>
      </c>
    </row>
    <row r="1119" spans="1:5" ht="13.5" customHeight="1">
      <c r="A1119" s="69"/>
      <c r="B1119" s="75"/>
      <c r="C1119" s="79"/>
      <c r="D1119" s="79"/>
      <c r="E1119" s="71">
        <f t="shared" si="18"/>
        <v>0</v>
      </c>
    </row>
    <row r="1120" spans="1:5" ht="13.5" customHeight="1">
      <c r="A1120" s="69"/>
      <c r="B1120" s="75"/>
      <c r="C1120" s="79"/>
      <c r="D1120" s="79"/>
      <c r="E1120" s="71">
        <f t="shared" si="18"/>
        <v>0</v>
      </c>
    </row>
    <row r="1121" spans="1:5" ht="13.5" customHeight="1">
      <c r="A1121" s="69"/>
      <c r="B1121" s="75"/>
      <c r="C1121" s="79"/>
      <c r="D1121" s="79"/>
      <c r="E1121" s="71">
        <f t="shared" si="18"/>
        <v>0</v>
      </c>
    </row>
    <row r="1122" spans="1:5" ht="13.5" customHeight="1">
      <c r="A1122" s="69"/>
      <c r="B1122" s="75"/>
      <c r="C1122" s="79"/>
      <c r="D1122" s="79"/>
      <c r="E1122" s="71">
        <f t="shared" si="18"/>
        <v>0</v>
      </c>
    </row>
    <row r="1123" spans="1:5" ht="13.5" customHeight="1">
      <c r="A1123" s="69"/>
      <c r="B1123" s="75"/>
      <c r="C1123" s="79"/>
      <c r="D1123" s="79"/>
      <c r="E1123" s="71">
        <f t="shared" si="18"/>
        <v>0</v>
      </c>
    </row>
    <row r="1124" spans="1:5" ht="13.5" customHeight="1">
      <c r="A1124" s="69"/>
      <c r="B1124" s="75"/>
      <c r="C1124" s="79"/>
      <c r="D1124" s="79"/>
      <c r="E1124" s="71">
        <f t="shared" si="18"/>
        <v>0</v>
      </c>
    </row>
    <row r="1125" spans="1:5" ht="13.5" customHeight="1">
      <c r="A1125" s="69"/>
      <c r="B1125" s="75"/>
      <c r="C1125" s="79"/>
      <c r="D1125" s="79"/>
      <c r="E1125" s="71">
        <f t="shared" si="18"/>
        <v>0</v>
      </c>
    </row>
    <row r="1126" spans="1:5" ht="13.5" customHeight="1">
      <c r="A1126" s="69"/>
      <c r="B1126" s="75"/>
      <c r="C1126" s="79"/>
      <c r="D1126" s="79"/>
      <c r="E1126" s="71">
        <f t="shared" si="18"/>
        <v>0</v>
      </c>
    </row>
    <row r="1127" spans="1:5" ht="13.5" customHeight="1">
      <c r="A1127" s="69"/>
      <c r="B1127" s="75"/>
      <c r="C1127" s="79"/>
      <c r="D1127" s="79"/>
      <c r="E1127" s="71">
        <f t="shared" si="18"/>
        <v>0</v>
      </c>
    </row>
    <row r="1128" spans="1:5" ht="13.5" customHeight="1">
      <c r="A1128" s="69"/>
      <c r="B1128" s="75"/>
      <c r="C1128" s="79"/>
      <c r="D1128" s="79"/>
      <c r="E1128" s="71">
        <f t="shared" si="18"/>
        <v>0</v>
      </c>
    </row>
    <row r="1129" spans="1:5" ht="13.5" customHeight="1">
      <c r="A1129" s="69"/>
      <c r="B1129" s="75"/>
      <c r="C1129" s="79"/>
      <c r="D1129" s="79"/>
      <c r="E1129" s="71">
        <f t="shared" si="18"/>
        <v>0</v>
      </c>
    </row>
    <row r="1130" spans="1:5" ht="13.5" customHeight="1">
      <c r="A1130" s="69"/>
      <c r="B1130" s="75"/>
      <c r="C1130" s="79"/>
      <c r="D1130" s="79"/>
      <c r="E1130" s="71">
        <f t="shared" si="18"/>
        <v>0</v>
      </c>
    </row>
    <row r="1131" spans="1:5" ht="13.5" customHeight="1">
      <c r="A1131" s="69"/>
      <c r="B1131" s="75"/>
      <c r="C1131" s="79"/>
      <c r="D1131" s="79"/>
      <c r="E1131" s="71">
        <f t="shared" si="18"/>
        <v>0</v>
      </c>
    </row>
    <row r="1132" spans="1:5" ht="13.5" customHeight="1">
      <c r="A1132" s="69"/>
      <c r="B1132" s="75"/>
      <c r="C1132" s="79"/>
      <c r="D1132" s="79"/>
      <c r="E1132" s="71">
        <f t="shared" si="18"/>
        <v>0</v>
      </c>
    </row>
    <row r="1133" spans="1:5" ht="13.5" customHeight="1">
      <c r="A1133" s="69"/>
      <c r="B1133" s="75"/>
      <c r="C1133" s="79"/>
      <c r="D1133" s="79"/>
      <c r="E1133" s="71">
        <f t="shared" si="18"/>
        <v>0</v>
      </c>
    </row>
    <row r="1134" spans="1:5" ht="13.5" customHeight="1">
      <c r="A1134" s="69"/>
      <c r="B1134" s="75"/>
      <c r="C1134" s="79"/>
      <c r="D1134" s="79"/>
      <c r="E1134" s="71">
        <f t="shared" si="18"/>
        <v>0</v>
      </c>
    </row>
    <row r="1135" spans="1:5" ht="13.5" customHeight="1">
      <c r="A1135" s="69"/>
      <c r="B1135" s="75"/>
      <c r="C1135" s="79"/>
      <c r="D1135" s="79"/>
      <c r="E1135" s="71">
        <f t="shared" si="18"/>
        <v>0</v>
      </c>
    </row>
    <row r="1136" spans="1:5" ht="13.5" customHeight="1">
      <c r="A1136" s="69"/>
      <c r="B1136" s="75"/>
      <c r="C1136" s="79"/>
      <c r="D1136" s="79"/>
      <c r="E1136" s="71">
        <f t="shared" si="18"/>
        <v>0</v>
      </c>
    </row>
    <row r="1137" spans="1:5" ht="13.5" customHeight="1">
      <c r="A1137" s="69"/>
      <c r="B1137" s="75"/>
      <c r="C1137" s="79"/>
      <c r="D1137" s="79"/>
      <c r="E1137" s="71">
        <f t="shared" si="18"/>
        <v>0</v>
      </c>
    </row>
    <row r="1138" spans="1:5" ht="13.5" customHeight="1">
      <c r="A1138" s="69"/>
      <c r="B1138" s="75"/>
      <c r="C1138" s="79"/>
      <c r="D1138" s="79"/>
      <c r="E1138" s="71">
        <f t="shared" si="18"/>
        <v>0</v>
      </c>
    </row>
    <row r="1139" spans="1:5" ht="13.5" customHeight="1">
      <c r="A1139" s="69"/>
      <c r="B1139" s="75"/>
      <c r="C1139" s="79"/>
      <c r="D1139" s="79"/>
      <c r="E1139" s="71">
        <f t="shared" si="18"/>
        <v>0</v>
      </c>
    </row>
    <row r="1140" spans="1:5" ht="13.5" customHeight="1">
      <c r="A1140" s="69"/>
      <c r="B1140" s="75"/>
      <c r="C1140" s="79"/>
      <c r="D1140" s="79"/>
      <c r="E1140" s="71">
        <f t="shared" si="18"/>
        <v>0</v>
      </c>
    </row>
    <row r="1141" spans="1:5" ht="13.5" customHeight="1">
      <c r="A1141" s="69"/>
      <c r="B1141" s="75"/>
      <c r="C1141" s="79"/>
      <c r="D1141" s="79"/>
      <c r="E1141" s="71">
        <f t="shared" si="18"/>
        <v>0</v>
      </c>
    </row>
    <row r="1142" spans="1:5" ht="13.5" customHeight="1">
      <c r="A1142" s="69"/>
      <c r="B1142" s="75"/>
      <c r="C1142" s="79"/>
      <c r="D1142" s="79"/>
      <c r="E1142" s="71">
        <f t="shared" si="18"/>
        <v>0</v>
      </c>
    </row>
    <row r="1143" spans="1:5" ht="13.5" customHeight="1">
      <c r="A1143" s="69"/>
      <c r="B1143" s="75"/>
      <c r="C1143" s="79"/>
      <c r="D1143" s="79"/>
      <c r="E1143" s="71">
        <f t="shared" si="18"/>
        <v>0</v>
      </c>
    </row>
    <row r="1144" spans="1:5" ht="13.5" customHeight="1">
      <c r="A1144" s="69"/>
      <c r="B1144" s="75"/>
      <c r="C1144" s="79"/>
      <c r="D1144" s="79"/>
      <c r="E1144" s="71">
        <f t="shared" si="18"/>
        <v>0</v>
      </c>
    </row>
    <row r="1145" spans="1:5" ht="13.5" customHeight="1">
      <c r="A1145" s="69"/>
      <c r="B1145" s="75"/>
      <c r="C1145" s="79"/>
      <c r="D1145" s="79"/>
      <c r="E1145" s="71">
        <f t="shared" si="18"/>
        <v>0</v>
      </c>
    </row>
    <row r="1146" spans="1:5" ht="13.5" customHeight="1">
      <c r="A1146" s="69"/>
      <c r="B1146" s="75"/>
      <c r="C1146" s="79"/>
      <c r="D1146" s="79"/>
      <c r="E1146" s="71">
        <f t="shared" si="18"/>
        <v>0</v>
      </c>
    </row>
    <row r="1147" spans="1:5" ht="13.5" customHeight="1">
      <c r="A1147" s="69"/>
      <c r="B1147" s="75"/>
      <c r="C1147" s="79"/>
      <c r="D1147" s="79"/>
      <c r="E1147" s="71">
        <f t="shared" si="18"/>
        <v>0</v>
      </c>
    </row>
    <row r="1148" spans="1:5" ht="13.5" customHeight="1">
      <c r="A1148" s="69"/>
      <c r="B1148" s="75"/>
      <c r="C1148" s="79"/>
      <c r="D1148" s="79"/>
      <c r="E1148" s="71">
        <f t="shared" si="18"/>
        <v>0</v>
      </c>
    </row>
    <row r="1149" spans="1:5" ht="13.5" customHeight="1">
      <c r="A1149" s="69"/>
      <c r="B1149" s="75"/>
      <c r="C1149" s="79"/>
      <c r="D1149" s="79"/>
      <c r="E1149" s="71">
        <f t="shared" si="18"/>
        <v>0</v>
      </c>
    </row>
    <row r="1150" spans="1:5" ht="13.5" customHeight="1">
      <c r="A1150" s="69"/>
      <c r="B1150" s="75"/>
      <c r="C1150" s="79"/>
      <c r="D1150" s="79"/>
      <c r="E1150" s="71">
        <f t="shared" si="18"/>
        <v>0</v>
      </c>
    </row>
    <row r="1151" spans="1:5" ht="13.5" customHeight="1">
      <c r="A1151" s="69"/>
      <c r="B1151" s="75"/>
      <c r="C1151" s="79"/>
      <c r="D1151" s="79"/>
      <c r="E1151" s="71">
        <f t="shared" si="18"/>
        <v>0</v>
      </c>
    </row>
    <row r="1152" spans="1:5" ht="13.5" customHeight="1">
      <c r="A1152" s="69"/>
      <c r="B1152" s="75"/>
      <c r="C1152" s="79"/>
      <c r="D1152" s="79"/>
      <c r="E1152" s="71">
        <f t="shared" si="18"/>
        <v>0</v>
      </c>
    </row>
    <row r="1153" spans="1:5" ht="13.5" customHeight="1">
      <c r="A1153" s="69"/>
      <c r="B1153" s="75"/>
      <c r="C1153" s="79"/>
      <c r="D1153" s="79"/>
      <c r="E1153" s="71">
        <f t="shared" si="18"/>
        <v>0</v>
      </c>
    </row>
    <row r="1154" spans="1:5" ht="13.5" customHeight="1">
      <c r="A1154" s="69"/>
      <c r="B1154" s="75"/>
      <c r="C1154" s="79"/>
      <c r="D1154" s="79"/>
      <c r="E1154" s="71">
        <f t="shared" ref="E1154:E1217" si="19">+D1154-C1154</f>
        <v>0</v>
      </c>
    </row>
    <row r="1155" spans="1:5" ht="13.5" customHeight="1">
      <c r="A1155" s="69"/>
      <c r="B1155" s="75"/>
      <c r="C1155" s="79"/>
      <c r="D1155" s="79"/>
      <c r="E1155" s="71">
        <f t="shared" si="19"/>
        <v>0</v>
      </c>
    </row>
    <row r="1156" spans="1:5" ht="13.5" customHeight="1">
      <c r="A1156" s="69"/>
      <c r="B1156" s="75"/>
      <c r="C1156" s="79"/>
      <c r="D1156" s="79"/>
      <c r="E1156" s="71">
        <f t="shared" si="19"/>
        <v>0</v>
      </c>
    </row>
    <row r="1157" spans="1:5" ht="13.5" customHeight="1">
      <c r="A1157" s="69"/>
      <c r="B1157" s="75"/>
      <c r="C1157" s="79"/>
      <c r="D1157" s="79"/>
      <c r="E1157" s="71">
        <f t="shared" si="19"/>
        <v>0</v>
      </c>
    </row>
    <row r="1158" spans="1:5" ht="13.5" customHeight="1">
      <c r="A1158" s="69"/>
      <c r="B1158" s="75"/>
      <c r="C1158" s="79"/>
      <c r="D1158" s="79"/>
      <c r="E1158" s="71">
        <f t="shared" si="19"/>
        <v>0</v>
      </c>
    </row>
    <row r="1159" spans="1:5" ht="13.5" customHeight="1">
      <c r="A1159" s="69"/>
      <c r="B1159" s="75"/>
      <c r="C1159" s="79"/>
      <c r="D1159" s="79"/>
      <c r="E1159" s="71">
        <f t="shared" si="19"/>
        <v>0</v>
      </c>
    </row>
    <row r="1160" spans="1:5" ht="13.5" customHeight="1">
      <c r="A1160" s="69"/>
      <c r="B1160" s="75"/>
      <c r="C1160" s="79"/>
      <c r="D1160" s="79"/>
      <c r="E1160" s="71">
        <f t="shared" si="19"/>
        <v>0</v>
      </c>
    </row>
    <row r="1161" spans="1:5" ht="13.5" customHeight="1">
      <c r="A1161" s="69"/>
      <c r="B1161" s="75"/>
      <c r="C1161" s="79"/>
      <c r="D1161" s="79"/>
      <c r="E1161" s="71">
        <f t="shared" si="19"/>
        <v>0</v>
      </c>
    </row>
    <row r="1162" spans="1:5" ht="13.5" customHeight="1">
      <c r="A1162" s="69"/>
      <c r="B1162" s="75"/>
      <c r="C1162" s="79"/>
      <c r="D1162" s="79"/>
      <c r="E1162" s="71">
        <f t="shared" si="19"/>
        <v>0</v>
      </c>
    </row>
    <row r="1163" spans="1:5" ht="13.5" customHeight="1">
      <c r="A1163" s="69"/>
      <c r="B1163" s="75"/>
      <c r="C1163" s="79"/>
      <c r="D1163" s="79"/>
      <c r="E1163" s="71">
        <f t="shared" si="19"/>
        <v>0</v>
      </c>
    </row>
    <row r="1164" spans="1:5" ht="13.5" customHeight="1">
      <c r="A1164" s="69"/>
      <c r="B1164" s="75"/>
      <c r="C1164" s="79"/>
      <c r="D1164" s="79"/>
      <c r="E1164" s="71">
        <f t="shared" si="19"/>
        <v>0</v>
      </c>
    </row>
    <row r="1165" spans="1:5" ht="13.5" customHeight="1">
      <c r="A1165" s="69"/>
      <c r="B1165" s="75"/>
      <c r="C1165" s="79"/>
      <c r="D1165" s="79"/>
      <c r="E1165" s="71">
        <f t="shared" si="19"/>
        <v>0</v>
      </c>
    </row>
    <row r="1166" spans="1:5" ht="13.5" customHeight="1">
      <c r="A1166" s="69"/>
      <c r="B1166" s="75"/>
      <c r="C1166" s="79"/>
      <c r="D1166" s="79"/>
      <c r="E1166" s="71">
        <f t="shared" si="19"/>
        <v>0</v>
      </c>
    </row>
    <row r="1167" spans="1:5" ht="13.5" customHeight="1">
      <c r="A1167" s="69"/>
      <c r="B1167" s="75"/>
      <c r="C1167" s="79"/>
      <c r="D1167" s="79"/>
      <c r="E1167" s="71">
        <f t="shared" si="19"/>
        <v>0</v>
      </c>
    </row>
    <row r="1168" spans="1:5" ht="13.5" customHeight="1">
      <c r="A1168" s="69"/>
      <c r="B1168" s="75"/>
      <c r="C1168" s="79"/>
      <c r="D1168" s="79"/>
      <c r="E1168" s="71">
        <f t="shared" si="19"/>
        <v>0</v>
      </c>
    </row>
    <row r="1169" spans="1:5" ht="13.5" customHeight="1">
      <c r="A1169" s="69"/>
      <c r="B1169" s="75"/>
      <c r="C1169" s="79"/>
      <c r="D1169" s="79"/>
      <c r="E1169" s="71">
        <f t="shared" si="19"/>
        <v>0</v>
      </c>
    </row>
    <row r="1170" spans="1:5" ht="13.5" customHeight="1">
      <c r="A1170" s="69"/>
      <c r="B1170" s="75"/>
      <c r="C1170" s="79"/>
      <c r="D1170" s="79"/>
      <c r="E1170" s="71">
        <f t="shared" si="19"/>
        <v>0</v>
      </c>
    </row>
    <row r="1171" spans="1:5" ht="13.5" customHeight="1">
      <c r="A1171" s="69"/>
      <c r="B1171" s="75"/>
      <c r="C1171" s="79"/>
      <c r="D1171" s="79"/>
      <c r="E1171" s="71">
        <f t="shared" si="19"/>
        <v>0</v>
      </c>
    </row>
    <row r="1172" spans="1:5" ht="13.5" customHeight="1">
      <c r="A1172" s="69"/>
      <c r="B1172" s="75"/>
      <c r="C1172" s="79"/>
      <c r="D1172" s="79"/>
      <c r="E1172" s="71">
        <f t="shared" si="19"/>
        <v>0</v>
      </c>
    </row>
    <row r="1173" spans="1:5" ht="13.5" customHeight="1">
      <c r="A1173" s="69"/>
      <c r="B1173" s="75"/>
      <c r="C1173" s="79"/>
      <c r="D1173" s="79"/>
      <c r="E1173" s="71">
        <f t="shared" si="19"/>
        <v>0</v>
      </c>
    </row>
    <row r="1174" spans="1:5" ht="13.5" customHeight="1">
      <c r="A1174" s="69"/>
      <c r="B1174" s="75"/>
      <c r="C1174" s="79"/>
      <c r="D1174" s="79"/>
      <c r="E1174" s="71">
        <f t="shared" si="19"/>
        <v>0</v>
      </c>
    </row>
    <row r="1175" spans="1:5" ht="13.5" customHeight="1">
      <c r="A1175" s="69"/>
      <c r="B1175" s="75"/>
      <c r="C1175" s="79"/>
      <c r="D1175" s="79"/>
      <c r="E1175" s="71">
        <f t="shared" si="19"/>
        <v>0</v>
      </c>
    </row>
    <row r="1176" spans="1:5" ht="13.5" customHeight="1">
      <c r="A1176" s="69"/>
      <c r="B1176" s="75"/>
      <c r="C1176" s="79"/>
      <c r="D1176" s="79"/>
      <c r="E1176" s="71">
        <f t="shared" si="19"/>
        <v>0</v>
      </c>
    </row>
    <row r="1177" spans="1:5" ht="13.5" customHeight="1">
      <c r="A1177" s="69"/>
      <c r="B1177" s="75"/>
      <c r="C1177" s="79"/>
      <c r="D1177" s="79"/>
      <c r="E1177" s="71">
        <f t="shared" si="19"/>
        <v>0</v>
      </c>
    </row>
    <row r="1178" spans="1:5" ht="13.5" customHeight="1">
      <c r="A1178" s="69"/>
      <c r="B1178" s="75"/>
      <c r="C1178" s="79"/>
      <c r="D1178" s="79"/>
      <c r="E1178" s="71">
        <f t="shared" si="19"/>
        <v>0</v>
      </c>
    </row>
    <row r="1179" spans="1:5" ht="13.5" customHeight="1">
      <c r="A1179" s="69"/>
      <c r="B1179" s="75"/>
      <c r="C1179" s="79"/>
      <c r="D1179" s="79"/>
      <c r="E1179" s="71">
        <f t="shared" si="19"/>
        <v>0</v>
      </c>
    </row>
    <row r="1180" spans="1:5" ht="13.5" customHeight="1">
      <c r="A1180" s="69"/>
      <c r="B1180" s="75"/>
      <c r="C1180" s="79"/>
      <c r="D1180" s="79"/>
      <c r="E1180" s="71">
        <f t="shared" si="19"/>
        <v>0</v>
      </c>
    </row>
    <row r="1181" spans="1:5" ht="13.5" customHeight="1">
      <c r="A1181" s="69"/>
      <c r="B1181" s="75"/>
      <c r="C1181" s="79"/>
      <c r="D1181" s="79"/>
      <c r="E1181" s="71">
        <f t="shared" si="19"/>
        <v>0</v>
      </c>
    </row>
    <row r="1182" spans="1:5" ht="13.5" customHeight="1">
      <c r="A1182" s="69"/>
      <c r="B1182" s="75"/>
      <c r="C1182" s="79"/>
      <c r="D1182" s="79"/>
      <c r="E1182" s="71">
        <f t="shared" si="19"/>
        <v>0</v>
      </c>
    </row>
    <row r="1183" spans="1:5" ht="13.5" customHeight="1">
      <c r="A1183" s="69"/>
      <c r="B1183" s="75"/>
      <c r="C1183" s="79"/>
      <c r="D1183" s="79"/>
      <c r="E1183" s="71">
        <f t="shared" si="19"/>
        <v>0</v>
      </c>
    </row>
    <row r="1184" spans="1:5" ht="13.5" customHeight="1">
      <c r="A1184" s="69"/>
      <c r="B1184" s="75"/>
      <c r="C1184" s="79"/>
      <c r="D1184" s="79"/>
      <c r="E1184" s="71">
        <f t="shared" si="19"/>
        <v>0</v>
      </c>
    </row>
    <row r="1185" spans="1:5" ht="13.5" customHeight="1">
      <c r="A1185" s="69"/>
      <c r="B1185" s="75"/>
      <c r="C1185" s="79"/>
      <c r="D1185" s="79"/>
      <c r="E1185" s="71">
        <f t="shared" si="19"/>
        <v>0</v>
      </c>
    </row>
    <row r="1186" spans="1:5" ht="13.5" customHeight="1">
      <c r="A1186" s="69"/>
      <c r="B1186" s="75"/>
      <c r="C1186" s="79"/>
      <c r="D1186" s="79"/>
      <c r="E1186" s="71">
        <f t="shared" si="19"/>
        <v>0</v>
      </c>
    </row>
    <row r="1187" spans="1:5" ht="13.5" customHeight="1">
      <c r="A1187" s="69"/>
      <c r="B1187" s="75"/>
      <c r="C1187" s="79"/>
      <c r="D1187" s="79"/>
      <c r="E1187" s="71">
        <f t="shared" si="19"/>
        <v>0</v>
      </c>
    </row>
    <row r="1188" spans="1:5" ht="13.5" customHeight="1">
      <c r="A1188" s="69"/>
      <c r="B1188" s="75"/>
      <c r="C1188" s="79"/>
      <c r="D1188" s="79"/>
      <c r="E1188" s="71">
        <f t="shared" si="19"/>
        <v>0</v>
      </c>
    </row>
    <row r="1189" spans="1:5" ht="13.5" customHeight="1">
      <c r="A1189" s="69"/>
      <c r="B1189" s="75"/>
      <c r="C1189" s="79"/>
      <c r="D1189" s="79"/>
      <c r="E1189" s="71">
        <f t="shared" si="19"/>
        <v>0</v>
      </c>
    </row>
    <row r="1190" spans="1:5" ht="13.5" customHeight="1">
      <c r="A1190" s="69"/>
      <c r="B1190" s="75"/>
      <c r="C1190" s="79"/>
      <c r="D1190" s="79"/>
      <c r="E1190" s="71">
        <f t="shared" si="19"/>
        <v>0</v>
      </c>
    </row>
    <row r="1191" spans="1:5" ht="13.5" customHeight="1">
      <c r="A1191" s="69"/>
      <c r="B1191" s="75"/>
      <c r="C1191" s="79"/>
      <c r="D1191" s="79"/>
      <c r="E1191" s="71">
        <f t="shared" si="19"/>
        <v>0</v>
      </c>
    </row>
    <row r="1192" spans="1:5" ht="13.5" customHeight="1">
      <c r="A1192" s="69"/>
      <c r="B1192" s="75"/>
      <c r="C1192" s="79"/>
      <c r="D1192" s="79"/>
      <c r="E1192" s="71">
        <f t="shared" si="19"/>
        <v>0</v>
      </c>
    </row>
    <row r="1193" spans="1:5" ht="13.5" customHeight="1">
      <c r="A1193" s="69"/>
      <c r="B1193" s="75"/>
      <c r="C1193" s="79"/>
      <c r="D1193" s="79"/>
      <c r="E1193" s="71">
        <f t="shared" si="19"/>
        <v>0</v>
      </c>
    </row>
    <row r="1194" spans="1:5" ht="13.5" customHeight="1">
      <c r="A1194" s="69"/>
      <c r="B1194" s="75"/>
      <c r="C1194" s="79"/>
      <c r="D1194" s="79"/>
      <c r="E1194" s="71">
        <f t="shared" si="19"/>
        <v>0</v>
      </c>
    </row>
    <row r="1195" spans="1:5" ht="13.5" customHeight="1">
      <c r="A1195" s="69"/>
      <c r="B1195" s="75"/>
      <c r="C1195" s="79"/>
      <c r="D1195" s="79"/>
      <c r="E1195" s="71">
        <f t="shared" si="19"/>
        <v>0</v>
      </c>
    </row>
    <row r="1196" spans="1:5" ht="13.5" customHeight="1">
      <c r="A1196" s="69"/>
      <c r="B1196" s="75"/>
      <c r="C1196" s="79"/>
      <c r="D1196" s="79"/>
      <c r="E1196" s="71">
        <f t="shared" si="19"/>
        <v>0</v>
      </c>
    </row>
    <row r="1197" spans="1:5" ht="13.5" customHeight="1">
      <c r="A1197" s="69"/>
      <c r="B1197" s="75"/>
      <c r="C1197" s="79"/>
      <c r="D1197" s="79"/>
      <c r="E1197" s="71">
        <f t="shared" si="19"/>
        <v>0</v>
      </c>
    </row>
    <row r="1198" spans="1:5" ht="13.5" customHeight="1">
      <c r="A1198" s="69"/>
      <c r="B1198" s="75"/>
      <c r="C1198" s="79"/>
      <c r="D1198" s="79"/>
      <c r="E1198" s="71">
        <f t="shared" si="19"/>
        <v>0</v>
      </c>
    </row>
    <row r="1199" spans="1:5" ht="13.5" customHeight="1">
      <c r="A1199" s="69"/>
      <c r="B1199" s="75"/>
      <c r="C1199" s="79"/>
      <c r="D1199" s="79"/>
      <c r="E1199" s="71">
        <f t="shared" si="19"/>
        <v>0</v>
      </c>
    </row>
    <row r="1200" spans="1:5" ht="13.5" customHeight="1">
      <c r="A1200" s="69"/>
      <c r="B1200" s="75"/>
      <c r="C1200" s="79"/>
      <c r="D1200" s="79"/>
      <c r="E1200" s="71">
        <f t="shared" si="19"/>
        <v>0</v>
      </c>
    </row>
    <row r="1201" spans="1:6" ht="13.5" customHeight="1">
      <c r="A1201" s="69"/>
      <c r="B1201" s="75"/>
      <c r="C1201" s="79"/>
      <c r="D1201" s="79"/>
      <c r="E1201" s="71">
        <f t="shared" si="19"/>
        <v>0</v>
      </c>
    </row>
    <row r="1202" spans="1:6" ht="13.5" customHeight="1">
      <c r="A1202" s="69"/>
      <c r="B1202" s="75"/>
      <c r="C1202" s="79"/>
      <c r="D1202" s="79"/>
      <c r="E1202" s="71">
        <f t="shared" si="19"/>
        <v>0</v>
      </c>
    </row>
    <row r="1203" spans="1:6" ht="13.5" customHeight="1">
      <c r="A1203" s="69"/>
      <c r="B1203" s="75"/>
      <c r="C1203" s="79"/>
      <c r="D1203" s="79"/>
      <c r="E1203" s="71">
        <f t="shared" si="19"/>
        <v>0</v>
      </c>
      <c r="F1203" s="124"/>
    </row>
    <row r="1204" spans="1:6" ht="13.5" customHeight="1">
      <c r="A1204" s="69"/>
      <c r="B1204" s="75"/>
      <c r="C1204" s="79"/>
      <c r="D1204" s="79"/>
      <c r="E1204" s="71">
        <f t="shared" si="19"/>
        <v>0</v>
      </c>
    </row>
    <row r="1205" spans="1:6" ht="13.5" customHeight="1">
      <c r="A1205" s="69"/>
      <c r="B1205" s="75"/>
      <c r="C1205" s="79"/>
      <c r="D1205" s="79"/>
      <c r="E1205" s="71">
        <f t="shared" si="19"/>
        <v>0</v>
      </c>
    </row>
    <row r="1206" spans="1:6" ht="13.5" customHeight="1">
      <c r="A1206" s="69"/>
      <c r="B1206" s="75"/>
      <c r="C1206" s="79"/>
      <c r="D1206" s="79"/>
      <c r="E1206" s="71">
        <f t="shared" si="19"/>
        <v>0</v>
      </c>
    </row>
    <row r="1207" spans="1:6" ht="13.5" customHeight="1">
      <c r="A1207" s="69"/>
      <c r="B1207" s="75"/>
      <c r="C1207" s="79"/>
      <c r="D1207" s="79"/>
      <c r="E1207" s="71">
        <f t="shared" si="19"/>
        <v>0</v>
      </c>
    </row>
    <row r="1208" spans="1:6" ht="13.5" customHeight="1">
      <c r="A1208" s="69"/>
      <c r="B1208" s="75"/>
      <c r="C1208" s="79"/>
      <c r="D1208" s="79"/>
      <c r="E1208" s="71">
        <f t="shared" si="19"/>
        <v>0</v>
      </c>
    </row>
    <row r="1209" spans="1:6" ht="13.5" customHeight="1">
      <c r="A1209" s="69"/>
      <c r="B1209" s="75"/>
      <c r="C1209" s="79"/>
      <c r="D1209" s="79"/>
      <c r="E1209" s="71">
        <f t="shared" si="19"/>
        <v>0</v>
      </c>
    </row>
    <row r="1210" spans="1:6" ht="13.5" customHeight="1">
      <c r="A1210" s="69"/>
      <c r="B1210" s="75"/>
      <c r="C1210" s="79"/>
      <c r="D1210" s="79"/>
      <c r="E1210" s="71">
        <f t="shared" si="19"/>
        <v>0</v>
      </c>
    </row>
    <row r="1211" spans="1:6" ht="13.5" customHeight="1">
      <c r="A1211" s="69"/>
      <c r="B1211" s="75"/>
      <c r="C1211" s="79"/>
      <c r="D1211" s="79"/>
      <c r="E1211" s="71">
        <f t="shared" si="19"/>
        <v>0</v>
      </c>
    </row>
    <row r="1212" spans="1:6" ht="13.5" customHeight="1">
      <c r="A1212" s="69"/>
      <c r="B1212" s="75"/>
      <c r="C1212" s="79"/>
      <c r="D1212" s="79"/>
      <c r="E1212" s="71">
        <f t="shared" si="19"/>
        <v>0</v>
      </c>
    </row>
    <row r="1213" spans="1:6" ht="13.5" customHeight="1">
      <c r="A1213" s="69"/>
      <c r="B1213" s="75"/>
      <c r="C1213" s="79"/>
      <c r="D1213" s="79"/>
      <c r="E1213" s="71">
        <f t="shared" si="19"/>
        <v>0</v>
      </c>
    </row>
    <row r="1214" spans="1:6" ht="13.5" customHeight="1">
      <c r="A1214" s="69"/>
      <c r="B1214" s="75"/>
      <c r="C1214" s="79"/>
      <c r="D1214" s="79"/>
      <c r="E1214" s="71">
        <f t="shared" si="19"/>
        <v>0</v>
      </c>
    </row>
    <row r="1215" spans="1:6" ht="13.5" customHeight="1">
      <c r="A1215" s="69"/>
      <c r="B1215" s="75"/>
      <c r="C1215" s="79"/>
      <c r="D1215" s="79"/>
      <c r="E1215" s="71">
        <f t="shared" si="19"/>
        <v>0</v>
      </c>
    </row>
    <row r="1216" spans="1:6" ht="13.5" customHeight="1">
      <c r="A1216" s="69"/>
      <c r="B1216" s="75"/>
      <c r="C1216" s="79"/>
      <c r="D1216" s="79"/>
      <c r="E1216" s="71">
        <f t="shared" si="19"/>
        <v>0</v>
      </c>
    </row>
    <row r="1217" spans="1:5" ht="13.5" customHeight="1">
      <c r="A1217" s="69"/>
      <c r="B1217" s="75"/>
      <c r="C1217" s="79"/>
      <c r="D1217" s="79"/>
      <c r="E1217" s="71">
        <f t="shared" si="19"/>
        <v>0</v>
      </c>
    </row>
    <row r="1218" spans="1:5" ht="13.5" customHeight="1">
      <c r="A1218" s="69"/>
      <c r="B1218" s="75"/>
      <c r="C1218" s="79"/>
      <c r="D1218" s="79"/>
      <c r="E1218" s="71">
        <f t="shared" ref="E1218:E1281" si="20">+D1218-C1218</f>
        <v>0</v>
      </c>
    </row>
    <row r="1219" spans="1:5" ht="13.5" customHeight="1">
      <c r="A1219" s="69"/>
      <c r="B1219" s="75"/>
      <c r="C1219" s="79"/>
      <c r="D1219" s="79"/>
      <c r="E1219" s="71">
        <f t="shared" si="20"/>
        <v>0</v>
      </c>
    </row>
    <row r="1220" spans="1:5" ht="13.5" customHeight="1">
      <c r="A1220" s="69"/>
      <c r="B1220" s="75"/>
      <c r="C1220" s="79"/>
      <c r="D1220" s="79"/>
      <c r="E1220" s="71">
        <f t="shared" si="20"/>
        <v>0</v>
      </c>
    </row>
    <row r="1221" spans="1:5" ht="13.5" customHeight="1">
      <c r="A1221" s="69"/>
      <c r="B1221" s="75"/>
      <c r="C1221" s="79"/>
      <c r="D1221" s="79"/>
      <c r="E1221" s="71">
        <f t="shared" si="20"/>
        <v>0</v>
      </c>
    </row>
    <row r="1222" spans="1:5" ht="13.5" customHeight="1">
      <c r="A1222" s="69"/>
      <c r="B1222" s="75"/>
      <c r="C1222" s="79"/>
      <c r="D1222" s="79"/>
      <c r="E1222" s="71">
        <f t="shared" si="20"/>
        <v>0</v>
      </c>
    </row>
    <row r="1223" spans="1:5" ht="13.5" customHeight="1">
      <c r="A1223" s="69"/>
      <c r="B1223" s="75"/>
      <c r="C1223" s="79"/>
      <c r="D1223" s="79"/>
      <c r="E1223" s="71">
        <f t="shared" si="20"/>
        <v>0</v>
      </c>
    </row>
    <row r="1224" spans="1:5" ht="13.5" customHeight="1">
      <c r="A1224" s="69"/>
      <c r="B1224" s="75"/>
      <c r="C1224" s="79"/>
      <c r="D1224" s="79"/>
      <c r="E1224" s="71">
        <f t="shared" si="20"/>
        <v>0</v>
      </c>
    </row>
    <row r="1225" spans="1:5" ht="13.5" customHeight="1">
      <c r="A1225" s="69"/>
      <c r="B1225" s="75"/>
      <c r="C1225" s="79"/>
      <c r="D1225" s="79"/>
      <c r="E1225" s="71">
        <f t="shared" si="20"/>
        <v>0</v>
      </c>
    </row>
    <row r="1226" spans="1:5" ht="13.5" customHeight="1">
      <c r="A1226" s="69"/>
      <c r="B1226" s="75"/>
      <c r="C1226" s="79"/>
      <c r="D1226" s="79"/>
      <c r="E1226" s="71">
        <f t="shared" si="20"/>
        <v>0</v>
      </c>
    </row>
    <row r="1227" spans="1:5" ht="13.5" customHeight="1">
      <c r="A1227" s="69"/>
      <c r="B1227" s="75"/>
      <c r="C1227" s="79"/>
      <c r="D1227" s="79"/>
      <c r="E1227" s="71">
        <f t="shared" si="20"/>
        <v>0</v>
      </c>
    </row>
    <row r="1228" spans="1:5" ht="13.5" customHeight="1">
      <c r="A1228" s="69"/>
      <c r="B1228" s="75"/>
      <c r="C1228" s="79"/>
      <c r="D1228" s="79"/>
      <c r="E1228" s="71">
        <f t="shared" si="20"/>
        <v>0</v>
      </c>
    </row>
    <row r="1229" spans="1:5" ht="13.5" customHeight="1">
      <c r="A1229" s="69"/>
      <c r="B1229" s="75"/>
      <c r="C1229" s="79"/>
      <c r="D1229" s="79"/>
      <c r="E1229" s="71">
        <f t="shared" si="20"/>
        <v>0</v>
      </c>
    </row>
    <row r="1230" spans="1:5" ht="13.5" customHeight="1">
      <c r="A1230" s="69"/>
      <c r="B1230" s="75"/>
      <c r="C1230" s="79"/>
      <c r="D1230" s="79"/>
      <c r="E1230" s="71">
        <f t="shared" si="20"/>
        <v>0</v>
      </c>
    </row>
    <row r="1231" spans="1:5" ht="13.5" customHeight="1">
      <c r="A1231" s="69"/>
      <c r="B1231" s="75"/>
      <c r="C1231" s="79"/>
      <c r="D1231" s="79"/>
      <c r="E1231" s="71">
        <f t="shared" si="20"/>
        <v>0</v>
      </c>
    </row>
    <row r="1232" spans="1:5" ht="13.5" customHeight="1">
      <c r="A1232" s="69"/>
      <c r="B1232" s="75"/>
      <c r="C1232" s="79"/>
      <c r="D1232" s="79"/>
      <c r="E1232" s="71">
        <f t="shared" si="20"/>
        <v>0</v>
      </c>
    </row>
    <row r="1233" spans="1:5" ht="13.5" customHeight="1">
      <c r="A1233" s="69"/>
      <c r="B1233" s="75"/>
      <c r="C1233" s="79"/>
      <c r="D1233" s="79"/>
      <c r="E1233" s="71">
        <f t="shared" si="20"/>
        <v>0</v>
      </c>
    </row>
    <row r="1234" spans="1:5" ht="13.5" customHeight="1">
      <c r="A1234" s="69"/>
      <c r="B1234" s="75"/>
      <c r="C1234" s="79"/>
      <c r="D1234" s="79"/>
      <c r="E1234" s="71">
        <f t="shared" si="20"/>
        <v>0</v>
      </c>
    </row>
    <row r="1235" spans="1:5" ht="13.5" customHeight="1">
      <c r="A1235" s="69"/>
      <c r="B1235" s="75"/>
      <c r="C1235" s="79"/>
      <c r="D1235" s="79"/>
      <c r="E1235" s="71">
        <f t="shared" si="20"/>
        <v>0</v>
      </c>
    </row>
    <row r="1236" spans="1:5" ht="13.5" customHeight="1">
      <c r="A1236" s="69"/>
      <c r="B1236" s="75"/>
      <c r="C1236" s="79"/>
      <c r="D1236" s="79"/>
      <c r="E1236" s="71">
        <f t="shared" si="20"/>
        <v>0</v>
      </c>
    </row>
    <row r="1237" spans="1:5" ht="13.5" customHeight="1">
      <c r="A1237" s="69"/>
      <c r="B1237" s="75"/>
      <c r="C1237" s="79"/>
      <c r="D1237" s="79"/>
      <c r="E1237" s="71">
        <f t="shared" si="20"/>
        <v>0</v>
      </c>
    </row>
    <row r="1238" spans="1:5" ht="13.5" customHeight="1">
      <c r="A1238" s="69"/>
      <c r="B1238" s="75"/>
      <c r="C1238" s="79"/>
      <c r="D1238" s="79"/>
      <c r="E1238" s="71">
        <f t="shared" si="20"/>
        <v>0</v>
      </c>
    </row>
    <row r="1239" spans="1:5" ht="13.5" customHeight="1">
      <c r="A1239" s="69"/>
      <c r="B1239" s="75"/>
      <c r="C1239" s="79"/>
      <c r="D1239" s="79"/>
      <c r="E1239" s="71">
        <f t="shared" si="20"/>
        <v>0</v>
      </c>
    </row>
    <row r="1240" spans="1:5" ht="13.5" customHeight="1">
      <c r="A1240" s="69"/>
      <c r="B1240" s="75"/>
      <c r="C1240" s="79"/>
      <c r="D1240" s="79"/>
      <c r="E1240" s="71">
        <f t="shared" si="20"/>
        <v>0</v>
      </c>
    </row>
    <row r="1241" spans="1:5" ht="13.5" customHeight="1">
      <c r="A1241" s="69"/>
      <c r="B1241" s="75"/>
      <c r="C1241" s="79"/>
      <c r="D1241" s="79"/>
      <c r="E1241" s="71">
        <f t="shared" si="20"/>
        <v>0</v>
      </c>
    </row>
    <row r="1242" spans="1:5" ht="13.5" customHeight="1">
      <c r="A1242" s="69"/>
      <c r="B1242" s="75"/>
      <c r="C1242" s="79"/>
      <c r="D1242" s="79"/>
      <c r="E1242" s="71">
        <f t="shared" si="20"/>
        <v>0</v>
      </c>
    </row>
    <row r="1243" spans="1:5" ht="13.5" customHeight="1">
      <c r="A1243" s="69"/>
      <c r="B1243" s="75"/>
      <c r="C1243" s="79"/>
      <c r="D1243" s="79"/>
      <c r="E1243" s="71">
        <f t="shared" si="20"/>
        <v>0</v>
      </c>
    </row>
    <row r="1244" spans="1:5" ht="13.5" customHeight="1">
      <c r="A1244" s="69"/>
      <c r="B1244" s="75"/>
      <c r="C1244" s="79"/>
      <c r="D1244" s="79"/>
      <c r="E1244" s="71">
        <f t="shared" si="20"/>
        <v>0</v>
      </c>
    </row>
    <row r="1245" spans="1:5" ht="13.5" customHeight="1">
      <c r="A1245" s="69"/>
      <c r="B1245" s="75"/>
      <c r="C1245" s="79"/>
      <c r="D1245" s="79"/>
      <c r="E1245" s="71">
        <f t="shared" si="20"/>
        <v>0</v>
      </c>
    </row>
    <row r="1246" spans="1:5" ht="13.5" customHeight="1">
      <c r="A1246" s="69"/>
      <c r="B1246" s="75"/>
      <c r="C1246" s="79"/>
      <c r="D1246" s="79"/>
      <c r="E1246" s="71">
        <f t="shared" si="20"/>
        <v>0</v>
      </c>
    </row>
    <row r="1247" spans="1:5" ht="13.5" customHeight="1">
      <c r="A1247" s="69"/>
      <c r="B1247" s="75"/>
      <c r="C1247" s="79"/>
      <c r="D1247" s="79"/>
      <c r="E1247" s="71">
        <f t="shared" si="20"/>
        <v>0</v>
      </c>
    </row>
    <row r="1248" spans="1:5" ht="13.5" customHeight="1">
      <c r="A1248" s="69"/>
      <c r="B1248" s="75"/>
      <c r="C1248" s="79"/>
      <c r="D1248" s="79"/>
      <c r="E1248" s="71">
        <f t="shared" si="20"/>
        <v>0</v>
      </c>
    </row>
    <row r="1249" spans="1:5" ht="13.5" customHeight="1">
      <c r="A1249" s="69"/>
      <c r="B1249" s="75"/>
      <c r="C1249" s="79"/>
      <c r="D1249" s="79"/>
      <c r="E1249" s="71">
        <f t="shared" si="20"/>
        <v>0</v>
      </c>
    </row>
    <row r="1250" spans="1:5" ht="13.5" customHeight="1">
      <c r="A1250" s="69"/>
      <c r="B1250" s="75"/>
      <c r="C1250" s="79"/>
      <c r="D1250" s="79"/>
      <c r="E1250" s="71">
        <f t="shared" si="20"/>
        <v>0</v>
      </c>
    </row>
    <row r="1251" spans="1:5" ht="13.5" customHeight="1">
      <c r="A1251" s="69"/>
      <c r="B1251" s="75"/>
      <c r="C1251" s="79"/>
      <c r="D1251" s="79"/>
      <c r="E1251" s="71">
        <f t="shared" si="20"/>
        <v>0</v>
      </c>
    </row>
    <row r="1252" spans="1:5" ht="13.5" customHeight="1">
      <c r="A1252" s="69"/>
      <c r="B1252" s="75"/>
      <c r="C1252" s="79"/>
      <c r="D1252" s="79"/>
      <c r="E1252" s="71">
        <f t="shared" si="20"/>
        <v>0</v>
      </c>
    </row>
    <row r="1253" spans="1:5" ht="13.5" customHeight="1">
      <c r="A1253" s="69"/>
      <c r="B1253" s="75"/>
      <c r="C1253" s="79"/>
      <c r="D1253" s="79"/>
      <c r="E1253" s="71">
        <f t="shared" si="20"/>
        <v>0</v>
      </c>
    </row>
    <row r="1254" spans="1:5" ht="13.5" customHeight="1">
      <c r="A1254" s="69"/>
      <c r="B1254" s="75"/>
      <c r="C1254" s="79"/>
      <c r="D1254" s="79"/>
      <c r="E1254" s="71">
        <f t="shared" si="20"/>
        <v>0</v>
      </c>
    </row>
    <row r="1255" spans="1:5" ht="13.5" customHeight="1">
      <c r="A1255" s="69"/>
      <c r="B1255" s="75"/>
      <c r="C1255" s="79"/>
      <c r="D1255" s="79"/>
      <c r="E1255" s="71">
        <f t="shared" si="20"/>
        <v>0</v>
      </c>
    </row>
    <row r="1256" spans="1:5" ht="13.5" customHeight="1">
      <c r="A1256" s="69"/>
      <c r="B1256" s="75"/>
      <c r="C1256" s="79"/>
      <c r="D1256" s="79"/>
      <c r="E1256" s="71">
        <f t="shared" si="20"/>
        <v>0</v>
      </c>
    </row>
    <row r="1257" spans="1:5" ht="13.5" customHeight="1">
      <c r="A1257" s="69"/>
      <c r="B1257" s="75"/>
      <c r="C1257" s="79"/>
      <c r="D1257" s="79"/>
      <c r="E1257" s="71">
        <f t="shared" si="20"/>
        <v>0</v>
      </c>
    </row>
    <row r="1258" spans="1:5" ht="13.5" customHeight="1">
      <c r="A1258" s="69"/>
      <c r="B1258" s="75"/>
      <c r="C1258" s="79"/>
      <c r="D1258" s="79"/>
      <c r="E1258" s="71">
        <f t="shared" si="20"/>
        <v>0</v>
      </c>
    </row>
    <row r="1259" spans="1:5" ht="13.5" customHeight="1">
      <c r="A1259" s="69"/>
      <c r="B1259" s="75"/>
      <c r="C1259" s="79"/>
      <c r="D1259" s="79"/>
      <c r="E1259" s="71">
        <f t="shared" si="20"/>
        <v>0</v>
      </c>
    </row>
    <row r="1260" spans="1:5" ht="13.5" customHeight="1">
      <c r="A1260" s="69"/>
      <c r="B1260" s="75"/>
      <c r="C1260" s="79"/>
      <c r="D1260" s="79"/>
      <c r="E1260" s="71">
        <f t="shared" si="20"/>
        <v>0</v>
      </c>
    </row>
    <row r="1261" spans="1:5" ht="13.5" customHeight="1">
      <c r="A1261" s="69"/>
      <c r="B1261" s="75"/>
      <c r="C1261" s="79"/>
      <c r="D1261" s="79"/>
      <c r="E1261" s="71">
        <f t="shared" si="20"/>
        <v>0</v>
      </c>
    </row>
    <row r="1262" spans="1:5" ht="13.5" customHeight="1">
      <c r="A1262" s="69"/>
      <c r="B1262" s="75"/>
      <c r="C1262" s="79"/>
      <c r="D1262" s="79"/>
      <c r="E1262" s="71">
        <f t="shared" si="20"/>
        <v>0</v>
      </c>
    </row>
    <row r="1263" spans="1:5" ht="13.5" customHeight="1">
      <c r="A1263" s="69"/>
      <c r="B1263" s="75"/>
      <c r="C1263" s="79"/>
      <c r="D1263" s="79"/>
      <c r="E1263" s="71">
        <f t="shared" si="20"/>
        <v>0</v>
      </c>
    </row>
    <row r="1264" spans="1:5" ht="13.5" customHeight="1">
      <c r="A1264" s="69"/>
      <c r="B1264" s="75"/>
      <c r="C1264" s="79"/>
      <c r="D1264" s="79"/>
      <c r="E1264" s="71">
        <f t="shared" si="20"/>
        <v>0</v>
      </c>
    </row>
    <row r="1265" spans="1:5" ht="13.5" customHeight="1">
      <c r="A1265" s="69"/>
      <c r="B1265" s="75"/>
      <c r="C1265" s="79"/>
      <c r="D1265" s="79"/>
      <c r="E1265" s="71">
        <f t="shared" si="20"/>
        <v>0</v>
      </c>
    </row>
    <row r="1266" spans="1:5" ht="13.5" customHeight="1">
      <c r="A1266" s="69"/>
      <c r="B1266" s="75"/>
      <c r="C1266" s="79"/>
      <c r="D1266" s="79"/>
      <c r="E1266" s="71">
        <f t="shared" si="20"/>
        <v>0</v>
      </c>
    </row>
    <row r="1267" spans="1:5" ht="13.5" customHeight="1">
      <c r="A1267" s="69"/>
      <c r="B1267" s="75"/>
      <c r="C1267" s="79"/>
      <c r="D1267" s="79"/>
      <c r="E1267" s="71">
        <f t="shared" si="20"/>
        <v>0</v>
      </c>
    </row>
    <row r="1268" spans="1:5" ht="13.5" customHeight="1">
      <c r="A1268" s="69"/>
      <c r="B1268" s="75"/>
      <c r="C1268" s="79"/>
      <c r="D1268" s="79"/>
      <c r="E1268" s="71">
        <f t="shared" si="20"/>
        <v>0</v>
      </c>
    </row>
    <row r="1269" spans="1:5" ht="13.5" customHeight="1">
      <c r="A1269" s="69"/>
      <c r="B1269" s="75"/>
      <c r="C1269" s="79"/>
      <c r="D1269" s="79"/>
      <c r="E1269" s="71">
        <f t="shared" si="20"/>
        <v>0</v>
      </c>
    </row>
    <row r="1270" spans="1:5" ht="13.5" customHeight="1">
      <c r="A1270" s="69"/>
      <c r="B1270" s="75"/>
      <c r="C1270" s="79"/>
      <c r="D1270" s="79"/>
      <c r="E1270" s="71">
        <f t="shared" si="20"/>
        <v>0</v>
      </c>
    </row>
    <row r="1271" spans="1:5" ht="13.5" customHeight="1">
      <c r="A1271" s="69"/>
      <c r="B1271" s="75"/>
      <c r="C1271" s="79"/>
      <c r="D1271" s="79"/>
      <c r="E1271" s="71">
        <f t="shared" si="20"/>
        <v>0</v>
      </c>
    </row>
    <row r="1272" spans="1:5" ht="13.5" customHeight="1">
      <c r="A1272" s="69"/>
      <c r="B1272" s="75"/>
      <c r="C1272" s="79"/>
      <c r="D1272" s="79"/>
      <c r="E1272" s="71">
        <f t="shared" si="20"/>
        <v>0</v>
      </c>
    </row>
    <row r="1273" spans="1:5" ht="13.5" customHeight="1">
      <c r="A1273" s="69"/>
      <c r="B1273" s="75"/>
      <c r="C1273" s="79"/>
      <c r="D1273" s="79"/>
      <c r="E1273" s="71">
        <f t="shared" si="20"/>
        <v>0</v>
      </c>
    </row>
    <row r="1274" spans="1:5" ht="13.5" customHeight="1">
      <c r="A1274" s="69"/>
      <c r="B1274" s="75"/>
      <c r="C1274" s="79"/>
      <c r="D1274" s="79"/>
      <c r="E1274" s="71">
        <f t="shared" si="20"/>
        <v>0</v>
      </c>
    </row>
    <row r="1275" spans="1:5" ht="13.5" customHeight="1">
      <c r="A1275" s="69"/>
      <c r="B1275" s="75"/>
      <c r="C1275" s="79"/>
      <c r="D1275" s="79"/>
      <c r="E1275" s="71">
        <f t="shared" si="20"/>
        <v>0</v>
      </c>
    </row>
    <row r="1276" spans="1:5" ht="13.5" customHeight="1">
      <c r="A1276" s="69"/>
      <c r="B1276" s="75"/>
      <c r="C1276" s="79"/>
      <c r="D1276" s="79"/>
      <c r="E1276" s="71">
        <f t="shared" si="20"/>
        <v>0</v>
      </c>
    </row>
    <row r="1277" spans="1:5" ht="13.5" customHeight="1">
      <c r="A1277" s="69"/>
      <c r="B1277" s="75"/>
      <c r="C1277" s="79"/>
      <c r="D1277" s="79"/>
      <c r="E1277" s="71">
        <f t="shared" si="20"/>
        <v>0</v>
      </c>
    </row>
    <row r="1278" spans="1:5" ht="13.5" customHeight="1">
      <c r="A1278" s="69"/>
      <c r="B1278" s="75"/>
      <c r="C1278" s="79"/>
      <c r="D1278" s="79"/>
      <c r="E1278" s="71">
        <f t="shared" si="20"/>
        <v>0</v>
      </c>
    </row>
    <row r="1279" spans="1:5" ht="13.5" customHeight="1">
      <c r="A1279" s="69"/>
      <c r="B1279" s="75"/>
      <c r="C1279" s="79"/>
      <c r="D1279" s="79"/>
      <c r="E1279" s="71">
        <f t="shared" si="20"/>
        <v>0</v>
      </c>
    </row>
    <row r="1280" spans="1:5" ht="13.5" customHeight="1">
      <c r="A1280" s="69"/>
      <c r="B1280" s="75"/>
      <c r="C1280" s="79"/>
      <c r="D1280" s="79"/>
      <c r="E1280" s="71">
        <f t="shared" si="20"/>
        <v>0</v>
      </c>
    </row>
    <row r="1281" spans="1:5" ht="13.5" customHeight="1">
      <c r="A1281" s="69"/>
      <c r="B1281" s="75"/>
      <c r="C1281" s="79"/>
      <c r="D1281" s="79"/>
      <c r="E1281" s="71">
        <f t="shared" si="20"/>
        <v>0</v>
      </c>
    </row>
    <row r="1282" spans="1:5" ht="13.5" customHeight="1">
      <c r="A1282" s="69"/>
      <c r="B1282" s="75"/>
      <c r="C1282" s="79"/>
      <c r="D1282" s="79"/>
      <c r="E1282" s="71">
        <f t="shared" ref="E1282:E1345" si="21">+D1282-C1282</f>
        <v>0</v>
      </c>
    </row>
    <row r="1283" spans="1:5" ht="13.5" customHeight="1">
      <c r="A1283" s="69"/>
      <c r="B1283" s="75"/>
      <c r="C1283" s="79"/>
      <c r="D1283" s="79"/>
      <c r="E1283" s="71">
        <f t="shared" si="21"/>
        <v>0</v>
      </c>
    </row>
    <row r="1284" spans="1:5" ht="13.5" customHeight="1">
      <c r="A1284" s="69"/>
      <c r="B1284" s="75"/>
      <c r="C1284" s="79"/>
      <c r="D1284" s="79"/>
      <c r="E1284" s="71">
        <f t="shared" si="21"/>
        <v>0</v>
      </c>
    </row>
    <row r="1285" spans="1:5" ht="13.5" customHeight="1">
      <c r="A1285" s="69"/>
      <c r="B1285" s="75"/>
      <c r="C1285" s="79"/>
      <c r="D1285" s="79"/>
      <c r="E1285" s="71">
        <f t="shared" si="21"/>
        <v>0</v>
      </c>
    </row>
    <row r="1286" spans="1:5" ht="13.5" customHeight="1">
      <c r="A1286" s="69"/>
      <c r="B1286" s="75"/>
      <c r="C1286" s="79"/>
      <c r="D1286" s="79"/>
      <c r="E1286" s="71">
        <f t="shared" si="21"/>
        <v>0</v>
      </c>
    </row>
    <row r="1287" spans="1:5" ht="13.5" customHeight="1">
      <c r="A1287" s="69"/>
      <c r="B1287" s="75"/>
      <c r="C1287" s="79"/>
      <c r="D1287" s="79"/>
      <c r="E1287" s="71">
        <f t="shared" si="21"/>
        <v>0</v>
      </c>
    </row>
    <row r="1288" spans="1:5" ht="13.5" customHeight="1">
      <c r="A1288" s="69"/>
      <c r="B1288" s="75"/>
      <c r="C1288" s="79"/>
      <c r="D1288" s="79"/>
      <c r="E1288" s="71">
        <f t="shared" si="21"/>
        <v>0</v>
      </c>
    </row>
    <row r="1289" spans="1:5" ht="13.5" customHeight="1">
      <c r="A1289" s="69"/>
      <c r="B1289" s="75"/>
      <c r="C1289" s="79"/>
      <c r="D1289" s="79"/>
      <c r="E1289" s="71">
        <f t="shared" si="21"/>
        <v>0</v>
      </c>
    </row>
    <row r="1290" spans="1:5" ht="13.5" customHeight="1">
      <c r="A1290" s="69"/>
      <c r="B1290" s="75"/>
      <c r="C1290" s="79"/>
      <c r="D1290" s="79"/>
      <c r="E1290" s="71">
        <f t="shared" si="21"/>
        <v>0</v>
      </c>
    </row>
    <row r="1291" spans="1:5" ht="13.5" customHeight="1">
      <c r="A1291" s="69"/>
      <c r="B1291" s="75"/>
      <c r="C1291" s="79"/>
      <c r="D1291" s="79"/>
      <c r="E1291" s="71">
        <f t="shared" si="21"/>
        <v>0</v>
      </c>
    </row>
    <row r="1292" spans="1:5" ht="13.5" customHeight="1">
      <c r="A1292" s="69"/>
      <c r="B1292" s="75"/>
      <c r="C1292" s="79"/>
      <c r="D1292" s="79"/>
      <c r="E1292" s="71">
        <f t="shared" si="21"/>
        <v>0</v>
      </c>
    </row>
    <row r="1293" spans="1:5" ht="13.5" customHeight="1">
      <c r="A1293" s="69"/>
      <c r="B1293" s="75"/>
      <c r="C1293" s="79"/>
      <c r="D1293" s="79"/>
      <c r="E1293" s="71">
        <f t="shared" si="21"/>
        <v>0</v>
      </c>
    </row>
    <row r="1294" spans="1:5" ht="13.5" customHeight="1">
      <c r="A1294" s="69"/>
      <c r="B1294" s="75"/>
      <c r="C1294" s="79"/>
      <c r="D1294" s="79"/>
      <c r="E1294" s="71">
        <f t="shared" si="21"/>
        <v>0</v>
      </c>
    </row>
    <row r="1295" spans="1:5" ht="13.5" customHeight="1">
      <c r="A1295" s="69"/>
      <c r="B1295" s="75"/>
      <c r="C1295" s="79"/>
      <c r="D1295" s="79"/>
      <c r="E1295" s="71">
        <f t="shared" si="21"/>
        <v>0</v>
      </c>
    </row>
    <row r="1296" spans="1:5" ht="13.5" customHeight="1">
      <c r="A1296" s="69"/>
      <c r="B1296" s="75"/>
      <c r="C1296" s="79"/>
      <c r="D1296" s="79"/>
      <c r="E1296" s="71">
        <f t="shared" si="21"/>
        <v>0</v>
      </c>
    </row>
    <row r="1297" spans="1:5" ht="13.5" customHeight="1">
      <c r="A1297" s="69"/>
      <c r="B1297" s="75"/>
      <c r="C1297" s="79"/>
      <c r="D1297" s="79"/>
      <c r="E1297" s="71">
        <f t="shared" si="21"/>
        <v>0</v>
      </c>
    </row>
    <row r="1298" spans="1:5" ht="13.5" customHeight="1">
      <c r="A1298" s="69"/>
      <c r="B1298" s="75"/>
      <c r="C1298" s="79"/>
      <c r="D1298" s="79"/>
      <c r="E1298" s="71">
        <f t="shared" si="21"/>
        <v>0</v>
      </c>
    </row>
    <row r="1299" spans="1:5" ht="13.5" customHeight="1">
      <c r="A1299" s="69"/>
      <c r="B1299" s="75"/>
      <c r="C1299" s="79"/>
      <c r="D1299" s="79"/>
      <c r="E1299" s="71">
        <f t="shared" si="21"/>
        <v>0</v>
      </c>
    </row>
    <row r="1300" spans="1:5" ht="13.5" customHeight="1">
      <c r="A1300" s="69"/>
      <c r="B1300" s="75"/>
      <c r="C1300" s="79"/>
      <c r="D1300" s="79"/>
      <c r="E1300" s="71">
        <f t="shared" si="21"/>
        <v>0</v>
      </c>
    </row>
    <row r="1301" spans="1:5" ht="13.5" customHeight="1">
      <c r="A1301" s="69"/>
      <c r="B1301" s="75"/>
      <c r="C1301" s="79"/>
      <c r="D1301" s="79"/>
      <c r="E1301" s="71">
        <f t="shared" si="21"/>
        <v>0</v>
      </c>
    </row>
    <row r="1302" spans="1:5" ht="13.5" customHeight="1">
      <c r="A1302" s="69"/>
      <c r="B1302" s="75"/>
      <c r="C1302" s="79"/>
      <c r="D1302" s="79"/>
      <c r="E1302" s="71">
        <f t="shared" si="21"/>
        <v>0</v>
      </c>
    </row>
    <row r="1303" spans="1:5" ht="13.5" customHeight="1">
      <c r="A1303" s="69"/>
      <c r="B1303" s="75"/>
      <c r="C1303" s="79"/>
      <c r="D1303" s="79"/>
      <c r="E1303" s="71">
        <f t="shared" si="21"/>
        <v>0</v>
      </c>
    </row>
    <row r="1304" spans="1:5" ht="13.5" customHeight="1">
      <c r="A1304" s="69"/>
      <c r="B1304" s="75"/>
      <c r="C1304" s="79"/>
      <c r="D1304" s="79"/>
      <c r="E1304" s="71">
        <f t="shared" si="21"/>
        <v>0</v>
      </c>
    </row>
    <row r="1305" spans="1:5" ht="13.5" customHeight="1">
      <c r="A1305" s="69"/>
      <c r="B1305" s="75"/>
      <c r="C1305" s="79"/>
      <c r="D1305" s="79"/>
      <c r="E1305" s="71">
        <f t="shared" si="21"/>
        <v>0</v>
      </c>
    </row>
    <row r="1306" spans="1:5" ht="13.5" customHeight="1">
      <c r="A1306" s="69"/>
      <c r="B1306" s="75"/>
      <c r="C1306" s="79"/>
      <c r="D1306" s="79"/>
      <c r="E1306" s="71">
        <f t="shared" si="21"/>
        <v>0</v>
      </c>
    </row>
    <row r="1307" spans="1:5" ht="13.5" customHeight="1">
      <c r="A1307" s="69"/>
      <c r="B1307" s="75"/>
      <c r="C1307" s="79"/>
      <c r="D1307" s="79"/>
      <c r="E1307" s="71">
        <f t="shared" si="21"/>
        <v>0</v>
      </c>
    </row>
    <row r="1308" spans="1:5" ht="13.5" customHeight="1">
      <c r="A1308" s="69"/>
      <c r="B1308" s="75"/>
      <c r="C1308" s="79"/>
      <c r="D1308" s="79"/>
      <c r="E1308" s="71">
        <f t="shared" si="21"/>
        <v>0</v>
      </c>
    </row>
    <row r="1309" spans="1:5" ht="13.5" customHeight="1">
      <c r="A1309" s="69"/>
      <c r="B1309" s="75"/>
      <c r="C1309" s="79"/>
      <c r="D1309" s="79"/>
      <c r="E1309" s="71">
        <f t="shared" si="21"/>
        <v>0</v>
      </c>
    </row>
    <row r="1310" spans="1:5" ht="13.5" customHeight="1">
      <c r="A1310" s="69"/>
      <c r="B1310" s="75"/>
      <c r="C1310" s="79"/>
      <c r="D1310" s="79"/>
      <c r="E1310" s="71">
        <f t="shared" si="21"/>
        <v>0</v>
      </c>
    </row>
    <row r="1311" spans="1:5" ht="13.5" customHeight="1">
      <c r="A1311" s="69"/>
      <c r="B1311" s="75"/>
      <c r="C1311" s="79"/>
      <c r="D1311" s="79"/>
      <c r="E1311" s="71">
        <f t="shared" si="21"/>
        <v>0</v>
      </c>
    </row>
    <row r="1312" spans="1:5" ht="13.5" customHeight="1">
      <c r="A1312" s="69"/>
      <c r="B1312" s="75"/>
      <c r="C1312" s="79"/>
      <c r="D1312" s="79"/>
      <c r="E1312" s="71">
        <f t="shared" si="21"/>
        <v>0</v>
      </c>
    </row>
    <row r="1313" spans="1:5" ht="13.5" customHeight="1">
      <c r="A1313" s="69"/>
      <c r="B1313" s="75"/>
      <c r="C1313" s="79"/>
      <c r="D1313" s="79"/>
      <c r="E1313" s="71">
        <f t="shared" si="21"/>
        <v>0</v>
      </c>
    </row>
    <row r="1314" spans="1:5" ht="13.5" customHeight="1">
      <c r="A1314" s="69"/>
      <c r="B1314" s="75"/>
      <c r="C1314" s="79"/>
      <c r="D1314" s="79"/>
      <c r="E1314" s="71">
        <f t="shared" si="21"/>
        <v>0</v>
      </c>
    </row>
    <row r="1315" spans="1:5" ht="13.5" customHeight="1">
      <c r="A1315" s="69"/>
      <c r="B1315" s="75"/>
      <c r="C1315" s="79"/>
      <c r="D1315" s="79"/>
      <c r="E1315" s="71">
        <f t="shared" si="21"/>
        <v>0</v>
      </c>
    </row>
    <row r="1316" spans="1:5" ht="13.5" customHeight="1">
      <c r="A1316" s="69"/>
      <c r="B1316" s="75"/>
      <c r="C1316" s="79"/>
      <c r="D1316" s="79"/>
      <c r="E1316" s="71">
        <f t="shared" si="21"/>
        <v>0</v>
      </c>
    </row>
    <row r="1317" spans="1:5" ht="13.5" customHeight="1">
      <c r="A1317" s="69"/>
      <c r="B1317" s="75"/>
      <c r="C1317" s="79"/>
      <c r="D1317" s="79"/>
      <c r="E1317" s="71">
        <f t="shared" si="21"/>
        <v>0</v>
      </c>
    </row>
    <row r="1318" spans="1:5" ht="13.5" customHeight="1">
      <c r="A1318" s="69"/>
      <c r="B1318" s="75"/>
      <c r="C1318" s="79"/>
      <c r="D1318" s="79"/>
      <c r="E1318" s="71">
        <f t="shared" si="21"/>
        <v>0</v>
      </c>
    </row>
    <row r="1319" spans="1:5" ht="13.5" customHeight="1">
      <c r="A1319" s="69"/>
      <c r="B1319" s="75"/>
      <c r="C1319" s="79"/>
      <c r="D1319" s="79"/>
      <c r="E1319" s="71">
        <f t="shared" si="21"/>
        <v>0</v>
      </c>
    </row>
    <row r="1320" spans="1:5" ht="13.5" customHeight="1">
      <c r="A1320" s="69"/>
      <c r="B1320" s="75"/>
      <c r="C1320" s="79"/>
      <c r="D1320" s="79"/>
      <c r="E1320" s="71">
        <f t="shared" si="21"/>
        <v>0</v>
      </c>
    </row>
    <row r="1321" spans="1:5" ht="13.5" customHeight="1">
      <c r="A1321" s="69"/>
      <c r="B1321" s="75"/>
      <c r="C1321" s="79"/>
      <c r="D1321" s="79"/>
      <c r="E1321" s="71">
        <f t="shared" si="21"/>
        <v>0</v>
      </c>
    </row>
    <row r="1322" spans="1:5" ht="13.5" customHeight="1">
      <c r="A1322" s="69"/>
      <c r="B1322" s="75"/>
      <c r="C1322" s="79"/>
      <c r="D1322" s="79"/>
      <c r="E1322" s="71">
        <f t="shared" si="21"/>
        <v>0</v>
      </c>
    </row>
    <row r="1323" spans="1:5" ht="13.5" customHeight="1">
      <c r="A1323" s="69"/>
      <c r="B1323" s="75"/>
      <c r="C1323" s="79"/>
      <c r="D1323" s="79"/>
      <c r="E1323" s="71">
        <f t="shared" si="21"/>
        <v>0</v>
      </c>
    </row>
    <row r="1324" spans="1:5" ht="13.5" customHeight="1">
      <c r="A1324" s="69"/>
      <c r="B1324" s="75"/>
      <c r="C1324" s="79"/>
      <c r="D1324" s="79"/>
      <c r="E1324" s="71">
        <f t="shared" si="21"/>
        <v>0</v>
      </c>
    </row>
    <row r="1325" spans="1:5" ht="13.5" customHeight="1">
      <c r="A1325" s="69"/>
      <c r="B1325" s="75"/>
      <c r="C1325" s="79"/>
      <c r="D1325" s="79"/>
      <c r="E1325" s="71">
        <f t="shared" si="21"/>
        <v>0</v>
      </c>
    </row>
    <row r="1326" spans="1:5" ht="13.5" customHeight="1">
      <c r="A1326" s="69"/>
      <c r="B1326" s="75"/>
      <c r="C1326" s="79"/>
      <c r="D1326" s="79"/>
      <c r="E1326" s="71">
        <f t="shared" si="21"/>
        <v>0</v>
      </c>
    </row>
    <row r="1327" spans="1:5" ht="13.5" customHeight="1">
      <c r="A1327" s="69"/>
      <c r="B1327" s="75"/>
      <c r="C1327" s="79"/>
      <c r="D1327" s="79"/>
      <c r="E1327" s="71">
        <f t="shared" si="21"/>
        <v>0</v>
      </c>
    </row>
    <row r="1328" spans="1:5" ht="13.5" customHeight="1">
      <c r="A1328" s="69"/>
      <c r="B1328" s="75"/>
      <c r="C1328" s="79"/>
      <c r="D1328" s="79"/>
      <c r="E1328" s="71">
        <f t="shared" si="21"/>
        <v>0</v>
      </c>
    </row>
    <row r="1329" spans="1:5" ht="13.5" customHeight="1">
      <c r="A1329" s="69"/>
      <c r="B1329" s="75"/>
      <c r="C1329" s="79"/>
      <c r="D1329" s="79"/>
      <c r="E1329" s="71">
        <f t="shared" si="21"/>
        <v>0</v>
      </c>
    </row>
    <row r="1330" spans="1:5" ht="13.5" customHeight="1">
      <c r="A1330" s="69"/>
      <c r="B1330" s="75"/>
      <c r="C1330" s="79"/>
      <c r="D1330" s="79"/>
      <c r="E1330" s="71">
        <f t="shared" si="21"/>
        <v>0</v>
      </c>
    </row>
    <row r="1331" spans="1:5" ht="13.5" customHeight="1">
      <c r="A1331" s="69"/>
      <c r="B1331" s="75"/>
      <c r="C1331" s="79"/>
      <c r="D1331" s="79"/>
      <c r="E1331" s="71">
        <f t="shared" si="21"/>
        <v>0</v>
      </c>
    </row>
    <row r="1332" spans="1:5" ht="13.5" customHeight="1">
      <c r="A1332" s="69"/>
      <c r="B1332" s="75"/>
      <c r="C1332" s="79"/>
      <c r="D1332" s="79"/>
      <c r="E1332" s="71">
        <f t="shared" si="21"/>
        <v>0</v>
      </c>
    </row>
    <row r="1333" spans="1:5" ht="13.5" customHeight="1">
      <c r="A1333" s="69"/>
      <c r="B1333" s="75"/>
      <c r="C1333" s="79"/>
      <c r="D1333" s="79"/>
      <c r="E1333" s="71">
        <f t="shared" si="21"/>
        <v>0</v>
      </c>
    </row>
    <row r="1334" spans="1:5" ht="13.5" customHeight="1">
      <c r="A1334" s="69"/>
      <c r="B1334" s="75"/>
      <c r="C1334" s="79"/>
      <c r="D1334" s="79"/>
      <c r="E1334" s="71">
        <f t="shared" si="21"/>
        <v>0</v>
      </c>
    </row>
    <row r="1335" spans="1:5" ht="13.5" customHeight="1">
      <c r="A1335" s="69"/>
      <c r="B1335" s="75"/>
      <c r="C1335" s="79"/>
      <c r="D1335" s="79"/>
      <c r="E1335" s="71">
        <f t="shared" si="21"/>
        <v>0</v>
      </c>
    </row>
    <row r="1336" spans="1:5" ht="13.5" customHeight="1">
      <c r="A1336" s="69"/>
      <c r="B1336" s="75"/>
      <c r="C1336" s="79"/>
      <c r="D1336" s="79"/>
      <c r="E1336" s="71">
        <f t="shared" si="21"/>
        <v>0</v>
      </c>
    </row>
    <row r="1337" spans="1:5" ht="13.5" customHeight="1">
      <c r="A1337" s="69"/>
      <c r="B1337" s="75"/>
      <c r="C1337" s="79"/>
      <c r="D1337" s="79"/>
      <c r="E1337" s="71">
        <f t="shared" si="21"/>
        <v>0</v>
      </c>
    </row>
    <row r="1338" spans="1:5" ht="13.5" customHeight="1">
      <c r="A1338" s="69"/>
      <c r="B1338" s="75"/>
      <c r="C1338" s="79"/>
      <c r="D1338" s="79"/>
      <c r="E1338" s="71">
        <f t="shared" si="21"/>
        <v>0</v>
      </c>
    </row>
    <row r="1339" spans="1:5" ht="13.5" customHeight="1">
      <c r="A1339" s="69"/>
      <c r="B1339" s="75"/>
      <c r="C1339" s="79"/>
      <c r="D1339" s="79"/>
      <c r="E1339" s="71">
        <f t="shared" si="21"/>
        <v>0</v>
      </c>
    </row>
    <row r="1340" spans="1:5" ht="13.5" customHeight="1">
      <c r="A1340" s="69"/>
      <c r="B1340" s="75"/>
      <c r="C1340" s="79"/>
      <c r="D1340" s="79"/>
      <c r="E1340" s="71">
        <f t="shared" si="21"/>
        <v>0</v>
      </c>
    </row>
    <row r="1341" spans="1:5" ht="13.5" customHeight="1">
      <c r="A1341" s="69"/>
      <c r="B1341" s="75"/>
      <c r="C1341" s="79"/>
      <c r="D1341" s="79"/>
      <c r="E1341" s="71">
        <f t="shared" si="21"/>
        <v>0</v>
      </c>
    </row>
    <row r="1342" spans="1:5" ht="13.5" customHeight="1">
      <c r="A1342" s="69"/>
      <c r="B1342" s="75"/>
      <c r="C1342" s="79"/>
      <c r="D1342" s="79"/>
      <c r="E1342" s="71">
        <f t="shared" si="21"/>
        <v>0</v>
      </c>
    </row>
    <row r="1343" spans="1:5" ht="13.5" customHeight="1">
      <c r="A1343" s="69"/>
      <c r="B1343" s="75"/>
      <c r="C1343" s="79"/>
      <c r="D1343" s="79"/>
      <c r="E1343" s="71">
        <f t="shared" si="21"/>
        <v>0</v>
      </c>
    </row>
    <row r="1344" spans="1:5" ht="13.5" customHeight="1">
      <c r="A1344" s="69"/>
      <c r="B1344" s="75"/>
      <c r="C1344" s="79"/>
      <c r="D1344" s="79"/>
      <c r="E1344" s="71">
        <f t="shared" si="21"/>
        <v>0</v>
      </c>
    </row>
    <row r="1345" spans="1:5" ht="13.5" customHeight="1">
      <c r="A1345" s="69"/>
      <c r="B1345" s="75"/>
      <c r="C1345" s="79"/>
      <c r="D1345" s="79"/>
      <c r="E1345" s="71">
        <f t="shared" si="21"/>
        <v>0</v>
      </c>
    </row>
    <row r="1346" spans="1:5" ht="13.5" customHeight="1">
      <c r="A1346" s="69"/>
      <c r="B1346" s="75"/>
      <c r="C1346" s="79"/>
      <c r="D1346" s="79"/>
      <c r="E1346" s="71">
        <f t="shared" ref="E1346:E1409" si="22">+D1346-C1346</f>
        <v>0</v>
      </c>
    </row>
    <row r="1347" spans="1:5" ht="13.5" customHeight="1">
      <c r="A1347" s="69"/>
      <c r="B1347" s="75"/>
      <c r="C1347" s="79"/>
      <c r="D1347" s="79"/>
      <c r="E1347" s="71">
        <f t="shared" si="22"/>
        <v>0</v>
      </c>
    </row>
    <row r="1348" spans="1:5" ht="13.5" customHeight="1">
      <c r="A1348" s="69"/>
      <c r="B1348" s="75"/>
      <c r="C1348" s="79"/>
      <c r="D1348" s="79"/>
      <c r="E1348" s="71">
        <f t="shared" si="22"/>
        <v>0</v>
      </c>
    </row>
    <row r="1349" spans="1:5" ht="13.5" customHeight="1">
      <c r="A1349" s="69"/>
      <c r="B1349" s="75"/>
      <c r="C1349" s="79"/>
      <c r="D1349" s="79"/>
      <c r="E1349" s="71">
        <f t="shared" si="22"/>
        <v>0</v>
      </c>
    </row>
    <row r="1350" spans="1:5" ht="13.5" customHeight="1">
      <c r="A1350" s="69"/>
      <c r="B1350" s="75"/>
      <c r="C1350" s="79"/>
      <c r="D1350" s="79"/>
      <c r="E1350" s="71">
        <f t="shared" si="22"/>
        <v>0</v>
      </c>
    </row>
    <row r="1351" spans="1:5" ht="13.5" customHeight="1">
      <c r="A1351" s="69"/>
      <c r="B1351" s="75"/>
      <c r="C1351" s="79"/>
      <c r="D1351" s="79"/>
      <c r="E1351" s="71">
        <f t="shared" si="22"/>
        <v>0</v>
      </c>
    </row>
    <row r="1352" spans="1:5" ht="13.5" customHeight="1">
      <c r="A1352" s="69"/>
      <c r="B1352" s="75"/>
      <c r="C1352" s="79"/>
      <c r="D1352" s="79"/>
      <c r="E1352" s="71">
        <f t="shared" si="22"/>
        <v>0</v>
      </c>
    </row>
    <row r="1353" spans="1:5" ht="13.5" customHeight="1">
      <c r="A1353" s="69"/>
      <c r="B1353" s="75"/>
      <c r="C1353" s="79"/>
      <c r="D1353" s="79"/>
      <c r="E1353" s="71">
        <f t="shared" si="22"/>
        <v>0</v>
      </c>
    </row>
    <row r="1354" spans="1:5" ht="13.5" customHeight="1">
      <c r="A1354" s="69"/>
      <c r="B1354" s="75"/>
      <c r="C1354" s="79"/>
      <c r="D1354" s="79"/>
      <c r="E1354" s="71">
        <f t="shared" si="22"/>
        <v>0</v>
      </c>
    </row>
    <row r="1355" spans="1:5" ht="13.5" customHeight="1">
      <c r="A1355" s="69"/>
      <c r="B1355" s="75"/>
      <c r="C1355" s="79"/>
      <c r="D1355" s="79"/>
      <c r="E1355" s="71">
        <f t="shared" si="22"/>
        <v>0</v>
      </c>
    </row>
    <row r="1356" spans="1:5" ht="13.5" customHeight="1">
      <c r="A1356" s="69"/>
      <c r="B1356" s="75"/>
      <c r="C1356" s="79"/>
      <c r="D1356" s="79"/>
      <c r="E1356" s="71">
        <f t="shared" si="22"/>
        <v>0</v>
      </c>
    </row>
    <row r="1357" spans="1:5" ht="13.5" customHeight="1">
      <c r="A1357" s="69"/>
      <c r="B1357" s="75"/>
      <c r="C1357" s="79"/>
      <c r="D1357" s="79"/>
      <c r="E1357" s="71">
        <f t="shared" si="22"/>
        <v>0</v>
      </c>
    </row>
    <row r="1358" spans="1:5" ht="13.5" customHeight="1">
      <c r="A1358" s="69"/>
      <c r="B1358" s="75"/>
      <c r="C1358" s="79"/>
      <c r="D1358" s="79"/>
      <c r="E1358" s="71">
        <f t="shared" si="22"/>
        <v>0</v>
      </c>
    </row>
    <row r="1359" spans="1:5" ht="13.5" customHeight="1">
      <c r="A1359" s="69"/>
      <c r="B1359" s="75"/>
      <c r="C1359" s="79"/>
      <c r="D1359" s="79"/>
      <c r="E1359" s="71">
        <f t="shared" si="22"/>
        <v>0</v>
      </c>
    </row>
    <row r="1360" spans="1:5" ht="13.5" customHeight="1">
      <c r="A1360" s="69"/>
      <c r="B1360" s="75"/>
      <c r="C1360" s="79"/>
      <c r="D1360" s="79"/>
      <c r="E1360" s="71">
        <f t="shared" si="22"/>
        <v>0</v>
      </c>
    </row>
    <row r="1361" spans="1:5" ht="13.5" customHeight="1">
      <c r="A1361" s="69"/>
      <c r="B1361" s="75"/>
      <c r="C1361" s="79"/>
      <c r="D1361" s="79"/>
      <c r="E1361" s="71">
        <f t="shared" si="22"/>
        <v>0</v>
      </c>
    </row>
    <row r="1362" spans="1:5" ht="13.5" customHeight="1">
      <c r="A1362" s="69"/>
      <c r="B1362" s="75"/>
      <c r="C1362" s="79"/>
      <c r="D1362" s="79"/>
      <c r="E1362" s="71">
        <f t="shared" si="22"/>
        <v>0</v>
      </c>
    </row>
    <row r="1363" spans="1:5" ht="13.5" customHeight="1">
      <c r="A1363" s="69"/>
      <c r="B1363" s="75"/>
      <c r="C1363" s="79"/>
      <c r="D1363" s="79"/>
      <c r="E1363" s="71">
        <f t="shared" si="22"/>
        <v>0</v>
      </c>
    </row>
    <row r="1364" spans="1:5" ht="13.5" customHeight="1">
      <c r="A1364" s="69"/>
      <c r="B1364" s="75"/>
      <c r="C1364" s="79"/>
      <c r="D1364" s="79"/>
      <c r="E1364" s="71">
        <f t="shared" si="22"/>
        <v>0</v>
      </c>
    </row>
    <row r="1365" spans="1:5" ht="13.5" customHeight="1">
      <c r="A1365" s="69"/>
      <c r="B1365" s="75"/>
      <c r="C1365" s="79"/>
      <c r="D1365" s="79"/>
      <c r="E1365" s="71">
        <f t="shared" si="22"/>
        <v>0</v>
      </c>
    </row>
    <row r="1366" spans="1:5" ht="13.5" customHeight="1">
      <c r="A1366" s="69"/>
      <c r="B1366" s="75"/>
      <c r="C1366" s="79"/>
      <c r="D1366" s="79"/>
      <c r="E1366" s="71">
        <f t="shared" si="22"/>
        <v>0</v>
      </c>
    </row>
    <row r="1367" spans="1:5" ht="13.5" customHeight="1">
      <c r="A1367" s="69"/>
      <c r="B1367" s="75"/>
      <c r="C1367" s="79"/>
      <c r="D1367" s="79"/>
      <c r="E1367" s="71">
        <f t="shared" si="22"/>
        <v>0</v>
      </c>
    </row>
    <row r="1368" spans="1:5" ht="13.5" customHeight="1">
      <c r="A1368" s="69"/>
      <c r="B1368" s="75"/>
      <c r="C1368" s="79"/>
      <c r="D1368" s="79"/>
      <c r="E1368" s="71">
        <f t="shared" si="22"/>
        <v>0</v>
      </c>
    </row>
    <row r="1369" spans="1:5" ht="13.5" customHeight="1">
      <c r="A1369" s="69"/>
      <c r="B1369" s="75"/>
      <c r="C1369" s="79"/>
      <c r="D1369" s="79"/>
      <c r="E1369" s="71">
        <f t="shared" si="22"/>
        <v>0</v>
      </c>
    </row>
    <row r="1370" spans="1:5" ht="13.5" customHeight="1">
      <c r="A1370" s="69"/>
      <c r="B1370" s="75"/>
      <c r="C1370" s="79"/>
      <c r="D1370" s="79"/>
      <c r="E1370" s="71">
        <f t="shared" si="22"/>
        <v>0</v>
      </c>
    </row>
    <row r="1371" spans="1:5" ht="13.5" customHeight="1">
      <c r="A1371" s="69"/>
      <c r="B1371" s="75"/>
      <c r="C1371" s="79"/>
      <c r="D1371" s="79"/>
      <c r="E1371" s="71">
        <f t="shared" si="22"/>
        <v>0</v>
      </c>
    </row>
    <row r="1372" spans="1:5" ht="13.5" customHeight="1">
      <c r="A1372" s="69"/>
      <c r="B1372" s="75"/>
      <c r="C1372" s="79"/>
      <c r="D1372" s="79"/>
      <c r="E1372" s="71">
        <f t="shared" si="22"/>
        <v>0</v>
      </c>
    </row>
    <row r="1373" spans="1:5" ht="13.5" customHeight="1">
      <c r="A1373" s="69"/>
      <c r="B1373" s="75"/>
      <c r="C1373" s="79"/>
      <c r="D1373" s="79"/>
      <c r="E1373" s="71">
        <f t="shared" si="22"/>
        <v>0</v>
      </c>
    </row>
    <row r="1374" spans="1:5" ht="13.5" customHeight="1">
      <c r="A1374" s="69"/>
      <c r="B1374" s="75"/>
      <c r="C1374" s="79"/>
      <c r="D1374" s="79"/>
      <c r="E1374" s="71">
        <f t="shared" si="22"/>
        <v>0</v>
      </c>
    </row>
    <row r="1375" spans="1:5" ht="13.5" customHeight="1">
      <c r="A1375" s="69"/>
      <c r="B1375" s="75"/>
      <c r="C1375" s="79"/>
      <c r="D1375" s="79"/>
      <c r="E1375" s="71">
        <f t="shared" si="22"/>
        <v>0</v>
      </c>
    </row>
    <row r="1376" spans="1:5" ht="13.5" customHeight="1">
      <c r="A1376" s="69"/>
      <c r="B1376" s="75"/>
      <c r="C1376" s="79"/>
      <c r="D1376" s="79"/>
      <c r="E1376" s="71">
        <f t="shared" si="22"/>
        <v>0</v>
      </c>
    </row>
    <row r="1377" spans="1:5" ht="13.5" customHeight="1">
      <c r="A1377" s="69"/>
      <c r="B1377" s="75"/>
      <c r="C1377" s="79"/>
      <c r="D1377" s="79"/>
      <c r="E1377" s="71">
        <f t="shared" si="22"/>
        <v>0</v>
      </c>
    </row>
    <row r="1378" spans="1:5" ht="13.5" customHeight="1">
      <c r="A1378" s="69"/>
      <c r="B1378" s="75"/>
      <c r="C1378" s="79"/>
      <c r="D1378" s="79"/>
      <c r="E1378" s="71">
        <f t="shared" si="22"/>
        <v>0</v>
      </c>
    </row>
    <row r="1379" spans="1:5" ht="13.5" customHeight="1">
      <c r="A1379" s="69"/>
      <c r="B1379" s="75"/>
      <c r="C1379" s="79"/>
      <c r="D1379" s="79"/>
      <c r="E1379" s="71">
        <f t="shared" si="22"/>
        <v>0</v>
      </c>
    </row>
    <row r="1380" spans="1:5" ht="13.5" customHeight="1">
      <c r="A1380" s="69"/>
      <c r="B1380" s="75"/>
      <c r="C1380" s="79"/>
      <c r="D1380" s="79"/>
      <c r="E1380" s="71">
        <f t="shared" si="22"/>
        <v>0</v>
      </c>
    </row>
    <row r="1381" spans="1:5" ht="13.5" customHeight="1">
      <c r="A1381" s="69"/>
      <c r="B1381" s="75"/>
      <c r="C1381" s="79"/>
      <c r="D1381" s="79"/>
      <c r="E1381" s="71">
        <f t="shared" si="22"/>
        <v>0</v>
      </c>
    </row>
    <row r="1382" spans="1:5" ht="13.5" customHeight="1">
      <c r="A1382" s="69"/>
      <c r="B1382" s="75"/>
      <c r="C1382" s="79"/>
      <c r="D1382" s="79"/>
      <c r="E1382" s="71">
        <f t="shared" si="22"/>
        <v>0</v>
      </c>
    </row>
    <row r="1383" spans="1:5" ht="13.5" customHeight="1">
      <c r="A1383" s="69"/>
      <c r="B1383" s="75"/>
      <c r="C1383" s="79"/>
      <c r="D1383" s="79"/>
      <c r="E1383" s="71">
        <f t="shared" si="22"/>
        <v>0</v>
      </c>
    </row>
    <row r="1384" spans="1:5" ht="13.5" customHeight="1">
      <c r="A1384" s="69"/>
      <c r="B1384" s="75"/>
      <c r="C1384" s="79"/>
      <c r="D1384" s="79"/>
      <c r="E1384" s="71">
        <f t="shared" si="22"/>
        <v>0</v>
      </c>
    </row>
    <row r="1385" spans="1:5" ht="13.5" customHeight="1">
      <c r="A1385" s="69"/>
      <c r="B1385" s="75"/>
      <c r="C1385" s="79"/>
      <c r="D1385" s="79"/>
      <c r="E1385" s="71">
        <f t="shared" si="22"/>
        <v>0</v>
      </c>
    </row>
    <row r="1386" spans="1:5" ht="13.5" customHeight="1">
      <c r="A1386" s="69"/>
      <c r="B1386" s="75"/>
      <c r="C1386" s="79"/>
      <c r="D1386" s="79"/>
      <c r="E1386" s="71">
        <f t="shared" si="22"/>
        <v>0</v>
      </c>
    </row>
    <row r="1387" spans="1:5" ht="13.5" customHeight="1">
      <c r="A1387" s="69"/>
      <c r="B1387" s="75"/>
      <c r="C1387" s="79"/>
      <c r="D1387" s="79"/>
      <c r="E1387" s="71">
        <f t="shared" si="22"/>
        <v>0</v>
      </c>
    </row>
    <row r="1388" spans="1:5" ht="13.5" customHeight="1">
      <c r="A1388" s="69"/>
      <c r="B1388" s="75"/>
      <c r="C1388" s="79"/>
      <c r="D1388" s="79"/>
      <c r="E1388" s="71">
        <f t="shared" si="22"/>
        <v>0</v>
      </c>
    </row>
    <row r="1389" spans="1:5" ht="13.5" customHeight="1">
      <c r="A1389" s="69"/>
      <c r="B1389" s="75"/>
      <c r="C1389" s="79"/>
      <c r="D1389" s="79"/>
      <c r="E1389" s="71">
        <f t="shared" si="22"/>
        <v>0</v>
      </c>
    </row>
    <row r="1390" spans="1:5" ht="13.5" customHeight="1">
      <c r="A1390" s="69"/>
      <c r="B1390" s="75"/>
      <c r="C1390" s="79"/>
      <c r="D1390" s="79"/>
      <c r="E1390" s="71">
        <f t="shared" si="22"/>
        <v>0</v>
      </c>
    </row>
    <row r="1391" spans="1:5" ht="13.5" customHeight="1">
      <c r="A1391" s="69"/>
      <c r="B1391" s="75"/>
      <c r="C1391" s="79"/>
      <c r="D1391" s="79"/>
      <c r="E1391" s="71">
        <f t="shared" si="22"/>
        <v>0</v>
      </c>
    </row>
    <row r="1392" spans="1:5" ht="13.5" customHeight="1">
      <c r="A1392" s="69"/>
      <c r="B1392" s="75"/>
      <c r="C1392" s="79"/>
      <c r="D1392" s="79"/>
      <c r="E1392" s="71">
        <f t="shared" si="22"/>
        <v>0</v>
      </c>
    </row>
    <row r="1393" spans="1:5" ht="13.5" customHeight="1">
      <c r="A1393" s="69"/>
      <c r="B1393" s="75"/>
      <c r="C1393" s="79"/>
      <c r="D1393" s="79"/>
      <c r="E1393" s="71">
        <f t="shared" si="22"/>
        <v>0</v>
      </c>
    </row>
    <row r="1394" spans="1:5" ht="13.5" customHeight="1">
      <c r="A1394" s="69"/>
      <c r="B1394" s="75"/>
      <c r="C1394" s="79"/>
      <c r="D1394" s="79"/>
      <c r="E1394" s="71">
        <f t="shared" si="22"/>
        <v>0</v>
      </c>
    </row>
    <row r="1395" spans="1:5" ht="13.5" customHeight="1">
      <c r="A1395" s="69"/>
      <c r="B1395" s="75"/>
      <c r="C1395" s="79"/>
      <c r="D1395" s="79"/>
      <c r="E1395" s="71">
        <f t="shared" si="22"/>
        <v>0</v>
      </c>
    </row>
    <row r="1396" spans="1:5" ht="13.5" customHeight="1">
      <c r="A1396" s="69"/>
      <c r="B1396" s="75"/>
      <c r="C1396" s="79"/>
      <c r="D1396" s="79"/>
      <c r="E1396" s="71">
        <f t="shared" si="22"/>
        <v>0</v>
      </c>
    </row>
    <row r="1397" spans="1:5" ht="13.5" customHeight="1">
      <c r="A1397" s="69"/>
      <c r="B1397" s="75"/>
      <c r="C1397" s="79"/>
      <c r="D1397" s="79"/>
      <c r="E1397" s="71">
        <f t="shared" si="22"/>
        <v>0</v>
      </c>
    </row>
    <row r="1398" spans="1:5" ht="13.5" customHeight="1">
      <c r="A1398" s="69"/>
      <c r="B1398" s="75"/>
      <c r="C1398" s="79"/>
      <c r="D1398" s="79"/>
      <c r="E1398" s="71">
        <f t="shared" si="22"/>
        <v>0</v>
      </c>
    </row>
    <row r="1399" spans="1:5" ht="13.5" customHeight="1">
      <c r="A1399" s="69"/>
      <c r="B1399" s="75"/>
      <c r="C1399" s="79"/>
      <c r="D1399" s="79"/>
      <c r="E1399" s="71">
        <f t="shared" si="22"/>
        <v>0</v>
      </c>
    </row>
    <row r="1400" spans="1:5" ht="13.5" customHeight="1">
      <c r="A1400" s="69"/>
      <c r="B1400" s="75"/>
      <c r="C1400" s="79"/>
      <c r="D1400" s="79"/>
      <c r="E1400" s="71">
        <f t="shared" si="22"/>
        <v>0</v>
      </c>
    </row>
    <row r="1401" spans="1:5" ht="13.5" customHeight="1">
      <c r="A1401" s="69"/>
      <c r="B1401" s="75"/>
      <c r="C1401" s="79"/>
      <c r="D1401" s="79"/>
      <c r="E1401" s="71">
        <f t="shared" si="22"/>
        <v>0</v>
      </c>
    </row>
    <row r="1402" spans="1:5" ht="13.5" customHeight="1">
      <c r="A1402" s="69"/>
      <c r="B1402" s="75"/>
      <c r="C1402" s="79"/>
      <c r="D1402" s="79"/>
      <c r="E1402" s="71">
        <f t="shared" si="22"/>
        <v>0</v>
      </c>
    </row>
    <row r="1403" spans="1:5" ht="13.5" customHeight="1">
      <c r="A1403" s="69"/>
      <c r="B1403" s="75"/>
      <c r="C1403" s="79"/>
      <c r="D1403" s="79"/>
      <c r="E1403" s="71">
        <f t="shared" si="22"/>
        <v>0</v>
      </c>
    </row>
    <row r="1404" spans="1:5" ht="13.5" customHeight="1">
      <c r="A1404" s="69"/>
      <c r="B1404" s="75"/>
      <c r="C1404" s="79"/>
      <c r="D1404" s="79"/>
      <c r="E1404" s="71">
        <f t="shared" si="22"/>
        <v>0</v>
      </c>
    </row>
    <row r="1405" spans="1:5" ht="13.5" customHeight="1">
      <c r="A1405" s="69"/>
      <c r="B1405" s="75"/>
      <c r="C1405" s="79"/>
      <c r="D1405" s="79"/>
      <c r="E1405" s="71">
        <f t="shared" si="22"/>
        <v>0</v>
      </c>
    </row>
    <row r="1406" spans="1:5" ht="13.5" customHeight="1">
      <c r="A1406" s="69"/>
      <c r="B1406" s="75"/>
      <c r="C1406" s="79"/>
      <c r="D1406" s="79"/>
      <c r="E1406" s="71">
        <f t="shared" si="22"/>
        <v>0</v>
      </c>
    </row>
    <row r="1407" spans="1:5" ht="13.5" customHeight="1">
      <c r="A1407" s="69"/>
      <c r="B1407" s="75"/>
      <c r="C1407" s="79"/>
      <c r="D1407" s="79"/>
      <c r="E1407" s="71">
        <f t="shared" si="22"/>
        <v>0</v>
      </c>
    </row>
    <row r="1408" spans="1:5" ht="13.5" customHeight="1">
      <c r="A1408" s="69"/>
      <c r="B1408" s="75"/>
      <c r="C1408" s="79"/>
      <c r="D1408" s="79"/>
      <c r="E1408" s="71">
        <f t="shared" si="22"/>
        <v>0</v>
      </c>
    </row>
    <row r="1409" spans="1:5" ht="13.5" customHeight="1">
      <c r="A1409" s="69"/>
      <c r="B1409" s="75"/>
      <c r="C1409" s="79"/>
      <c r="D1409" s="79"/>
      <c r="E1409" s="71">
        <f t="shared" si="22"/>
        <v>0</v>
      </c>
    </row>
    <row r="1410" spans="1:5" ht="13.5" customHeight="1">
      <c r="A1410" s="69"/>
      <c r="B1410" s="75"/>
      <c r="C1410" s="79"/>
      <c r="D1410" s="79"/>
      <c r="E1410" s="71">
        <f t="shared" ref="E1410:E1445" si="23">+D1410-C1410</f>
        <v>0</v>
      </c>
    </row>
    <row r="1411" spans="1:5" ht="13.5" customHeight="1">
      <c r="A1411" s="69"/>
      <c r="B1411" s="75"/>
      <c r="C1411" s="79"/>
      <c r="D1411" s="79"/>
      <c r="E1411" s="71">
        <f t="shared" si="23"/>
        <v>0</v>
      </c>
    </row>
    <row r="1412" spans="1:5" ht="13.5" customHeight="1">
      <c r="A1412" s="69"/>
      <c r="B1412" s="75"/>
      <c r="C1412" s="79"/>
      <c r="D1412" s="79"/>
      <c r="E1412" s="71">
        <f t="shared" si="23"/>
        <v>0</v>
      </c>
    </row>
    <row r="1413" spans="1:5" ht="13.5" customHeight="1">
      <c r="A1413" s="69"/>
      <c r="B1413" s="75"/>
      <c r="C1413" s="79"/>
      <c r="D1413" s="79"/>
      <c r="E1413" s="71">
        <f t="shared" si="23"/>
        <v>0</v>
      </c>
    </row>
    <row r="1414" spans="1:5" ht="13.5" customHeight="1">
      <c r="A1414" s="69"/>
      <c r="B1414" s="75"/>
      <c r="C1414" s="79"/>
      <c r="D1414" s="79"/>
      <c r="E1414" s="71">
        <f t="shared" si="23"/>
        <v>0</v>
      </c>
    </row>
    <row r="1415" spans="1:5" ht="13.5" customHeight="1">
      <c r="A1415" s="69"/>
      <c r="B1415" s="75"/>
      <c r="C1415" s="79"/>
      <c r="D1415" s="79"/>
      <c r="E1415" s="71">
        <f t="shared" si="23"/>
        <v>0</v>
      </c>
    </row>
    <row r="1416" spans="1:5" ht="13.5" customHeight="1">
      <c r="A1416" s="69"/>
      <c r="B1416" s="75"/>
      <c r="C1416" s="79"/>
      <c r="D1416" s="79"/>
      <c r="E1416" s="71">
        <f t="shared" si="23"/>
        <v>0</v>
      </c>
    </row>
    <row r="1417" spans="1:5" ht="13.5" customHeight="1">
      <c r="A1417" s="69"/>
      <c r="B1417" s="75"/>
      <c r="C1417" s="79"/>
      <c r="D1417" s="79"/>
      <c r="E1417" s="71">
        <f t="shared" si="23"/>
        <v>0</v>
      </c>
    </row>
    <row r="1418" spans="1:5" ht="13.5" customHeight="1">
      <c r="A1418" s="69"/>
      <c r="B1418" s="75"/>
      <c r="C1418" s="79"/>
      <c r="D1418" s="79"/>
      <c r="E1418" s="71">
        <f t="shared" si="23"/>
        <v>0</v>
      </c>
    </row>
    <row r="1419" spans="1:5" ht="13.5" customHeight="1">
      <c r="A1419" s="69"/>
      <c r="B1419" s="75"/>
      <c r="C1419" s="79"/>
      <c r="D1419" s="79"/>
      <c r="E1419" s="71">
        <f t="shared" si="23"/>
        <v>0</v>
      </c>
    </row>
    <row r="1420" spans="1:5" ht="13.5" customHeight="1">
      <c r="A1420" s="69"/>
      <c r="B1420" s="75"/>
      <c r="C1420" s="79"/>
      <c r="D1420" s="79"/>
      <c r="E1420" s="71">
        <f t="shared" si="23"/>
        <v>0</v>
      </c>
    </row>
    <row r="1421" spans="1:5" ht="13.5" customHeight="1">
      <c r="A1421" s="69"/>
      <c r="B1421" s="75"/>
      <c r="C1421" s="79"/>
      <c r="D1421" s="79"/>
      <c r="E1421" s="71">
        <f t="shared" si="23"/>
        <v>0</v>
      </c>
    </row>
    <row r="1422" spans="1:5" ht="13.5" customHeight="1">
      <c r="A1422" s="69"/>
      <c r="B1422" s="75"/>
      <c r="C1422" s="79"/>
      <c r="D1422" s="79"/>
      <c r="E1422" s="71">
        <f t="shared" si="23"/>
        <v>0</v>
      </c>
    </row>
    <row r="1423" spans="1:5" ht="13.5" customHeight="1">
      <c r="A1423" s="69"/>
      <c r="B1423" s="75"/>
      <c r="C1423" s="79"/>
      <c r="D1423" s="79"/>
      <c r="E1423" s="71">
        <f t="shared" si="23"/>
        <v>0</v>
      </c>
    </row>
    <row r="1424" spans="1:5" ht="13.5" customHeight="1">
      <c r="A1424" s="69"/>
      <c r="B1424" s="75"/>
      <c r="C1424" s="79"/>
      <c r="D1424" s="79"/>
      <c r="E1424" s="71">
        <f t="shared" si="23"/>
        <v>0</v>
      </c>
    </row>
    <row r="1425" spans="1:5" ht="13.5" customHeight="1">
      <c r="A1425" s="69"/>
      <c r="B1425" s="75"/>
      <c r="C1425" s="79"/>
      <c r="D1425" s="79"/>
      <c r="E1425" s="71">
        <f t="shared" si="23"/>
        <v>0</v>
      </c>
    </row>
    <row r="1426" spans="1:5" ht="13.5" customHeight="1">
      <c r="A1426" s="69"/>
      <c r="B1426" s="75"/>
      <c r="C1426" s="79"/>
      <c r="D1426" s="79"/>
      <c r="E1426" s="71">
        <f t="shared" si="23"/>
        <v>0</v>
      </c>
    </row>
    <row r="1427" spans="1:5" ht="13.5" customHeight="1">
      <c r="A1427" s="69"/>
      <c r="B1427" s="75"/>
      <c r="C1427" s="79"/>
      <c r="D1427" s="79"/>
      <c r="E1427" s="71">
        <f t="shared" si="23"/>
        <v>0</v>
      </c>
    </row>
    <row r="1428" spans="1:5" ht="13.5" customHeight="1">
      <c r="A1428" s="69"/>
      <c r="B1428" s="75"/>
      <c r="C1428" s="79"/>
      <c r="D1428" s="79"/>
      <c r="E1428" s="71">
        <f t="shared" si="23"/>
        <v>0</v>
      </c>
    </row>
    <row r="1429" spans="1:5" ht="13.5" customHeight="1">
      <c r="A1429" s="69"/>
      <c r="B1429" s="75"/>
      <c r="C1429" s="79"/>
      <c r="D1429" s="79"/>
      <c r="E1429" s="71">
        <f t="shared" si="23"/>
        <v>0</v>
      </c>
    </row>
    <row r="1430" spans="1:5" ht="13.5" customHeight="1">
      <c r="A1430" s="69"/>
      <c r="B1430" s="75"/>
      <c r="C1430" s="79"/>
      <c r="D1430" s="79"/>
      <c r="E1430" s="71">
        <f t="shared" si="23"/>
        <v>0</v>
      </c>
    </row>
    <row r="1431" spans="1:5" ht="13.5" customHeight="1">
      <c r="A1431" s="69"/>
      <c r="B1431" s="75"/>
      <c r="C1431" s="79"/>
      <c r="D1431" s="79"/>
      <c r="E1431" s="71">
        <f t="shared" si="23"/>
        <v>0</v>
      </c>
    </row>
    <row r="1432" spans="1:5" ht="13.5" customHeight="1">
      <c r="A1432" s="69"/>
      <c r="B1432" s="144"/>
      <c r="C1432" s="79"/>
      <c r="D1432" s="79"/>
      <c r="E1432" s="71">
        <f t="shared" si="23"/>
        <v>0</v>
      </c>
    </row>
    <row r="1433" spans="1:5" ht="13.5" customHeight="1">
      <c r="A1433" s="69"/>
      <c r="B1433" s="144"/>
      <c r="C1433" s="79"/>
      <c r="D1433" s="79"/>
      <c r="E1433" s="71">
        <f t="shared" si="23"/>
        <v>0</v>
      </c>
    </row>
    <row r="1434" spans="1:5" ht="13.5" customHeight="1">
      <c r="A1434" s="69"/>
      <c r="B1434" s="144"/>
      <c r="C1434" s="79"/>
      <c r="D1434" s="79"/>
      <c r="E1434" s="71">
        <f t="shared" si="23"/>
        <v>0</v>
      </c>
    </row>
    <row r="1435" spans="1:5" ht="13.5" customHeight="1">
      <c r="A1435" s="69"/>
      <c r="B1435" s="75"/>
      <c r="C1435" s="79"/>
      <c r="D1435" s="79"/>
      <c r="E1435" s="71">
        <f t="shared" si="23"/>
        <v>0</v>
      </c>
    </row>
    <row r="1436" spans="1:5" ht="13.5" customHeight="1">
      <c r="A1436" s="69"/>
      <c r="B1436" s="75"/>
      <c r="C1436" s="79"/>
      <c r="D1436" s="79"/>
      <c r="E1436" s="71">
        <f t="shared" si="23"/>
        <v>0</v>
      </c>
    </row>
    <row r="1437" spans="1:5" ht="13.5" customHeight="1">
      <c r="A1437" s="69"/>
      <c r="B1437" s="75"/>
      <c r="C1437" s="79"/>
      <c r="D1437" s="79"/>
      <c r="E1437" s="71">
        <f t="shared" si="23"/>
        <v>0</v>
      </c>
    </row>
    <row r="1438" spans="1:5" ht="13.5" customHeight="1">
      <c r="A1438" s="69"/>
      <c r="B1438" s="75"/>
      <c r="C1438" s="79"/>
      <c r="D1438" s="79"/>
      <c r="E1438" s="71">
        <f t="shared" si="23"/>
        <v>0</v>
      </c>
    </row>
    <row r="1439" spans="1:5" ht="13.5" customHeight="1">
      <c r="A1439" s="69"/>
      <c r="B1439" s="75"/>
      <c r="C1439" s="79"/>
      <c r="D1439" s="79"/>
      <c r="E1439" s="71">
        <f t="shared" si="23"/>
        <v>0</v>
      </c>
    </row>
    <row r="1440" spans="1:5" ht="13.5" customHeight="1">
      <c r="A1440" s="69"/>
      <c r="B1440" s="75"/>
      <c r="C1440" s="79"/>
      <c r="D1440" s="79"/>
      <c r="E1440" s="71">
        <f t="shared" si="23"/>
        <v>0</v>
      </c>
    </row>
    <row r="1441" spans="1:5" ht="13.5" customHeight="1">
      <c r="A1441" s="69"/>
      <c r="B1441" s="75"/>
      <c r="C1441" s="79"/>
      <c r="D1441" s="79"/>
      <c r="E1441" s="71">
        <f t="shared" si="23"/>
        <v>0</v>
      </c>
    </row>
    <row r="1442" spans="1:5" ht="13.5" customHeight="1">
      <c r="A1442" s="69"/>
      <c r="B1442" s="75"/>
      <c r="C1442" s="79"/>
      <c r="D1442" s="79"/>
      <c r="E1442" s="71">
        <f t="shared" si="23"/>
        <v>0</v>
      </c>
    </row>
    <row r="1443" spans="1:5" ht="13.5" customHeight="1">
      <c r="A1443" s="69"/>
      <c r="B1443" s="75"/>
      <c r="C1443" s="79"/>
      <c r="D1443" s="79"/>
      <c r="E1443" s="71">
        <f t="shared" si="23"/>
        <v>0</v>
      </c>
    </row>
    <row r="1444" spans="1:5" ht="13.5" customHeight="1">
      <c r="A1444" s="69"/>
      <c r="B1444" s="75"/>
      <c r="C1444" s="79"/>
      <c r="D1444" s="79"/>
      <c r="E1444" s="71">
        <f t="shared" si="23"/>
        <v>0</v>
      </c>
    </row>
    <row r="1445" spans="1:5" ht="12.95">
      <c r="A1445" s="69"/>
      <c r="B1445" s="75"/>
      <c r="C1445" s="79"/>
      <c r="D1445" s="79"/>
      <c r="E1445" s="71">
        <f t="shared" si="23"/>
        <v>0</v>
      </c>
    </row>
    <row r="1446" spans="1:5" ht="12.75" customHeight="1">
      <c r="A1446" s="69"/>
      <c r="B1446" s="77"/>
      <c r="C1446" s="71">
        <f>SUM(C2:C1445)</f>
        <v>4174281</v>
      </c>
      <c r="D1446" s="71">
        <f>SUM(D2:D1445)</f>
        <v>6919000</v>
      </c>
      <c r="E1446" s="71">
        <f>SUM(E2:E1445)</f>
        <v>2744719</v>
      </c>
    </row>
    <row r="1447" spans="1:5" ht="12.75" customHeight="1">
      <c r="A1447" s="33"/>
      <c r="B1447" s="34"/>
      <c r="C1447" s="38"/>
      <c r="D1447" s="38"/>
      <c r="E1447" s="24"/>
    </row>
    <row r="1448" spans="1:5" ht="12.75" customHeight="1">
      <c r="A1448" s="33"/>
      <c r="B1448" s="34"/>
      <c r="C1448" s="38"/>
      <c r="D1448" s="38"/>
      <c r="E1448" s="24"/>
    </row>
    <row r="1449" spans="1:5" ht="12.75" customHeight="1">
      <c r="A1449" s="33"/>
      <c r="B1449" s="34"/>
      <c r="C1449" s="38"/>
      <c r="D1449" s="38"/>
      <c r="E1449" s="24"/>
    </row>
    <row r="1450" spans="1:5" ht="12.75" customHeight="1">
      <c r="A1450" s="33"/>
      <c r="B1450" s="34"/>
      <c r="C1450" s="38"/>
      <c r="D1450" s="38"/>
      <c r="E1450" s="24"/>
    </row>
    <row r="1451" spans="1:5" ht="12.75" customHeight="1">
      <c r="A1451" s="33"/>
      <c r="B1451" s="34"/>
      <c r="C1451" s="38"/>
      <c r="D1451" s="38"/>
      <c r="E1451" s="24"/>
    </row>
    <row r="1452" spans="1:5" ht="12.75" customHeight="1">
      <c r="A1452" s="33"/>
      <c r="B1452" s="34"/>
      <c r="C1452" s="38"/>
      <c r="D1452" s="38"/>
      <c r="E1452" s="24"/>
    </row>
    <row r="1453" spans="1:5" ht="12.75" customHeight="1">
      <c r="A1453" s="33"/>
      <c r="B1453" s="34"/>
      <c r="C1453" s="38"/>
      <c r="D1453" s="38"/>
      <c r="E1453" s="24"/>
    </row>
    <row r="1454" spans="1:5" ht="12.75" customHeight="1">
      <c r="A1454" s="33"/>
      <c r="B1454" s="34"/>
      <c r="C1454" s="38"/>
      <c r="D1454" s="38"/>
      <c r="E1454" s="24"/>
    </row>
    <row r="1455" spans="1:5" ht="12.75" customHeight="1">
      <c r="A1455" s="33"/>
      <c r="B1455" s="34"/>
      <c r="C1455" s="38"/>
      <c r="D1455" s="38"/>
      <c r="E1455" s="24"/>
    </row>
    <row r="1456" spans="1:5" ht="12.75" customHeight="1">
      <c r="A1456" s="33"/>
      <c r="B1456" s="34"/>
      <c r="C1456" s="38"/>
      <c r="D1456" s="38"/>
      <c r="E1456" s="24"/>
    </row>
    <row r="1457" spans="1:5" ht="12.75" customHeight="1">
      <c r="A1457" s="33"/>
      <c r="B1457" s="34"/>
      <c r="C1457" s="38"/>
      <c r="D1457" s="38"/>
      <c r="E1457" s="24"/>
    </row>
    <row r="1458" spans="1:5" ht="12.75" customHeight="1">
      <c r="A1458" s="33"/>
      <c r="B1458" s="34"/>
      <c r="C1458" s="38"/>
      <c r="D1458" s="38"/>
      <c r="E1458" s="24"/>
    </row>
    <row r="1459" spans="1:5" ht="12.75" customHeight="1">
      <c r="A1459" s="33"/>
      <c r="B1459" s="34"/>
      <c r="C1459" s="38"/>
      <c r="D1459" s="38"/>
      <c r="E1459" s="24"/>
    </row>
    <row r="1460" spans="1:5" ht="12.75" customHeight="1">
      <c r="A1460" s="33"/>
      <c r="B1460" s="34"/>
      <c r="C1460" s="38"/>
      <c r="D1460" s="38"/>
      <c r="E1460" s="24"/>
    </row>
    <row r="1461" spans="1:5" ht="12.75" customHeight="1">
      <c r="A1461" s="33"/>
      <c r="B1461" s="34"/>
      <c r="C1461" s="38"/>
      <c r="D1461" s="38"/>
      <c r="E1461" s="24"/>
    </row>
    <row r="1462" spans="1:5" ht="12.75" customHeight="1">
      <c r="A1462" s="33"/>
      <c r="B1462" s="34"/>
      <c r="C1462" s="38"/>
      <c r="D1462" s="38"/>
      <c r="E1462" s="24"/>
    </row>
    <row r="1463" spans="1:5" ht="12.75" customHeight="1">
      <c r="A1463" s="33"/>
      <c r="B1463" s="34"/>
      <c r="C1463" s="38"/>
      <c r="D1463" s="38"/>
      <c r="E1463" s="24"/>
    </row>
    <row r="1464" spans="1:5" ht="12.75" customHeight="1">
      <c r="A1464" s="33"/>
      <c r="B1464" s="34"/>
      <c r="C1464" s="38"/>
      <c r="D1464" s="38"/>
      <c r="E1464" s="24"/>
    </row>
    <row r="1465" spans="1:5" ht="12.75" customHeight="1">
      <c r="A1465" s="33"/>
      <c r="B1465" s="34"/>
      <c r="C1465" s="38"/>
      <c r="D1465" s="38"/>
      <c r="E1465" s="24"/>
    </row>
    <row r="1466" spans="1:5" ht="12.75" customHeight="1">
      <c r="A1466" s="33"/>
      <c r="B1466" s="34"/>
      <c r="C1466" s="38"/>
      <c r="D1466" s="38"/>
      <c r="E1466" s="24"/>
    </row>
    <row r="1467" spans="1:5" ht="12.75" customHeight="1">
      <c r="A1467" s="33"/>
      <c r="B1467" s="34"/>
      <c r="C1467" s="38"/>
      <c r="D1467" s="38"/>
      <c r="E1467" s="24"/>
    </row>
    <row r="1468" spans="1:5" ht="12.75" customHeight="1">
      <c r="A1468" s="33"/>
      <c r="B1468" s="34"/>
      <c r="C1468" s="38"/>
      <c r="D1468" s="38"/>
      <c r="E1468" s="24"/>
    </row>
    <row r="1469" spans="1:5" ht="12.75" customHeight="1">
      <c r="A1469" s="33"/>
      <c r="B1469" s="34"/>
      <c r="C1469" s="38"/>
      <c r="D1469" s="38"/>
      <c r="E1469" s="24"/>
    </row>
    <row r="1470" spans="1:5" ht="12.75" customHeight="1">
      <c r="A1470" s="33"/>
      <c r="B1470" s="34"/>
      <c r="C1470" s="38"/>
      <c r="D1470" s="38"/>
      <c r="E1470" s="24"/>
    </row>
    <row r="1471" spans="1:5" ht="12.75" customHeight="1">
      <c r="A1471" s="33"/>
      <c r="B1471" s="34"/>
      <c r="C1471" s="38"/>
      <c r="D1471" s="38"/>
      <c r="E1471" s="24"/>
    </row>
    <row r="1472" spans="1:5" ht="12.75" customHeight="1">
      <c r="A1472" s="33"/>
      <c r="B1472" s="34"/>
      <c r="C1472" s="38"/>
      <c r="D1472" s="38"/>
      <c r="E1472" s="24"/>
    </row>
    <row r="1473" spans="1:5" ht="12.75" customHeight="1">
      <c r="A1473" s="33"/>
      <c r="B1473" s="34"/>
      <c r="C1473" s="38"/>
      <c r="D1473" s="38"/>
      <c r="E1473" s="24"/>
    </row>
    <row r="1474" spans="1:5" ht="12.75" customHeight="1">
      <c r="A1474" s="33"/>
      <c r="B1474" s="34"/>
      <c r="C1474" s="38"/>
      <c r="D1474" s="38"/>
      <c r="E1474" s="24"/>
    </row>
    <row r="1475" spans="1:5" ht="12.75" customHeight="1">
      <c r="A1475" s="33"/>
      <c r="B1475" s="34"/>
      <c r="C1475" s="38"/>
      <c r="D1475" s="38"/>
      <c r="E1475" s="24"/>
    </row>
    <row r="1476" spans="1:5" ht="12.75" customHeight="1">
      <c r="A1476" s="33"/>
      <c r="B1476" s="34"/>
      <c r="C1476" s="38"/>
      <c r="D1476" s="38"/>
      <c r="E1476" s="24"/>
    </row>
    <row r="1477" spans="1:5" ht="12.75" customHeight="1">
      <c r="A1477" s="33"/>
      <c r="B1477" s="34"/>
      <c r="C1477" s="38"/>
      <c r="D1477" s="38"/>
      <c r="E1477" s="24"/>
    </row>
    <row r="1478" spans="1:5" ht="12.75" customHeight="1">
      <c r="A1478" s="33"/>
      <c r="B1478" s="34"/>
      <c r="C1478" s="38"/>
      <c r="D1478" s="38"/>
      <c r="E1478" s="24"/>
    </row>
    <row r="1479" spans="1:5" ht="12.75" customHeight="1">
      <c r="A1479" s="33"/>
      <c r="B1479" s="34"/>
      <c r="C1479" s="38"/>
      <c r="D1479" s="38"/>
      <c r="E1479" s="24"/>
    </row>
    <row r="1480" spans="1:5" ht="12.75" customHeight="1">
      <c r="A1480" s="33"/>
      <c r="B1480" s="34"/>
      <c r="C1480" s="38"/>
      <c r="D1480" s="38"/>
      <c r="E1480" s="24"/>
    </row>
    <row r="1481" spans="1:5" ht="12.75" customHeight="1">
      <c r="A1481" s="33"/>
      <c r="B1481" s="34"/>
      <c r="C1481" s="38"/>
      <c r="D1481" s="38"/>
      <c r="E1481" s="24"/>
    </row>
    <row r="1482" spans="1:5" ht="12.75" customHeight="1">
      <c r="A1482" s="33"/>
      <c r="B1482" s="34"/>
      <c r="C1482" s="38"/>
      <c r="D1482" s="38"/>
      <c r="E1482" s="24"/>
    </row>
    <row r="1483" spans="1:5" ht="12.75" customHeight="1">
      <c r="A1483" s="33"/>
      <c r="B1483" s="34"/>
      <c r="C1483" s="38"/>
      <c r="D1483" s="38"/>
      <c r="E1483" s="24"/>
    </row>
    <row r="1484" spans="1:5" ht="12.75" customHeight="1">
      <c r="A1484" s="33"/>
      <c r="B1484" s="34"/>
      <c r="C1484" s="38"/>
      <c r="D1484" s="38"/>
      <c r="E1484" s="24"/>
    </row>
    <row r="1485" spans="1:5" ht="12.75" customHeight="1">
      <c r="A1485" s="33"/>
      <c r="B1485" s="34"/>
      <c r="C1485" s="38"/>
      <c r="D1485" s="38"/>
      <c r="E1485" s="24"/>
    </row>
    <row r="1486" spans="1:5" ht="12.75" customHeight="1">
      <c r="A1486" s="33"/>
      <c r="B1486" s="34"/>
      <c r="C1486" s="38"/>
      <c r="D1486" s="38"/>
      <c r="E1486" s="24"/>
    </row>
    <row r="1487" spans="1:5" ht="12.75" customHeight="1">
      <c r="A1487" s="33"/>
      <c r="B1487" s="34"/>
      <c r="C1487" s="38"/>
      <c r="D1487" s="38"/>
      <c r="E1487" s="24"/>
    </row>
    <row r="1488" spans="1:5" ht="12.75" customHeight="1">
      <c r="A1488" s="33"/>
      <c r="B1488" s="34"/>
      <c r="C1488" s="38"/>
      <c r="D1488" s="38"/>
      <c r="E1488" s="24"/>
    </row>
    <row r="1489" spans="1:5" ht="12.75" customHeight="1">
      <c r="A1489" s="33"/>
      <c r="B1489" s="34"/>
      <c r="C1489" s="38"/>
      <c r="D1489" s="38"/>
      <c r="E1489" s="24"/>
    </row>
    <row r="1490" spans="1:5" ht="12.75" customHeight="1">
      <c r="A1490" s="33"/>
      <c r="B1490" s="34"/>
      <c r="C1490" s="38"/>
      <c r="D1490" s="38"/>
      <c r="E1490" s="24"/>
    </row>
    <row r="1491" spans="1:5" ht="12.75" customHeight="1">
      <c r="A1491" s="33"/>
      <c r="B1491" s="34"/>
      <c r="C1491" s="38"/>
      <c r="D1491" s="38"/>
      <c r="E1491" s="24"/>
    </row>
    <row r="1492" spans="1:5" ht="12.75" customHeight="1">
      <c r="A1492" s="33"/>
      <c r="B1492" s="34"/>
      <c r="C1492" s="38"/>
      <c r="D1492" s="38"/>
      <c r="E1492" s="24"/>
    </row>
    <row r="1493" spans="1:5" ht="12.75" customHeight="1">
      <c r="A1493" s="33"/>
      <c r="B1493" s="34"/>
      <c r="C1493" s="38"/>
      <c r="D1493" s="38"/>
      <c r="E1493" s="24"/>
    </row>
    <row r="1494" spans="1:5" ht="12.75" customHeight="1">
      <c r="A1494" s="33"/>
      <c r="B1494" s="34"/>
      <c r="C1494" s="38"/>
      <c r="D1494" s="38"/>
      <c r="E1494" s="24"/>
    </row>
    <row r="1495" spans="1:5" ht="12.75" customHeight="1">
      <c r="A1495" s="33"/>
      <c r="B1495" s="34"/>
      <c r="C1495" s="38"/>
      <c r="D1495" s="38"/>
      <c r="E1495" s="24"/>
    </row>
    <row r="1496" spans="1:5" ht="12.75" customHeight="1">
      <c r="A1496" s="33"/>
      <c r="B1496" s="34"/>
      <c r="C1496" s="38"/>
      <c r="D1496" s="38"/>
      <c r="E1496" s="24"/>
    </row>
    <row r="1497" spans="1:5" ht="12.75" customHeight="1">
      <c r="A1497" s="33"/>
      <c r="B1497" s="34"/>
      <c r="C1497" s="38"/>
      <c r="D1497" s="38"/>
      <c r="E1497" s="24"/>
    </row>
    <row r="1498" spans="1:5" ht="12.75" customHeight="1">
      <c r="A1498" s="33"/>
      <c r="B1498" s="34"/>
      <c r="C1498" s="38"/>
      <c r="D1498" s="38"/>
      <c r="E1498" s="24"/>
    </row>
    <row r="1499" spans="1:5" ht="12.75" customHeight="1">
      <c r="A1499" s="33"/>
      <c r="B1499" s="34"/>
      <c r="C1499" s="38"/>
      <c r="D1499" s="38"/>
      <c r="E1499" s="24"/>
    </row>
    <row r="1500" spans="1:5" ht="12.75" customHeight="1">
      <c r="A1500" s="33"/>
      <c r="B1500" s="34"/>
      <c r="C1500" s="38"/>
      <c r="D1500" s="38"/>
      <c r="E1500" s="24"/>
    </row>
    <row r="1501" spans="1:5" ht="12.75" customHeight="1">
      <c r="A1501" s="33"/>
      <c r="B1501" s="34"/>
      <c r="C1501" s="38"/>
      <c r="D1501" s="38"/>
      <c r="E1501" s="24"/>
    </row>
    <row r="1502" spans="1:5" ht="12.75" customHeight="1">
      <c r="A1502" s="33"/>
      <c r="B1502" s="34"/>
      <c r="C1502" s="38"/>
      <c r="D1502" s="38"/>
      <c r="E1502" s="24"/>
    </row>
    <row r="1503" spans="1:5" ht="12.75" customHeight="1">
      <c r="A1503" s="33"/>
      <c r="B1503" s="34"/>
      <c r="C1503" s="38"/>
      <c r="D1503" s="38"/>
      <c r="E1503" s="24"/>
    </row>
    <row r="1504" spans="1:5" ht="12.75" customHeight="1">
      <c r="A1504" s="33"/>
      <c r="B1504" s="34"/>
      <c r="C1504" s="38"/>
      <c r="D1504" s="38"/>
      <c r="E1504" s="24"/>
    </row>
    <row r="1505" spans="1:5" ht="12.75" customHeight="1">
      <c r="A1505" s="33"/>
      <c r="B1505" s="34"/>
      <c r="C1505" s="38"/>
      <c r="D1505" s="38"/>
      <c r="E1505" s="24"/>
    </row>
    <row r="1506" spans="1:5" ht="12.75" customHeight="1">
      <c r="A1506" s="33"/>
      <c r="B1506" s="34"/>
      <c r="C1506" s="38"/>
      <c r="D1506" s="38"/>
      <c r="E1506" s="24"/>
    </row>
    <row r="1507" spans="1:5" ht="12.75" customHeight="1">
      <c r="A1507" s="33"/>
      <c r="B1507" s="34"/>
      <c r="C1507" s="38"/>
      <c r="D1507" s="38"/>
      <c r="E1507" s="24"/>
    </row>
    <row r="1508" spans="1:5" ht="12.75" customHeight="1">
      <c r="A1508" s="33"/>
      <c r="B1508" s="34"/>
      <c r="C1508" s="38"/>
      <c r="D1508" s="38"/>
      <c r="E1508" s="24"/>
    </row>
    <row r="1509" spans="1:5" ht="12.75" customHeight="1">
      <c r="A1509" s="33"/>
      <c r="B1509" s="34"/>
      <c r="C1509" s="38"/>
      <c r="D1509" s="38"/>
      <c r="E1509" s="24"/>
    </row>
    <row r="1510" spans="1:5" ht="12.75" customHeight="1">
      <c r="A1510" s="33"/>
      <c r="B1510" s="34"/>
      <c r="C1510" s="38"/>
      <c r="D1510" s="38"/>
      <c r="E1510" s="24"/>
    </row>
    <row r="1511" spans="1:5" ht="12.75" customHeight="1">
      <c r="A1511" s="33"/>
      <c r="B1511" s="34"/>
      <c r="C1511" s="38"/>
      <c r="D1511" s="38"/>
      <c r="E1511" s="24"/>
    </row>
    <row r="1512" spans="1:5" ht="12.75" customHeight="1">
      <c r="A1512" s="33"/>
      <c r="B1512" s="34"/>
      <c r="C1512" s="38"/>
      <c r="D1512" s="38"/>
      <c r="E1512" s="24"/>
    </row>
    <row r="1513" spans="1:5" ht="12.75" customHeight="1">
      <c r="A1513" s="33"/>
      <c r="B1513" s="34"/>
      <c r="C1513" s="38"/>
      <c r="D1513" s="38"/>
      <c r="E1513" s="24"/>
    </row>
    <row r="1514" spans="1:5" ht="12.75" customHeight="1">
      <c r="A1514" s="33"/>
      <c r="B1514" s="34"/>
      <c r="C1514" s="38"/>
      <c r="D1514" s="38"/>
      <c r="E1514" s="24"/>
    </row>
    <row r="1515" spans="1:5" ht="12.75" customHeight="1">
      <c r="A1515" s="33"/>
      <c r="B1515" s="34"/>
      <c r="C1515" s="38"/>
      <c r="D1515" s="38"/>
      <c r="E1515" s="24"/>
    </row>
    <row r="1516" spans="1:5" ht="12.75" customHeight="1">
      <c r="A1516" s="33"/>
      <c r="B1516" s="34"/>
      <c r="C1516" s="38"/>
      <c r="D1516" s="38"/>
      <c r="E1516" s="24"/>
    </row>
    <row r="1517" spans="1:5" ht="12.75" customHeight="1">
      <c r="A1517" s="33"/>
      <c r="B1517" s="34"/>
      <c r="C1517" s="38"/>
      <c r="D1517" s="38"/>
      <c r="E1517" s="24"/>
    </row>
    <row r="1518" spans="1:5" ht="12.75" customHeight="1">
      <c r="A1518" s="33"/>
      <c r="B1518" s="34"/>
      <c r="C1518" s="38"/>
      <c r="D1518" s="38"/>
      <c r="E1518" s="24"/>
    </row>
    <row r="1519" spans="1:5" ht="12.75" customHeight="1">
      <c r="A1519" s="33"/>
      <c r="B1519" s="34"/>
      <c r="C1519" s="38"/>
      <c r="D1519" s="38"/>
      <c r="E1519" s="24"/>
    </row>
    <row r="1520" spans="1:5" ht="12.75" customHeight="1">
      <c r="A1520" s="33"/>
      <c r="B1520" s="34"/>
      <c r="C1520" s="38"/>
      <c r="D1520" s="38"/>
      <c r="E1520" s="24"/>
    </row>
    <row r="1521" spans="1:5" ht="12.75" customHeight="1">
      <c r="A1521" s="33"/>
      <c r="B1521" s="34"/>
      <c r="C1521" s="38"/>
      <c r="D1521" s="38"/>
      <c r="E1521" s="24"/>
    </row>
    <row r="1522" spans="1:5" ht="12.75" customHeight="1">
      <c r="A1522" s="33"/>
      <c r="B1522" s="34"/>
      <c r="C1522" s="38"/>
      <c r="D1522" s="38"/>
      <c r="E1522" s="24"/>
    </row>
    <row r="1523" spans="1:5" ht="12.75" customHeight="1">
      <c r="A1523" s="33"/>
      <c r="B1523" s="34"/>
      <c r="C1523" s="38"/>
      <c r="D1523" s="38"/>
      <c r="E1523" s="24"/>
    </row>
    <row r="1524" spans="1:5" ht="12.75" customHeight="1">
      <c r="A1524" s="33"/>
      <c r="B1524" s="34"/>
      <c r="C1524" s="38"/>
      <c r="D1524" s="38"/>
      <c r="E1524" s="24"/>
    </row>
    <row r="1525" spans="1:5" ht="12.75" customHeight="1">
      <c r="A1525" s="33"/>
      <c r="B1525" s="34"/>
      <c r="C1525" s="38"/>
      <c r="D1525" s="38"/>
      <c r="E1525" s="24"/>
    </row>
    <row r="1526" spans="1:5" ht="12.75" customHeight="1">
      <c r="A1526" s="33"/>
      <c r="B1526" s="34"/>
      <c r="C1526" s="38"/>
      <c r="D1526" s="38"/>
      <c r="E1526" s="24"/>
    </row>
    <row r="1527" spans="1:5" ht="12.75" customHeight="1">
      <c r="A1527" s="33"/>
      <c r="B1527" s="34"/>
      <c r="C1527" s="38"/>
      <c r="D1527" s="38"/>
      <c r="E1527" s="24"/>
    </row>
    <row r="1528" spans="1:5" ht="12.75" customHeight="1">
      <c r="A1528" s="33"/>
      <c r="B1528" s="34"/>
      <c r="C1528" s="38"/>
      <c r="D1528" s="38"/>
      <c r="E1528" s="24"/>
    </row>
    <row r="1529" spans="1:5" ht="12.75" customHeight="1">
      <c r="A1529" s="33"/>
      <c r="B1529" s="34"/>
      <c r="C1529" s="38"/>
      <c r="D1529" s="38"/>
      <c r="E1529" s="24"/>
    </row>
    <row r="1530" spans="1:5" ht="12.75" customHeight="1">
      <c r="A1530" s="33"/>
      <c r="B1530" s="34"/>
      <c r="C1530" s="38"/>
      <c r="D1530" s="38"/>
      <c r="E1530" s="24"/>
    </row>
    <row r="1531" spans="1:5" ht="12.75" customHeight="1">
      <c r="A1531" s="33"/>
      <c r="B1531" s="34"/>
      <c r="C1531" s="38"/>
      <c r="D1531" s="38"/>
      <c r="E1531" s="24"/>
    </row>
    <row r="1532" spans="1:5" ht="12.75" customHeight="1">
      <c r="A1532" s="33"/>
      <c r="B1532" s="34"/>
      <c r="C1532" s="38"/>
      <c r="D1532" s="38"/>
      <c r="E1532" s="24"/>
    </row>
    <row r="1533" spans="1:5" ht="12.75" customHeight="1">
      <c r="A1533" s="33"/>
      <c r="B1533" s="34"/>
      <c r="C1533" s="38"/>
      <c r="D1533" s="38"/>
      <c r="E1533" s="24"/>
    </row>
    <row r="1534" spans="1:5" ht="12.75" customHeight="1">
      <c r="A1534" s="33"/>
      <c r="B1534" s="34"/>
      <c r="C1534" s="38"/>
      <c r="D1534" s="38"/>
      <c r="E1534" s="24"/>
    </row>
    <row r="1535" spans="1:5" ht="12.75" customHeight="1">
      <c r="A1535" s="33"/>
      <c r="B1535" s="34"/>
      <c r="C1535" s="38"/>
      <c r="D1535" s="38"/>
      <c r="E1535" s="24"/>
    </row>
    <row r="1536" spans="1:5" ht="12.75" customHeight="1">
      <c r="A1536" s="33"/>
      <c r="B1536" s="34"/>
      <c r="C1536" s="38"/>
      <c r="D1536" s="38"/>
      <c r="E1536" s="24"/>
    </row>
    <row r="1537" spans="1:5" ht="12.75" customHeight="1">
      <c r="A1537" s="33"/>
      <c r="B1537" s="34"/>
      <c r="C1537" s="38"/>
      <c r="D1537" s="38"/>
      <c r="E1537" s="24"/>
    </row>
    <row r="1538" spans="1:5" ht="12.75" customHeight="1">
      <c r="A1538" s="33"/>
      <c r="B1538" s="34"/>
      <c r="C1538" s="38"/>
      <c r="D1538" s="38"/>
      <c r="E1538" s="24"/>
    </row>
    <row r="1539" spans="1:5" ht="12.75" customHeight="1">
      <c r="A1539" s="33"/>
      <c r="B1539" s="34"/>
      <c r="C1539" s="38"/>
      <c r="D1539" s="38"/>
      <c r="E1539" s="24"/>
    </row>
    <row r="1540" spans="1:5" ht="12.75" customHeight="1">
      <c r="A1540" s="33"/>
      <c r="B1540" s="34"/>
      <c r="C1540" s="38"/>
      <c r="D1540" s="38"/>
      <c r="E1540" s="24"/>
    </row>
    <row r="1541" spans="1:5" ht="12.75" customHeight="1">
      <c r="A1541" s="33"/>
      <c r="B1541" s="34"/>
      <c r="C1541" s="38"/>
      <c r="D1541" s="38"/>
      <c r="E1541" s="24"/>
    </row>
    <row r="1542" spans="1:5" ht="12.75" customHeight="1">
      <c r="A1542" s="33"/>
      <c r="B1542" s="34"/>
      <c r="C1542" s="38"/>
      <c r="D1542" s="38"/>
      <c r="E1542" s="24"/>
    </row>
    <row r="1543" spans="1:5" ht="12.75" customHeight="1">
      <c r="A1543" s="33"/>
      <c r="B1543" s="34"/>
      <c r="C1543" s="38"/>
      <c r="D1543" s="38"/>
      <c r="E1543" s="24"/>
    </row>
    <row r="1544" spans="1:5" ht="12.75" customHeight="1">
      <c r="A1544" s="33"/>
      <c r="B1544" s="34"/>
      <c r="C1544" s="38"/>
      <c r="D1544" s="38"/>
      <c r="E1544" s="24"/>
    </row>
    <row r="1545" spans="1:5" ht="12.75" customHeight="1">
      <c r="A1545" s="33"/>
      <c r="B1545" s="34"/>
      <c r="C1545" s="38"/>
      <c r="D1545" s="38"/>
      <c r="E1545" s="24"/>
    </row>
    <row r="1546" spans="1:5" ht="12.75" customHeight="1">
      <c r="A1546" s="33"/>
      <c r="B1546" s="34"/>
      <c r="C1546" s="38"/>
      <c r="D1546" s="38"/>
      <c r="E1546" s="24"/>
    </row>
    <row r="1547" spans="1:5" ht="12.75" customHeight="1">
      <c r="A1547" s="33"/>
      <c r="B1547" s="34"/>
      <c r="C1547" s="38"/>
      <c r="D1547" s="38"/>
      <c r="E1547" s="24"/>
    </row>
    <row r="1548" spans="1:5" ht="12.75" customHeight="1">
      <c r="A1548" s="33"/>
      <c r="B1548" s="34"/>
      <c r="C1548" s="38"/>
      <c r="D1548" s="38"/>
      <c r="E1548" s="24"/>
    </row>
    <row r="1549" spans="1:5" ht="12.75" customHeight="1">
      <c r="A1549" s="33"/>
      <c r="B1549" s="34"/>
      <c r="C1549" s="38"/>
      <c r="D1549" s="38"/>
      <c r="E1549" s="24"/>
    </row>
    <row r="1550" spans="1:5" ht="12.75" customHeight="1">
      <c r="A1550" s="33"/>
      <c r="B1550" s="34"/>
      <c r="C1550" s="38"/>
      <c r="D1550" s="38"/>
      <c r="E1550" s="24"/>
    </row>
    <row r="1551" spans="1:5" ht="12.75" customHeight="1">
      <c r="A1551" s="33"/>
      <c r="B1551" s="34"/>
      <c r="C1551" s="38"/>
      <c r="D1551" s="38"/>
      <c r="E1551" s="24"/>
    </row>
    <row r="1552" spans="1:5" ht="12.75" customHeight="1">
      <c r="A1552" s="33"/>
      <c r="B1552" s="34"/>
      <c r="C1552" s="38"/>
      <c r="D1552" s="38"/>
      <c r="E1552" s="24"/>
    </row>
    <row r="1553" spans="1:5" ht="12.75" customHeight="1">
      <c r="A1553" s="33"/>
      <c r="B1553" s="34"/>
      <c r="C1553" s="38"/>
      <c r="D1553" s="38"/>
      <c r="E1553" s="24"/>
    </row>
    <row r="1554" spans="1:5" ht="12.75" customHeight="1">
      <c r="A1554" s="33"/>
      <c r="B1554" s="34"/>
      <c r="C1554" s="38"/>
      <c r="D1554" s="38"/>
      <c r="E1554" s="24"/>
    </row>
    <row r="1555" spans="1:5" ht="12.75" customHeight="1">
      <c r="A1555" s="33"/>
      <c r="B1555" s="34"/>
      <c r="C1555" s="38"/>
      <c r="D1555" s="38"/>
      <c r="E1555" s="24"/>
    </row>
    <row r="1556" spans="1:5" ht="12.75" customHeight="1">
      <c r="A1556" s="33"/>
      <c r="B1556" s="34"/>
      <c r="C1556" s="38"/>
      <c r="D1556" s="38"/>
      <c r="E1556" s="24"/>
    </row>
    <row r="1557" spans="1:5" ht="12.75" customHeight="1">
      <c r="A1557" s="33"/>
      <c r="B1557" s="34"/>
      <c r="C1557" s="38"/>
      <c r="D1557" s="38"/>
      <c r="E1557" s="24"/>
    </row>
    <row r="1558" spans="1:5" ht="12.75" customHeight="1">
      <c r="A1558" s="33"/>
      <c r="B1558" s="34"/>
      <c r="C1558" s="38"/>
      <c r="D1558" s="38"/>
      <c r="E1558" s="24"/>
    </row>
    <row r="1559" spans="1:5" ht="12.75" customHeight="1">
      <c r="A1559" s="33"/>
      <c r="B1559" s="34"/>
      <c r="C1559" s="38"/>
      <c r="D1559" s="38"/>
      <c r="E1559" s="24"/>
    </row>
    <row r="1560" spans="1:5" ht="12.75" customHeight="1">
      <c r="A1560" s="33"/>
      <c r="B1560" s="34"/>
      <c r="C1560" s="38"/>
      <c r="D1560" s="38"/>
      <c r="E1560" s="24"/>
    </row>
    <row r="1561" spans="1:5" ht="12.75" customHeight="1">
      <c r="A1561" s="33"/>
      <c r="B1561" s="34"/>
      <c r="C1561" s="38"/>
      <c r="D1561" s="38"/>
      <c r="E1561" s="24"/>
    </row>
    <row r="1562" spans="1:5" ht="12.75" customHeight="1">
      <c r="A1562" s="33"/>
      <c r="B1562" s="34"/>
      <c r="C1562" s="38"/>
      <c r="D1562" s="38"/>
      <c r="E1562" s="24"/>
    </row>
    <row r="1563" spans="1:5" ht="12.75" customHeight="1">
      <c r="A1563" s="33"/>
      <c r="B1563" s="34"/>
      <c r="C1563" s="38"/>
      <c r="D1563" s="38"/>
      <c r="E1563" s="24"/>
    </row>
    <row r="1564" spans="1:5" ht="12.75" customHeight="1">
      <c r="A1564" s="33"/>
      <c r="B1564" s="34"/>
      <c r="C1564" s="38"/>
      <c r="D1564" s="38"/>
      <c r="E1564" s="24"/>
    </row>
    <row r="1565" spans="1:5" ht="12.75" customHeight="1">
      <c r="A1565" s="33"/>
      <c r="B1565" s="34"/>
      <c r="C1565" s="38"/>
      <c r="D1565" s="38"/>
      <c r="E1565" s="24"/>
    </row>
    <row r="1566" spans="1:5" ht="12.75" customHeight="1">
      <c r="A1566" s="33"/>
      <c r="B1566" s="34"/>
      <c r="C1566" s="38"/>
      <c r="D1566" s="38"/>
      <c r="E1566" s="24"/>
    </row>
    <row r="1567" spans="1:5" ht="12.75" customHeight="1">
      <c r="A1567" s="33"/>
      <c r="B1567" s="34"/>
      <c r="C1567" s="38"/>
      <c r="D1567" s="38"/>
      <c r="E1567" s="24"/>
    </row>
    <row r="1568" spans="1:5" ht="12.75" customHeight="1">
      <c r="A1568" s="33"/>
      <c r="B1568" s="34"/>
      <c r="C1568" s="38"/>
      <c r="D1568" s="38"/>
      <c r="E1568" s="24"/>
    </row>
    <row r="1569" spans="1:5" ht="12.75" customHeight="1">
      <c r="A1569" s="33"/>
      <c r="B1569" s="34"/>
      <c r="C1569" s="38"/>
      <c r="D1569" s="38"/>
      <c r="E1569" s="24"/>
    </row>
    <row r="1570" spans="1:5" ht="12.75" customHeight="1">
      <c r="A1570" s="33"/>
      <c r="B1570" s="34"/>
      <c r="C1570" s="38"/>
      <c r="D1570" s="38"/>
      <c r="E1570" s="24"/>
    </row>
    <row r="1571" spans="1:5" ht="12.75" customHeight="1">
      <c r="A1571" s="33"/>
      <c r="B1571" s="34"/>
      <c r="C1571" s="38"/>
      <c r="D1571" s="38"/>
      <c r="E1571" s="24"/>
    </row>
    <row r="1572" spans="1:5" ht="12.75" customHeight="1">
      <c r="A1572" s="33"/>
      <c r="B1572" s="34"/>
      <c r="C1572" s="38"/>
      <c r="D1572" s="38"/>
      <c r="E1572" s="24"/>
    </row>
    <row r="1573" spans="1:5" ht="12.75" customHeight="1">
      <c r="A1573" s="33"/>
      <c r="B1573" s="34"/>
      <c r="C1573" s="38"/>
      <c r="D1573" s="38"/>
      <c r="E1573" s="24"/>
    </row>
    <row r="1574" spans="1:5" ht="12.75" customHeight="1">
      <c r="A1574" s="33"/>
      <c r="B1574" s="34"/>
      <c r="C1574" s="38"/>
      <c r="D1574" s="38"/>
      <c r="E1574" s="24"/>
    </row>
    <row r="1575" spans="1:5" ht="12.75" customHeight="1">
      <c r="A1575" s="33"/>
      <c r="B1575" s="34"/>
      <c r="C1575" s="38"/>
      <c r="D1575" s="38"/>
      <c r="E1575" s="24"/>
    </row>
    <row r="1576" spans="1:5" ht="12.75" customHeight="1">
      <c r="A1576" s="33"/>
      <c r="B1576" s="34"/>
      <c r="C1576" s="38"/>
      <c r="D1576" s="38"/>
      <c r="E1576" s="24"/>
    </row>
    <row r="1577" spans="1:5" ht="12.75" customHeight="1">
      <c r="A1577" s="33"/>
      <c r="B1577" s="34"/>
      <c r="C1577" s="38"/>
      <c r="D1577" s="38"/>
      <c r="E1577" s="24"/>
    </row>
    <row r="1578" spans="1:5" ht="12.75" customHeight="1">
      <c r="A1578" s="33"/>
      <c r="B1578" s="34"/>
      <c r="C1578" s="38"/>
      <c r="D1578" s="38"/>
      <c r="E1578" s="24"/>
    </row>
    <row r="1579" spans="1:5" ht="12.75" customHeight="1">
      <c r="A1579" s="33"/>
      <c r="B1579" s="34"/>
      <c r="C1579" s="38"/>
      <c r="D1579" s="38"/>
      <c r="E1579" s="24"/>
    </row>
    <row r="1580" spans="1:5" ht="12.75" customHeight="1">
      <c r="A1580" s="33"/>
      <c r="B1580" s="34"/>
      <c r="C1580" s="38"/>
      <c r="D1580" s="38"/>
      <c r="E1580" s="24"/>
    </row>
    <row r="1581" spans="1:5" ht="12.75" customHeight="1">
      <c r="A1581" s="33"/>
      <c r="B1581" s="34"/>
      <c r="C1581" s="38"/>
      <c r="D1581" s="38"/>
      <c r="E1581" s="24"/>
    </row>
    <row r="1582" spans="1:5" ht="12.75" customHeight="1">
      <c r="A1582" s="33"/>
      <c r="B1582" s="34"/>
      <c r="C1582" s="38"/>
      <c r="D1582" s="38"/>
      <c r="E1582" s="24"/>
    </row>
    <row r="1583" spans="1:5" ht="12.75" customHeight="1">
      <c r="A1583" s="33"/>
      <c r="B1583" s="34"/>
      <c r="C1583" s="38"/>
      <c r="D1583" s="38"/>
      <c r="E1583" s="24"/>
    </row>
    <row r="1584" spans="1:5" ht="12.75" customHeight="1">
      <c r="A1584" s="33"/>
      <c r="B1584" s="34"/>
      <c r="C1584" s="38"/>
      <c r="D1584" s="38"/>
      <c r="E1584" s="24"/>
    </row>
    <row r="1585" spans="1:5" ht="12.75" customHeight="1">
      <c r="A1585" s="33"/>
      <c r="B1585" s="34"/>
      <c r="C1585" s="38"/>
      <c r="D1585" s="38"/>
      <c r="E1585" s="24"/>
    </row>
    <row r="1586" spans="1:5" ht="12.75" customHeight="1">
      <c r="A1586" s="33"/>
      <c r="B1586" s="34"/>
      <c r="C1586" s="38"/>
      <c r="D1586" s="38"/>
      <c r="E1586" s="24"/>
    </row>
    <row r="1587" spans="1:5" ht="12.75" customHeight="1">
      <c r="A1587" s="33"/>
      <c r="B1587" s="34"/>
      <c r="C1587" s="38"/>
      <c r="D1587" s="38"/>
      <c r="E1587" s="24"/>
    </row>
    <row r="1588" spans="1:5" ht="12.75" customHeight="1">
      <c r="A1588" s="33"/>
      <c r="B1588" s="34"/>
      <c r="C1588" s="38"/>
      <c r="D1588" s="38"/>
      <c r="E1588" s="24"/>
    </row>
    <row r="1589" spans="1:5" ht="12.75" customHeight="1">
      <c r="A1589" s="33"/>
      <c r="B1589" s="34"/>
      <c r="C1589" s="38"/>
      <c r="D1589" s="38"/>
      <c r="E1589" s="24"/>
    </row>
    <row r="1590" spans="1:5" ht="12.75" customHeight="1">
      <c r="A1590" s="33"/>
      <c r="B1590" s="34"/>
      <c r="C1590" s="38"/>
      <c r="D1590" s="38"/>
      <c r="E1590" s="24"/>
    </row>
    <row r="1591" spans="1:5" ht="12.75" customHeight="1">
      <c r="A1591" s="33"/>
      <c r="B1591" s="34"/>
      <c r="C1591" s="38"/>
      <c r="D1591" s="38"/>
      <c r="E1591" s="24"/>
    </row>
    <row r="1592" spans="1:5" ht="12.75" customHeight="1">
      <c r="A1592" s="33"/>
      <c r="B1592" s="34"/>
      <c r="C1592" s="38"/>
      <c r="D1592" s="38"/>
      <c r="E1592" s="24"/>
    </row>
    <row r="1593" spans="1:5" ht="12.75" customHeight="1">
      <c r="A1593" s="33"/>
      <c r="B1593" s="34"/>
      <c r="C1593" s="38"/>
      <c r="D1593" s="38"/>
      <c r="E1593" s="24"/>
    </row>
    <row r="1594" spans="1:5" ht="12.75" customHeight="1">
      <c r="A1594" s="33"/>
      <c r="B1594" s="34"/>
      <c r="C1594" s="38"/>
      <c r="D1594" s="38"/>
      <c r="E1594" s="24"/>
    </row>
    <row r="1595" spans="1:5" ht="12.75" customHeight="1">
      <c r="A1595" s="33"/>
      <c r="B1595" s="34"/>
      <c r="C1595" s="38"/>
      <c r="D1595" s="38"/>
      <c r="E1595" s="24"/>
    </row>
    <row r="1596" spans="1:5" ht="12.75" customHeight="1">
      <c r="A1596" s="33"/>
      <c r="B1596" s="34"/>
      <c r="C1596" s="38"/>
      <c r="D1596" s="38"/>
      <c r="E1596" s="24"/>
    </row>
    <row r="1597" spans="1:5" ht="12.75" customHeight="1">
      <c r="A1597" s="33"/>
      <c r="B1597" s="34"/>
      <c r="C1597" s="38"/>
      <c r="D1597" s="38"/>
      <c r="E1597" s="24"/>
    </row>
    <row r="1598" spans="1:5" ht="12.75" customHeight="1">
      <c r="A1598" s="33"/>
      <c r="B1598" s="34"/>
      <c r="C1598" s="38"/>
      <c r="D1598" s="38"/>
      <c r="E1598" s="24"/>
    </row>
    <row r="1599" spans="1:5" ht="12.75" customHeight="1">
      <c r="A1599" s="33"/>
      <c r="B1599" s="34"/>
      <c r="C1599" s="38"/>
      <c r="D1599" s="38"/>
      <c r="E1599" s="24"/>
    </row>
    <row r="1600" spans="1:5" ht="12.75" customHeight="1">
      <c r="A1600" s="33"/>
      <c r="B1600" s="34"/>
      <c r="C1600" s="38"/>
      <c r="D1600" s="38"/>
      <c r="E1600" s="24"/>
    </row>
    <row r="1601" spans="1:5" ht="12.75" customHeight="1">
      <c r="A1601" s="33"/>
      <c r="B1601" s="34"/>
      <c r="C1601" s="38"/>
      <c r="D1601" s="38"/>
      <c r="E1601" s="24"/>
    </row>
    <row r="1602" spans="1:5" ht="12.75" customHeight="1">
      <c r="A1602" s="33"/>
      <c r="B1602" s="34"/>
      <c r="C1602" s="38"/>
      <c r="D1602" s="38"/>
      <c r="E1602" s="24"/>
    </row>
    <row r="1603" spans="1:5" ht="12.75" customHeight="1">
      <c r="A1603" s="33"/>
      <c r="B1603" s="34"/>
      <c r="C1603" s="38"/>
      <c r="D1603" s="38"/>
      <c r="E1603" s="24"/>
    </row>
    <row r="1604" spans="1:5" ht="12.75" customHeight="1">
      <c r="A1604" s="33"/>
      <c r="B1604" s="34"/>
      <c r="C1604" s="38"/>
      <c r="D1604" s="38"/>
      <c r="E1604" s="24"/>
    </row>
    <row r="1605" spans="1:5" ht="12.75" customHeight="1">
      <c r="A1605" s="33"/>
      <c r="B1605" s="34"/>
      <c r="C1605" s="38"/>
      <c r="D1605" s="38"/>
      <c r="E1605" s="24"/>
    </row>
    <row r="1606" spans="1:5" ht="12.75" customHeight="1">
      <c r="A1606" s="33"/>
      <c r="B1606" s="34"/>
      <c r="C1606" s="38"/>
      <c r="D1606" s="38"/>
      <c r="E1606" s="24"/>
    </row>
    <row r="1607" spans="1:5" ht="12.75" customHeight="1">
      <c r="A1607" s="33"/>
      <c r="B1607" s="34"/>
      <c r="C1607" s="38"/>
      <c r="D1607" s="38"/>
      <c r="E1607" s="24"/>
    </row>
    <row r="1608" spans="1:5" ht="12.75" customHeight="1">
      <c r="A1608" s="33"/>
      <c r="B1608" s="34"/>
      <c r="C1608" s="38"/>
      <c r="D1608" s="38"/>
      <c r="E1608" s="24"/>
    </row>
    <row r="1609" spans="1:5" ht="12.75" customHeight="1">
      <c r="A1609" s="33"/>
      <c r="B1609" s="34"/>
      <c r="C1609" s="38"/>
      <c r="D1609" s="38"/>
      <c r="E1609" s="24"/>
    </row>
    <row r="1610" spans="1:5" ht="12.75" customHeight="1">
      <c r="A1610" s="33"/>
      <c r="B1610" s="34"/>
      <c r="C1610" s="38"/>
      <c r="D1610" s="38"/>
      <c r="E1610" s="24"/>
    </row>
    <row r="1611" spans="1:5" ht="12.75" customHeight="1">
      <c r="A1611" s="33"/>
      <c r="B1611" s="34"/>
      <c r="C1611" s="38"/>
      <c r="D1611" s="38"/>
      <c r="E1611" s="24"/>
    </row>
    <row r="1612" spans="1:5" ht="12.75" customHeight="1">
      <c r="A1612" s="33"/>
      <c r="B1612" s="34"/>
      <c r="C1612" s="38"/>
      <c r="D1612" s="38"/>
      <c r="E1612" s="24"/>
    </row>
    <row r="1613" spans="1:5" ht="12.75" customHeight="1">
      <c r="A1613" s="33"/>
      <c r="B1613" s="34"/>
      <c r="C1613" s="38"/>
      <c r="D1613" s="38"/>
      <c r="E1613" s="24"/>
    </row>
    <row r="1614" spans="1:5" ht="12.75" customHeight="1">
      <c r="A1614" s="33"/>
      <c r="B1614" s="34"/>
      <c r="C1614" s="38"/>
      <c r="D1614" s="38"/>
      <c r="E1614" s="24"/>
    </row>
    <row r="1615" spans="1:5" ht="12.75" customHeight="1">
      <c r="A1615" s="33"/>
      <c r="B1615" s="34"/>
      <c r="C1615" s="38"/>
      <c r="D1615" s="38"/>
      <c r="E1615" s="24"/>
    </row>
    <row r="1616" spans="1:5" ht="12.75" customHeight="1">
      <c r="A1616" s="33"/>
      <c r="B1616" s="34"/>
      <c r="C1616" s="38"/>
      <c r="D1616" s="38"/>
      <c r="E1616" s="24"/>
    </row>
    <row r="1617" spans="1:5" ht="12.75" customHeight="1">
      <c r="A1617" s="33"/>
      <c r="B1617" s="34"/>
      <c r="C1617" s="38"/>
      <c r="D1617" s="38"/>
      <c r="E1617" s="24"/>
    </row>
    <row r="1618" spans="1:5" ht="12.75" customHeight="1">
      <c r="A1618" s="33"/>
      <c r="B1618" s="34"/>
      <c r="C1618" s="38"/>
      <c r="D1618" s="38"/>
      <c r="E1618" s="24"/>
    </row>
    <row r="1619" spans="1:5" ht="12.75" customHeight="1">
      <c r="A1619" s="33"/>
      <c r="B1619" s="34"/>
      <c r="C1619" s="38"/>
      <c r="D1619" s="38"/>
      <c r="E1619" s="24"/>
    </row>
    <row r="1620" spans="1:5" ht="12.75" customHeight="1">
      <c r="A1620" s="33"/>
      <c r="B1620" s="34"/>
      <c r="C1620" s="38"/>
      <c r="D1620" s="38"/>
      <c r="E1620" s="24"/>
    </row>
    <row r="1621" spans="1:5" ht="12.75" customHeight="1">
      <c r="A1621" s="33"/>
      <c r="B1621" s="34"/>
      <c r="C1621" s="38"/>
      <c r="D1621" s="38"/>
      <c r="E1621" s="24"/>
    </row>
    <row r="1622" spans="1:5" ht="12.75" customHeight="1">
      <c r="A1622" s="33"/>
      <c r="B1622" s="34"/>
      <c r="C1622" s="38"/>
      <c r="D1622" s="38"/>
      <c r="E1622" s="24"/>
    </row>
    <row r="1623" spans="1:5" ht="12.75" customHeight="1">
      <c r="A1623" s="33"/>
      <c r="B1623" s="34"/>
      <c r="C1623" s="38"/>
      <c r="D1623" s="38"/>
      <c r="E1623" s="24"/>
    </row>
    <row r="1624" spans="1:5" ht="12.75" customHeight="1">
      <c r="A1624" s="33"/>
      <c r="B1624" s="34"/>
      <c r="C1624" s="38"/>
      <c r="D1624" s="38"/>
      <c r="E1624" s="24"/>
    </row>
    <row r="1625" spans="1:5" ht="12.75" customHeight="1">
      <c r="A1625" s="33"/>
      <c r="B1625" s="34"/>
      <c r="C1625" s="38"/>
      <c r="D1625" s="38"/>
      <c r="E1625" s="24"/>
    </row>
    <row r="1626" spans="1:5" ht="12.75" customHeight="1">
      <c r="A1626" s="33"/>
      <c r="B1626" s="34"/>
      <c r="C1626" s="38"/>
      <c r="D1626" s="38"/>
      <c r="E1626" s="24"/>
    </row>
    <row r="1627" spans="1:5" ht="12.75" customHeight="1">
      <c r="A1627" s="33"/>
      <c r="B1627" s="34"/>
      <c r="C1627" s="38"/>
      <c r="D1627" s="38"/>
      <c r="E1627" s="24"/>
    </row>
    <row r="1628" spans="1:5" ht="12.75" customHeight="1">
      <c r="A1628" s="33"/>
      <c r="B1628" s="34"/>
      <c r="C1628" s="38"/>
      <c r="D1628" s="38"/>
      <c r="E1628" s="24"/>
    </row>
    <row r="1629" spans="1:5" ht="12.75" customHeight="1">
      <c r="A1629" s="33"/>
      <c r="B1629" s="34"/>
      <c r="C1629" s="38"/>
      <c r="D1629" s="38"/>
      <c r="E1629" s="24"/>
    </row>
    <row r="1630" spans="1:5" ht="12.75" customHeight="1">
      <c r="A1630" s="33"/>
      <c r="B1630" s="34"/>
      <c r="C1630" s="38"/>
      <c r="D1630" s="38"/>
      <c r="E1630" s="24"/>
    </row>
    <row r="1631" spans="1:5" ht="12.75" customHeight="1">
      <c r="A1631" s="33"/>
      <c r="B1631" s="34"/>
      <c r="C1631" s="38"/>
      <c r="D1631" s="38"/>
      <c r="E1631" s="24"/>
    </row>
    <row r="1632" spans="1:5" ht="12.75" customHeight="1">
      <c r="A1632" s="33"/>
      <c r="B1632" s="34"/>
      <c r="C1632" s="38"/>
      <c r="D1632" s="38"/>
      <c r="E1632" s="24"/>
    </row>
    <row r="1633" spans="1:5" ht="12.75" customHeight="1">
      <c r="A1633" s="33"/>
      <c r="B1633" s="34"/>
      <c r="C1633" s="38"/>
      <c r="D1633" s="38"/>
      <c r="E1633" s="24"/>
    </row>
    <row r="1634" spans="1:5" ht="12.75" customHeight="1">
      <c r="A1634" s="33"/>
      <c r="B1634" s="34"/>
      <c r="C1634" s="38"/>
      <c r="D1634" s="38"/>
      <c r="E1634" s="24"/>
    </row>
    <row r="1635" spans="1:5" ht="12.75" customHeight="1">
      <c r="A1635" s="33"/>
      <c r="B1635" s="34"/>
      <c r="C1635" s="38"/>
      <c r="D1635" s="38"/>
      <c r="E1635" s="24"/>
    </row>
    <row r="1636" spans="1:5" ht="12.75" customHeight="1">
      <c r="A1636" s="33"/>
      <c r="B1636" s="34"/>
      <c r="C1636" s="38"/>
      <c r="D1636" s="38"/>
      <c r="E1636" s="24"/>
    </row>
    <row r="1637" spans="1:5" ht="12.75" customHeight="1">
      <c r="A1637" s="33"/>
      <c r="B1637" s="34"/>
      <c r="C1637" s="38"/>
      <c r="D1637" s="38"/>
      <c r="E1637" s="24"/>
    </row>
    <row r="1638" spans="1:5" ht="12.75" customHeight="1">
      <c r="A1638" s="33"/>
      <c r="B1638" s="34"/>
      <c r="C1638" s="38"/>
      <c r="D1638" s="38"/>
      <c r="E1638" s="24"/>
    </row>
    <row r="1639" spans="1:5" ht="12.75" customHeight="1">
      <c r="A1639" s="33"/>
      <c r="B1639" s="34"/>
      <c r="C1639" s="38"/>
      <c r="D1639" s="38"/>
      <c r="E1639" s="24"/>
    </row>
    <row r="1640" spans="1:5" ht="12.75" customHeight="1">
      <c r="A1640" s="33"/>
      <c r="B1640" s="34"/>
      <c r="C1640" s="38"/>
      <c r="D1640" s="38"/>
      <c r="E1640" s="24"/>
    </row>
    <row r="1641" spans="1:5" ht="12.75" customHeight="1">
      <c r="A1641" s="33"/>
      <c r="B1641" s="34"/>
      <c r="C1641" s="38"/>
      <c r="D1641" s="38"/>
      <c r="E1641" s="24"/>
    </row>
    <row r="1642" spans="1:5" ht="12.75" customHeight="1">
      <c r="A1642" s="33"/>
      <c r="B1642" s="34"/>
      <c r="C1642" s="38"/>
      <c r="D1642" s="38"/>
      <c r="E1642" s="24"/>
    </row>
    <row r="1643" spans="1:5" ht="12.75" customHeight="1">
      <c r="A1643" s="33"/>
      <c r="B1643" s="34"/>
      <c r="C1643" s="38"/>
      <c r="D1643" s="38"/>
      <c r="E1643" s="24"/>
    </row>
    <row r="1644" spans="1:5" ht="12.75" customHeight="1">
      <c r="A1644" s="33"/>
      <c r="B1644" s="34"/>
      <c r="C1644" s="38"/>
      <c r="D1644" s="38"/>
      <c r="E1644" s="24"/>
    </row>
    <row r="1645" spans="1:5" ht="12.75" customHeight="1">
      <c r="A1645" s="33"/>
      <c r="B1645" s="34"/>
      <c r="C1645" s="38"/>
      <c r="D1645" s="38"/>
      <c r="E1645" s="24"/>
    </row>
    <row r="1646" spans="1:5" ht="12.75" customHeight="1">
      <c r="A1646" s="33"/>
      <c r="B1646" s="34"/>
      <c r="C1646" s="38"/>
      <c r="D1646" s="38"/>
      <c r="E1646" s="24"/>
    </row>
    <row r="1647" spans="1:5" ht="12.75" customHeight="1">
      <c r="A1647" s="33"/>
      <c r="B1647" s="34"/>
      <c r="C1647" s="38"/>
      <c r="D1647" s="38"/>
      <c r="E1647" s="24"/>
    </row>
    <row r="1648" spans="1:5" ht="12.75" customHeight="1">
      <c r="A1648" s="33"/>
      <c r="B1648" s="34"/>
      <c r="C1648" s="38"/>
      <c r="D1648" s="38"/>
      <c r="E1648" s="24"/>
    </row>
    <row r="1649" spans="1:5" ht="12.75" customHeight="1">
      <c r="A1649" s="33"/>
      <c r="B1649" s="34"/>
      <c r="C1649" s="38"/>
      <c r="D1649" s="38"/>
      <c r="E1649" s="24"/>
    </row>
    <row r="1650" spans="1:5" ht="12.75" customHeight="1">
      <c r="A1650" s="33"/>
      <c r="B1650" s="34"/>
      <c r="C1650" s="38"/>
      <c r="D1650" s="38"/>
      <c r="E1650" s="24"/>
    </row>
    <row r="1651" spans="1:5" ht="12.75" customHeight="1">
      <c r="A1651" s="33"/>
      <c r="B1651" s="34"/>
      <c r="C1651" s="38"/>
      <c r="D1651" s="38"/>
      <c r="E1651" s="24"/>
    </row>
    <row r="1652" spans="1:5" ht="12.75" customHeight="1">
      <c r="A1652" s="33"/>
      <c r="B1652" s="34"/>
      <c r="C1652" s="38"/>
      <c r="D1652" s="38"/>
      <c r="E1652" s="24"/>
    </row>
    <row r="1653" spans="1:5" ht="12.75" customHeight="1">
      <c r="A1653" s="33"/>
      <c r="B1653" s="34"/>
      <c r="C1653" s="38"/>
      <c r="D1653" s="38"/>
      <c r="E1653" s="24"/>
    </row>
    <row r="1654" spans="1:5" ht="12.75" customHeight="1">
      <c r="A1654" s="33"/>
      <c r="B1654" s="34"/>
      <c r="C1654" s="38"/>
      <c r="D1654" s="38"/>
      <c r="E1654" s="24"/>
    </row>
    <row r="1655" spans="1:5" ht="12.75" customHeight="1">
      <c r="A1655" s="33"/>
      <c r="B1655" s="34"/>
      <c r="C1655" s="38"/>
      <c r="D1655" s="38"/>
      <c r="E1655" s="24"/>
    </row>
    <row r="1656" spans="1:5" ht="12.75" customHeight="1">
      <c r="A1656" s="33"/>
      <c r="B1656" s="34"/>
      <c r="C1656" s="38"/>
      <c r="D1656" s="38"/>
      <c r="E1656" s="24"/>
    </row>
    <row r="1657" spans="1:5" ht="12.75" customHeight="1">
      <c r="A1657" s="33"/>
      <c r="B1657" s="34"/>
      <c r="C1657" s="38"/>
      <c r="D1657" s="38"/>
      <c r="E1657" s="24"/>
    </row>
    <row r="1658" spans="1:5" ht="12.75" customHeight="1">
      <c r="A1658" s="33"/>
      <c r="B1658" s="34"/>
      <c r="C1658" s="38"/>
      <c r="D1658" s="38"/>
      <c r="E1658" s="24"/>
    </row>
    <row r="1659" spans="1:5" ht="12.75" customHeight="1">
      <c r="A1659" s="33"/>
      <c r="B1659" s="34"/>
      <c r="C1659" s="38"/>
      <c r="D1659" s="38"/>
      <c r="E1659" s="24"/>
    </row>
    <row r="1660" spans="1:5" ht="12.75" customHeight="1">
      <c r="A1660" s="33"/>
      <c r="B1660" s="34"/>
      <c r="C1660" s="38"/>
      <c r="D1660" s="38"/>
      <c r="E1660" s="24"/>
    </row>
    <row r="1661" spans="1:5" ht="12.75" customHeight="1">
      <c r="A1661" s="33"/>
      <c r="B1661" s="34"/>
      <c r="C1661" s="38"/>
      <c r="D1661" s="38"/>
      <c r="E1661" s="24"/>
    </row>
    <row r="1662" spans="1:5" ht="12.75" customHeight="1">
      <c r="A1662" s="33"/>
      <c r="B1662" s="34"/>
      <c r="C1662" s="38"/>
      <c r="D1662" s="38"/>
      <c r="E1662" s="24"/>
    </row>
    <row r="1663" spans="1:5" ht="12.75" customHeight="1">
      <c r="A1663" s="33"/>
      <c r="B1663" s="34"/>
      <c r="C1663" s="38"/>
      <c r="D1663" s="38"/>
      <c r="E1663" s="24"/>
    </row>
    <row r="1664" spans="1:5" ht="12.75" customHeight="1">
      <c r="A1664" s="33"/>
      <c r="B1664" s="34"/>
      <c r="C1664" s="38"/>
      <c r="D1664" s="38"/>
      <c r="E1664" s="24"/>
    </row>
    <row r="1665" spans="1:5" ht="12.75" customHeight="1">
      <c r="A1665" s="33"/>
      <c r="B1665" s="34"/>
      <c r="C1665" s="38"/>
      <c r="D1665" s="38"/>
      <c r="E1665" s="24"/>
    </row>
    <row r="1666" spans="1:5" ht="12.75" customHeight="1">
      <c r="A1666" s="33"/>
      <c r="B1666" s="34"/>
      <c r="C1666" s="38"/>
      <c r="D1666" s="38"/>
      <c r="E1666" s="24"/>
    </row>
    <row r="1667" spans="1:5" ht="12.75" customHeight="1">
      <c r="A1667" s="33"/>
      <c r="B1667" s="34"/>
      <c r="C1667" s="38"/>
      <c r="D1667" s="38"/>
      <c r="E1667" s="24"/>
    </row>
    <row r="1668" spans="1:5" ht="12.75" customHeight="1">
      <c r="A1668" s="33"/>
      <c r="B1668" s="34"/>
      <c r="C1668" s="38"/>
      <c r="D1668" s="38"/>
      <c r="E1668" s="24"/>
    </row>
    <row r="1669" spans="1:5" ht="12.75" customHeight="1">
      <c r="A1669" s="33"/>
      <c r="B1669" s="34"/>
      <c r="C1669" s="38"/>
      <c r="D1669" s="38"/>
      <c r="E1669" s="24"/>
    </row>
    <row r="1670" spans="1:5" ht="12.75" customHeight="1">
      <c r="A1670" s="33"/>
      <c r="B1670" s="34"/>
      <c r="C1670" s="38"/>
      <c r="D1670" s="38"/>
      <c r="E1670" s="24"/>
    </row>
    <row r="1671" spans="1:5" ht="12.75" customHeight="1">
      <c r="A1671" s="33"/>
      <c r="B1671" s="34"/>
      <c r="C1671" s="38"/>
      <c r="D1671" s="38"/>
      <c r="E1671" s="24"/>
    </row>
    <row r="1672" spans="1:5" ht="12.75" customHeight="1">
      <c r="A1672" s="33"/>
      <c r="B1672" s="34"/>
      <c r="C1672" s="38"/>
      <c r="D1672" s="38"/>
      <c r="E1672" s="24"/>
    </row>
    <row r="1673" spans="1:5" ht="12.75" customHeight="1">
      <c r="A1673" s="33"/>
      <c r="B1673" s="34"/>
      <c r="C1673" s="38"/>
      <c r="D1673" s="38"/>
      <c r="E1673" s="24"/>
    </row>
    <row r="1674" spans="1:5" ht="12.75" customHeight="1">
      <c r="A1674" s="33"/>
      <c r="B1674" s="34"/>
      <c r="C1674" s="38"/>
      <c r="D1674" s="38"/>
      <c r="E1674" s="24"/>
    </row>
    <row r="1675" spans="1:5" ht="12.75" customHeight="1">
      <c r="A1675" s="33"/>
      <c r="B1675" s="34"/>
      <c r="C1675" s="38"/>
      <c r="D1675" s="38"/>
      <c r="E1675" s="24"/>
    </row>
    <row r="1676" spans="1:5" ht="12.75" customHeight="1">
      <c r="A1676" s="33"/>
      <c r="B1676" s="34"/>
      <c r="C1676" s="38"/>
      <c r="D1676" s="38"/>
      <c r="E1676" s="24"/>
    </row>
    <row r="1677" spans="1:5" ht="12.75" customHeight="1">
      <c r="A1677" s="33"/>
      <c r="B1677" s="34"/>
      <c r="C1677" s="38"/>
      <c r="D1677" s="38"/>
      <c r="E1677" s="24"/>
    </row>
    <row r="1678" spans="1:5" ht="12.75" customHeight="1">
      <c r="A1678" s="33"/>
      <c r="B1678" s="34"/>
      <c r="C1678" s="38"/>
      <c r="D1678" s="38"/>
      <c r="E1678" s="24"/>
    </row>
    <row r="1679" spans="1:5" ht="12.75" customHeight="1">
      <c r="A1679" s="33"/>
      <c r="B1679" s="34"/>
      <c r="C1679" s="38"/>
      <c r="D1679" s="38"/>
      <c r="E1679" s="24"/>
    </row>
    <row r="1680" spans="1:5" ht="12.75" customHeight="1">
      <c r="A1680" s="33"/>
      <c r="B1680" s="34"/>
      <c r="C1680" s="38"/>
      <c r="D1680" s="38"/>
      <c r="E1680" s="24"/>
    </row>
    <row r="1681" spans="1:5" ht="12.75" customHeight="1">
      <c r="A1681" s="33"/>
      <c r="B1681" s="34"/>
      <c r="C1681" s="38"/>
      <c r="D1681" s="38"/>
      <c r="E1681" s="24"/>
    </row>
    <row r="1682" spans="1:5" ht="12.75" customHeight="1">
      <c r="A1682" s="33"/>
      <c r="B1682" s="34"/>
      <c r="C1682" s="38"/>
      <c r="D1682" s="38"/>
      <c r="E1682" s="24"/>
    </row>
    <row r="1683" spans="1:5" ht="12.75" customHeight="1">
      <c r="A1683" s="33"/>
      <c r="B1683" s="34"/>
      <c r="C1683" s="38"/>
      <c r="D1683" s="38"/>
      <c r="E1683" s="24"/>
    </row>
    <row r="1684" spans="1:5" ht="12.75" customHeight="1">
      <c r="A1684" s="33"/>
      <c r="B1684" s="34"/>
      <c r="C1684" s="38"/>
      <c r="D1684" s="38"/>
      <c r="E1684" s="24"/>
    </row>
    <row r="1685" spans="1:5" ht="12.75" customHeight="1">
      <c r="A1685" s="33"/>
      <c r="B1685" s="34"/>
      <c r="C1685" s="38"/>
      <c r="D1685" s="38"/>
      <c r="E1685" s="24"/>
    </row>
    <row r="1686" spans="1:5" ht="12.75" customHeight="1">
      <c r="A1686" s="33"/>
      <c r="B1686" s="34"/>
      <c r="C1686" s="38"/>
      <c r="D1686" s="38"/>
      <c r="E1686" s="24"/>
    </row>
    <row r="1687" spans="1:5" ht="12.75" customHeight="1">
      <c r="A1687" s="33"/>
      <c r="B1687" s="34"/>
      <c r="C1687" s="38"/>
      <c r="D1687" s="38"/>
      <c r="E1687" s="24"/>
    </row>
    <row r="1688" spans="1:5" ht="12.75" customHeight="1">
      <c r="A1688" s="33"/>
      <c r="B1688" s="34"/>
      <c r="C1688" s="38"/>
      <c r="D1688" s="38"/>
      <c r="E1688" s="24"/>
    </row>
    <row r="1689" spans="1:5" ht="12.75" customHeight="1">
      <c r="A1689" s="33"/>
      <c r="B1689" s="34"/>
      <c r="C1689" s="38"/>
      <c r="D1689" s="38"/>
      <c r="E1689" s="24"/>
    </row>
    <row r="1690" spans="1:5" ht="12.75" customHeight="1">
      <c r="A1690" s="33"/>
      <c r="B1690" s="34"/>
      <c r="C1690" s="38"/>
      <c r="D1690" s="38"/>
      <c r="E1690" s="24"/>
    </row>
    <row r="1691" spans="1:5" ht="12.75" customHeight="1">
      <c r="A1691" s="33"/>
      <c r="B1691" s="34"/>
      <c r="C1691" s="38"/>
      <c r="D1691" s="38"/>
      <c r="E1691" s="24"/>
    </row>
    <row r="1692" spans="1:5" ht="12.75" customHeight="1">
      <c r="A1692" s="33"/>
      <c r="B1692" s="34"/>
      <c r="C1692" s="38"/>
      <c r="D1692" s="38"/>
      <c r="E1692" s="24"/>
    </row>
    <row r="1693" spans="1:5" ht="12.75" customHeight="1">
      <c r="A1693" s="33"/>
      <c r="B1693" s="34"/>
      <c r="C1693" s="38"/>
      <c r="D1693" s="38"/>
      <c r="E1693" s="24"/>
    </row>
    <row r="1694" spans="1:5" ht="12.75" customHeight="1">
      <c r="A1694" s="33"/>
      <c r="B1694" s="34"/>
      <c r="C1694" s="38"/>
      <c r="D1694" s="38"/>
      <c r="E1694" s="24"/>
    </row>
    <row r="1695" spans="1:5" ht="12.75" customHeight="1">
      <c r="A1695" s="33"/>
      <c r="B1695" s="34"/>
      <c r="C1695" s="38"/>
      <c r="D1695" s="38"/>
      <c r="E1695" s="24"/>
    </row>
    <row r="1696" spans="1:5" ht="12.75" customHeight="1">
      <c r="A1696" s="33"/>
      <c r="B1696" s="34"/>
      <c r="C1696" s="38"/>
      <c r="D1696" s="38"/>
      <c r="E1696" s="24"/>
    </row>
    <row r="1697" spans="1:5" ht="12.75" customHeight="1">
      <c r="A1697" s="33"/>
      <c r="B1697" s="34"/>
      <c r="C1697" s="38"/>
      <c r="D1697" s="38"/>
      <c r="E1697" s="24"/>
    </row>
    <row r="1698" spans="1:5" ht="12.75" customHeight="1">
      <c r="A1698" s="33"/>
      <c r="B1698" s="34"/>
      <c r="C1698" s="38"/>
      <c r="D1698" s="38"/>
      <c r="E1698" s="24"/>
    </row>
    <row r="1699" spans="1:5" ht="12.75" customHeight="1">
      <c r="A1699" s="33"/>
      <c r="B1699" s="34"/>
      <c r="C1699" s="38"/>
      <c r="D1699" s="38"/>
      <c r="E1699" s="24"/>
    </row>
    <row r="1700" spans="1:5" ht="12.75" customHeight="1">
      <c r="A1700" s="33"/>
      <c r="B1700" s="34"/>
      <c r="C1700" s="38"/>
      <c r="D1700" s="38"/>
      <c r="E1700" s="24"/>
    </row>
    <row r="1701" spans="1:5" ht="12.75" customHeight="1">
      <c r="A1701" s="33"/>
      <c r="B1701" s="34"/>
      <c r="C1701" s="38"/>
      <c r="D1701" s="38"/>
      <c r="E1701" s="24"/>
    </row>
    <row r="1702" spans="1:5" ht="12.75" customHeight="1">
      <c r="A1702" s="33"/>
      <c r="B1702" s="34"/>
      <c r="C1702" s="38"/>
      <c r="D1702" s="38"/>
      <c r="E1702" s="24"/>
    </row>
    <row r="1703" spans="1:5" ht="12.75" customHeight="1">
      <c r="A1703" s="33"/>
      <c r="B1703" s="34"/>
      <c r="C1703" s="38"/>
      <c r="D1703" s="38"/>
      <c r="E1703" s="24"/>
    </row>
    <row r="1704" spans="1:5" ht="12.75" customHeight="1">
      <c r="A1704" s="33"/>
      <c r="B1704" s="34"/>
      <c r="C1704" s="38"/>
      <c r="D1704" s="38"/>
      <c r="E1704" s="24"/>
    </row>
    <row r="1705" spans="1:5" ht="12.75" customHeight="1">
      <c r="A1705" s="33"/>
      <c r="B1705" s="34"/>
      <c r="C1705" s="38"/>
      <c r="D1705" s="38"/>
      <c r="E1705" s="24"/>
    </row>
    <row r="1706" spans="1:5" ht="12.75" customHeight="1">
      <c r="A1706" s="33"/>
      <c r="B1706" s="34"/>
      <c r="C1706" s="38"/>
      <c r="D1706" s="38"/>
      <c r="E1706" s="24"/>
    </row>
    <row r="1707" spans="1:5" ht="12.75" customHeight="1">
      <c r="A1707" s="33"/>
      <c r="B1707" s="34"/>
      <c r="C1707" s="38"/>
      <c r="D1707" s="38"/>
      <c r="E1707" s="24"/>
    </row>
    <row r="1708" spans="1:5" ht="12.75" customHeight="1">
      <c r="A1708" s="33"/>
      <c r="B1708" s="34"/>
      <c r="C1708" s="38"/>
      <c r="D1708" s="38"/>
      <c r="E1708" s="24"/>
    </row>
    <row r="1709" spans="1:5" ht="12.75" customHeight="1">
      <c r="A1709" s="33"/>
      <c r="B1709" s="34"/>
      <c r="C1709" s="38"/>
      <c r="D1709" s="38"/>
      <c r="E1709" s="24"/>
    </row>
    <row r="1710" spans="1:5" ht="12.75" customHeight="1">
      <c r="A1710" s="33"/>
      <c r="B1710" s="34"/>
      <c r="C1710" s="38"/>
      <c r="D1710" s="38"/>
      <c r="E1710" s="24"/>
    </row>
    <row r="1711" spans="1:5" ht="12.75" customHeight="1">
      <c r="A1711" s="33"/>
      <c r="B1711" s="34"/>
      <c r="C1711" s="38"/>
      <c r="D1711" s="38"/>
      <c r="E1711" s="24"/>
    </row>
    <row r="1712" spans="1:5" ht="12.75" customHeight="1">
      <c r="A1712" s="33"/>
      <c r="B1712" s="34"/>
      <c r="C1712" s="38"/>
      <c r="D1712" s="38"/>
      <c r="E1712" s="24"/>
    </row>
    <row r="1713" spans="1:5" ht="12.75" customHeight="1">
      <c r="A1713" s="33"/>
      <c r="B1713" s="34"/>
      <c r="C1713" s="38"/>
      <c r="D1713" s="38"/>
      <c r="E1713" s="24"/>
    </row>
    <row r="1714" spans="1:5" ht="12.75" customHeight="1">
      <c r="A1714" s="33"/>
      <c r="B1714" s="34"/>
      <c r="C1714" s="38"/>
      <c r="D1714" s="38"/>
      <c r="E1714" s="24"/>
    </row>
    <row r="1715" spans="1:5" ht="12.75" customHeight="1">
      <c r="A1715" s="33"/>
      <c r="B1715" s="34"/>
      <c r="C1715" s="38"/>
      <c r="D1715" s="38"/>
      <c r="E1715" s="24"/>
    </row>
    <row r="1716" spans="1:5" ht="12.75" customHeight="1">
      <c r="A1716" s="33"/>
      <c r="B1716" s="34"/>
      <c r="C1716" s="38"/>
      <c r="D1716" s="38"/>
      <c r="E1716" s="24"/>
    </row>
    <row r="1717" spans="1:5" ht="12.75" customHeight="1">
      <c r="A1717" s="33"/>
      <c r="B1717" s="34"/>
      <c r="C1717" s="38"/>
      <c r="D1717" s="38"/>
      <c r="E1717" s="24"/>
    </row>
    <row r="1718" spans="1:5" ht="12.75" customHeight="1">
      <c r="A1718" s="33"/>
      <c r="B1718" s="34"/>
      <c r="C1718" s="38"/>
      <c r="D1718" s="38"/>
      <c r="E1718" s="24"/>
    </row>
    <row r="1719" spans="1:5" ht="12.75" customHeight="1">
      <c r="A1719" s="33"/>
      <c r="B1719" s="34"/>
      <c r="C1719" s="38"/>
      <c r="D1719" s="38"/>
      <c r="E1719" s="24"/>
    </row>
    <row r="1720" spans="1:5" ht="12.75" customHeight="1">
      <c r="A1720" s="33"/>
      <c r="B1720" s="34"/>
      <c r="C1720" s="38"/>
      <c r="D1720" s="38"/>
      <c r="E1720" s="24"/>
    </row>
    <row r="1721" spans="1:5" ht="12.75" customHeight="1">
      <c r="A1721" s="33"/>
      <c r="B1721" s="34"/>
      <c r="C1721" s="38"/>
      <c r="D1721" s="38"/>
      <c r="E1721" s="24"/>
    </row>
    <row r="1722" spans="1:5" ht="12.75" customHeight="1">
      <c r="A1722" s="33"/>
      <c r="B1722" s="34"/>
      <c r="C1722" s="38"/>
      <c r="D1722" s="38"/>
      <c r="E1722" s="24"/>
    </row>
    <row r="1723" spans="1:5" ht="12.75" customHeight="1">
      <c r="A1723" s="33"/>
      <c r="B1723" s="34"/>
      <c r="C1723" s="38"/>
      <c r="D1723" s="38"/>
      <c r="E1723" s="24"/>
    </row>
    <row r="1724" spans="1:5" ht="12.75" customHeight="1">
      <c r="A1724" s="33"/>
      <c r="B1724" s="34"/>
      <c r="C1724" s="38"/>
      <c r="D1724" s="38"/>
      <c r="E1724" s="24"/>
    </row>
    <row r="1725" spans="1:5" ht="12.75" customHeight="1">
      <c r="A1725" s="33"/>
      <c r="B1725" s="34"/>
      <c r="C1725" s="38"/>
      <c r="D1725" s="38"/>
      <c r="E1725" s="24"/>
    </row>
    <row r="1726" spans="1:5" ht="12.75" customHeight="1">
      <c r="A1726" s="33"/>
      <c r="B1726" s="34"/>
      <c r="C1726" s="38"/>
      <c r="D1726" s="38"/>
      <c r="E1726" s="24"/>
    </row>
    <row r="1727" spans="1:5" ht="12.75" customHeight="1">
      <c r="A1727" s="33"/>
      <c r="B1727" s="34"/>
      <c r="C1727" s="38"/>
      <c r="D1727" s="38"/>
      <c r="E1727" s="24"/>
    </row>
    <row r="1728" spans="1:5" ht="12.75" customHeight="1">
      <c r="A1728" s="33"/>
      <c r="B1728" s="34"/>
      <c r="C1728" s="38"/>
      <c r="D1728" s="38"/>
      <c r="E1728" s="24"/>
    </row>
    <row r="1729" spans="1:5" ht="12.75" customHeight="1">
      <c r="A1729" s="33"/>
      <c r="B1729" s="34"/>
      <c r="C1729" s="38"/>
      <c r="D1729" s="38"/>
      <c r="E1729" s="24"/>
    </row>
    <row r="1730" spans="1:5" ht="12.75" customHeight="1">
      <c r="A1730" s="33"/>
      <c r="B1730" s="34"/>
      <c r="C1730" s="38"/>
      <c r="D1730" s="38"/>
      <c r="E1730" s="24"/>
    </row>
    <row r="1731" spans="1:5" ht="12.75" customHeight="1">
      <c r="A1731" s="33"/>
      <c r="B1731" s="34"/>
      <c r="C1731" s="38"/>
      <c r="D1731" s="38"/>
      <c r="E1731" s="24"/>
    </row>
    <row r="1732" spans="1:5" ht="12.75" customHeight="1">
      <c r="A1732" s="33"/>
      <c r="B1732" s="34"/>
      <c r="C1732" s="38"/>
      <c r="D1732" s="38"/>
      <c r="E1732" s="24"/>
    </row>
    <row r="1733" spans="1:5" ht="12.75" customHeight="1">
      <c r="A1733" s="33"/>
      <c r="B1733" s="34"/>
      <c r="C1733" s="38"/>
      <c r="D1733" s="38"/>
      <c r="E1733" s="24"/>
    </row>
    <row r="1734" spans="1:5" ht="12.75" customHeight="1">
      <c r="A1734" s="33"/>
      <c r="B1734" s="34"/>
      <c r="C1734" s="38"/>
      <c r="D1734" s="38"/>
      <c r="E1734" s="24"/>
    </row>
    <row r="1735" spans="1:5" ht="12.75" customHeight="1">
      <c r="A1735" s="33"/>
      <c r="B1735" s="34"/>
      <c r="C1735" s="38"/>
      <c r="D1735" s="38"/>
      <c r="E1735" s="24"/>
    </row>
    <row r="1736" spans="1:5" ht="12.75" customHeight="1">
      <c r="A1736" s="33"/>
      <c r="B1736" s="34"/>
      <c r="C1736" s="38"/>
      <c r="D1736" s="38"/>
      <c r="E1736" s="24"/>
    </row>
    <row r="1737" spans="1:5" ht="12.75" customHeight="1">
      <c r="A1737" s="33"/>
      <c r="B1737" s="34"/>
      <c r="C1737" s="38"/>
      <c r="D1737" s="38"/>
      <c r="E1737" s="24"/>
    </row>
    <row r="1738" spans="1:5" ht="12.75" customHeight="1">
      <c r="A1738" s="33"/>
      <c r="B1738" s="34"/>
      <c r="C1738" s="38"/>
      <c r="D1738" s="38"/>
      <c r="E1738" s="24"/>
    </row>
    <row r="1739" spans="1:5" ht="12.75" customHeight="1">
      <c r="A1739" s="33"/>
      <c r="B1739" s="34"/>
      <c r="C1739" s="38"/>
      <c r="D1739" s="38"/>
      <c r="E1739" s="24"/>
    </row>
    <row r="1740" spans="1:5" ht="12.75" customHeight="1">
      <c r="A1740" s="33"/>
      <c r="B1740" s="34"/>
      <c r="C1740" s="38"/>
      <c r="D1740" s="38"/>
      <c r="E1740" s="24"/>
    </row>
    <row r="1741" spans="1:5" ht="12.75" customHeight="1">
      <c r="A1741" s="33"/>
      <c r="B1741" s="34"/>
      <c r="C1741" s="38"/>
      <c r="D1741" s="38"/>
      <c r="E1741" s="24"/>
    </row>
    <row r="1742" spans="1:5" ht="12.75" customHeight="1">
      <c r="A1742" s="33"/>
      <c r="B1742" s="34"/>
      <c r="C1742" s="38"/>
      <c r="D1742" s="38"/>
      <c r="E1742" s="24"/>
    </row>
    <row r="1743" spans="1:5" ht="12.75" customHeight="1">
      <c r="A1743" s="33"/>
      <c r="B1743" s="34"/>
      <c r="C1743" s="38"/>
      <c r="D1743" s="38"/>
      <c r="E1743" s="24"/>
    </row>
    <row r="1744" spans="1:5" ht="12.75" customHeight="1">
      <c r="A1744" s="33"/>
      <c r="B1744" s="34"/>
      <c r="C1744" s="38"/>
      <c r="D1744" s="38"/>
      <c r="E1744" s="24"/>
    </row>
    <row r="1745" spans="1:5" ht="12.75" customHeight="1">
      <c r="A1745" s="33"/>
      <c r="B1745" s="34"/>
      <c r="C1745" s="38"/>
      <c r="D1745" s="38"/>
      <c r="E1745" s="24"/>
    </row>
    <row r="1746" spans="1:5" ht="12.75" customHeight="1">
      <c r="A1746" s="33"/>
      <c r="B1746" s="34"/>
      <c r="C1746" s="38"/>
      <c r="D1746" s="38"/>
      <c r="E1746" s="24"/>
    </row>
    <row r="1747" spans="1:5" ht="12.75" customHeight="1">
      <c r="A1747" s="33"/>
      <c r="B1747" s="34"/>
      <c r="C1747" s="38"/>
      <c r="D1747" s="38"/>
      <c r="E1747" s="24"/>
    </row>
    <row r="1748" spans="1:5" ht="12.75" customHeight="1">
      <c r="A1748" s="33"/>
      <c r="B1748" s="34"/>
      <c r="C1748" s="38"/>
      <c r="D1748" s="38"/>
      <c r="E1748" s="24"/>
    </row>
    <row r="1749" spans="1:5" ht="12.75" customHeight="1">
      <c r="A1749" s="33"/>
      <c r="B1749" s="34"/>
      <c r="C1749" s="38"/>
      <c r="D1749" s="38"/>
      <c r="E1749" s="24"/>
    </row>
    <row r="1750" spans="1:5" ht="12.75" customHeight="1">
      <c r="A1750" s="33"/>
      <c r="B1750" s="34"/>
      <c r="C1750" s="38"/>
      <c r="D1750" s="38"/>
      <c r="E1750" s="24"/>
    </row>
    <row r="1751" spans="1:5" ht="12.75" customHeight="1">
      <c r="A1751" s="33"/>
      <c r="B1751" s="34"/>
      <c r="C1751" s="38"/>
      <c r="D1751" s="38"/>
      <c r="E1751" s="24"/>
    </row>
    <row r="1752" spans="1:5" ht="12.75" customHeight="1">
      <c r="A1752" s="33"/>
      <c r="B1752" s="34"/>
      <c r="C1752" s="38"/>
      <c r="D1752" s="38"/>
      <c r="E1752" s="24"/>
    </row>
    <row r="1753" spans="1:5" ht="12.75" customHeight="1">
      <c r="A1753" s="33"/>
      <c r="B1753" s="34"/>
      <c r="C1753" s="38"/>
      <c r="D1753" s="38"/>
      <c r="E1753" s="24"/>
    </row>
    <row r="1754" spans="1:5" ht="12.75" customHeight="1">
      <c r="A1754" s="33"/>
      <c r="B1754" s="34"/>
      <c r="C1754" s="38"/>
      <c r="D1754" s="38"/>
      <c r="E1754" s="24"/>
    </row>
    <row r="1755" spans="1:5" ht="12.75" customHeight="1">
      <c r="A1755" s="33"/>
      <c r="B1755" s="34"/>
      <c r="C1755" s="38"/>
      <c r="D1755" s="38"/>
      <c r="E1755" s="24"/>
    </row>
    <row r="1756" spans="1:5" ht="12.75" customHeight="1">
      <c r="A1756" s="33"/>
      <c r="B1756" s="34"/>
      <c r="C1756" s="38"/>
      <c r="D1756" s="38"/>
      <c r="E1756" s="24"/>
    </row>
    <row r="1757" spans="1:5" ht="12.75" customHeight="1">
      <c r="A1757" s="33"/>
      <c r="B1757" s="34"/>
      <c r="C1757" s="38"/>
      <c r="D1757" s="38"/>
      <c r="E1757" s="24"/>
    </row>
    <row r="1758" spans="1:5" ht="12.75" customHeight="1">
      <c r="A1758" s="33"/>
      <c r="B1758" s="34"/>
      <c r="C1758" s="38"/>
      <c r="D1758" s="38"/>
      <c r="E1758" s="24"/>
    </row>
    <row r="1759" spans="1:5" ht="12.75" customHeight="1">
      <c r="A1759" s="33"/>
      <c r="B1759" s="34"/>
      <c r="C1759" s="38"/>
      <c r="D1759" s="38"/>
      <c r="E1759" s="24"/>
    </row>
    <row r="1760" spans="1:5" ht="12.75" customHeight="1">
      <c r="A1760" s="33"/>
      <c r="B1760" s="34"/>
      <c r="C1760" s="38"/>
      <c r="D1760" s="38"/>
      <c r="E1760" s="24"/>
    </row>
    <row r="1761" spans="1:5" ht="12.75" customHeight="1">
      <c r="A1761" s="33"/>
      <c r="B1761" s="34"/>
      <c r="C1761" s="38"/>
      <c r="D1761" s="38"/>
      <c r="E1761" s="24"/>
    </row>
    <row r="1762" spans="1:5" ht="12.75" customHeight="1">
      <c r="A1762" s="33"/>
      <c r="B1762" s="34"/>
      <c r="C1762" s="38"/>
      <c r="D1762" s="38"/>
      <c r="E1762" s="24"/>
    </row>
    <row r="1763" spans="1:5" ht="12.75" customHeight="1">
      <c r="A1763" s="33"/>
      <c r="B1763" s="34"/>
      <c r="C1763" s="38"/>
      <c r="D1763" s="38"/>
      <c r="E1763" s="24"/>
    </row>
    <row r="1764" spans="1:5" ht="12.75" customHeight="1">
      <c r="A1764" s="33"/>
      <c r="B1764" s="34"/>
      <c r="C1764" s="38"/>
      <c r="D1764" s="38"/>
      <c r="E1764" s="24"/>
    </row>
    <row r="1765" spans="1:5" ht="12.75" customHeight="1">
      <c r="A1765" s="33"/>
      <c r="B1765" s="34"/>
      <c r="C1765" s="38"/>
      <c r="D1765" s="38"/>
      <c r="E1765" s="24"/>
    </row>
    <row r="1766" spans="1:5" ht="12.75" customHeight="1">
      <c r="A1766" s="33"/>
      <c r="B1766" s="34"/>
      <c r="C1766" s="38"/>
      <c r="D1766" s="38"/>
      <c r="E1766" s="24"/>
    </row>
    <row r="1767" spans="1:5" ht="12.75" customHeight="1">
      <c r="A1767" s="33"/>
      <c r="B1767" s="34"/>
      <c r="C1767" s="38"/>
      <c r="D1767" s="38"/>
      <c r="E1767" s="24"/>
    </row>
    <row r="1768" spans="1:5" ht="12.75" customHeight="1">
      <c r="A1768" s="33"/>
      <c r="B1768" s="34"/>
      <c r="C1768" s="38"/>
      <c r="D1768" s="38"/>
      <c r="E1768" s="24"/>
    </row>
    <row r="1769" spans="1:5" ht="12.75" customHeight="1">
      <c r="A1769" s="33"/>
      <c r="B1769" s="34"/>
      <c r="C1769" s="38"/>
      <c r="D1769" s="38"/>
      <c r="E1769" s="24"/>
    </row>
    <row r="1770" spans="1:5" ht="12.75" customHeight="1">
      <c r="A1770" s="33"/>
      <c r="B1770" s="34"/>
      <c r="C1770" s="38"/>
      <c r="D1770" s="38"/>
      <c r="E1770" s="24"/>
    </row>
    <row r="1771" spans="1:5" ht="12.75" customHeight="1">
      <c r="A1771" s="33"/>
      <c r="B1771" s="34"/>
      <c r="C1771" s="38"/>
      <c r="D1771" s="38"/>
      <c r="E1771" s="24"/>
    </row>
    <row r="1772" spans="1:5" ht="12.75" customHeight="1">
      <c r="A1772" s="33"/>
      <c r="B1772" s="34"/>
      <c r="C1772" s="38"/>
      <c r="D1772" s="38"/>
      <c r="E1772" s="24"/>
    </row>
    <row r="1773" spans="1:5" ht="12.75" customHeight="1">
      <c r="A1773" s="33"/>
      <c r="B1773" s="34"/>
      <c r="C1773" s="38"/>
      <c r="D1773" s="38"/>
      <c r="E1773" s="24"/>
    </row>
    <row r="1774" spans="1:5" ht="12.75" customHeight="1">
      <c r="A1774" s="33"/>
      <c r="B1774" s="34"/>
      <c r="C1774" s="38"/>
      <c r="D1774" s="38"/>
      <c r="E1774" s="24"/>
    </row>
    <row r="1775" spans="1:5" ht="12.75" customHeight="1">
      <c r="A1775" s="33"/>
      <c r="B1775" s="34"/>
      <c r="C1775" s="38"/>
      <c r="D1775" s="38"/>
      <c r="E1775" s="24"/>
    </row>
    <row r="1776" spans="1:5" ht="12.75" customHeight="1">
      <c r="A1776" s="33"/>
      <c r="B1776" s="34"/>
      <c r="C1776" s="38"/>
      <c r="D1776" s="38"/>
      <c r="E1776" s="24"/>
    </row>
    <row r="1777" spans="1:5" ht="12.75" customHeight="1">
      <c r="A1777" s="33"/>
      <c r="B1777" s="34"/>
      <c r="C1777" s="38"/>
      <c r="D1777" s="38"/>
      <c r="E1777" s="24"/>
    </row>
    <row r="1778" spans="1:5" ht="12.75" customHeight="1">
      <c r="A1778" s="33"/>
      <c r="B1778" s="34"/>
      <c r="C1778" s="38"/>
      <c r="D1778" s="38"/>
      <c r="E1778" s="24"/>
    </row>
    <row r="1779" spans="1:5" ht="12.75" customHeight="1">
      <c r="A1779" s="33"/>
      <c r="B1779" s="34"/>
      <c r="C1779" s="38"/>
      <c r="D1779" s="38"/>
      <c r="E1779" s="24"/>
    </row>
    <row r="1780" spans="1:5" ht="12.75" customHeight="1">
      <c r="A1780" s="33"/>
      <c r="B1780" s="34"/>
      <c r="C1780" s="38"/>
      <c r="D1780" s="38"/>
      <c r="E1780" s="24"/>
    </row>
    <row r="1781" spans="1:5" ht="12.75" customHeight="1">
      <c r="A1781" s="33"/>
      <c r="B1781" s="34"/>
      <c r="C1781" s="38"/>
      <c r="D1781" s="38"/>
      <c r="E1781" s="24"/>
    </row>
    <row r="1782" spans="1:5" ht="12.75" customHeight="1">
      <c r="A1782" s="33"/>
      <c r="B1782" s="34"/>
      <c r="C1782" s="38"/>
      <c r="D1782" s="38"/>
      <c r="E1782" s="24"/>
    </row>
    <row r="1783" spans="1:5" ht="12.75" customHeight="1">
      <c r="A1783" s="33"/>
      <c r="B1783" s="34"/>
      <c r="C1783" s="38"/>
      <c r="D1783" s="38"/>
      <c r="E1783" s="24"/>
    </row>
    <row r="1784" spans="1:5" ht="12.75" customHeight="1">
      <c r="A1784" s="33"/>
      <c r="B1784" s="34"/>
      <c r="C1784" s="38"/>
      <c r="D1784" s="38"/>
      <c r="E1784" s="24"/>
    </row>
    <row r="1785" spans="1:5" ht="12.75" customHeight="1">
      <c r="A1785" s="33"/>
      <c r="B1785" s="34"/>
      <c r="C1785" s="38"/>
      <c r="D1785" s="38"/>
      <c r="E1785" s="24"/>
    </row>
    <row r="1786" spans="1:5" ht="12.75" customHeight="1">
      <c r="A1786" s="33"/>
      <c r="B1786" s="34"/>
      <c r="C1786" s="38"/>
      <c r="D1786" s="38"/>
      <c r="E1786" s="24"/>
    </row>
    <row r="1787" spans="1:5" ht="12.75" customHeight="1">
      <c r="A1787" s="33"/>
      <c r="B1787" s="34"/>
      <c r="C1787" s="38"/>
      <c r="D1787" s="38"/>
      <c r="E1787" s="24"/>
    </row>
    <row r="1788" spans="1:5" ht="12.75" customHeight="1">
      <c r="A1788" s="33"/>
      <c r="B1788" s="34"/>
      <c r="C1788" s="38"/>
      <c r="D1788" s="38"/>
      <c r="E1788" s="24"/>
    </row>
    <row r="1789" spans="1:5" ht="12.75" customHeight="1">
      <c r="A1789" s="33"/>
      <c r="B1789" s="34"/>
      <c r="C1789" s="38"/>
      <c r="D1789" s="38"/>
      <c r="E1789" s="24"/>
    </row>
    <row r="1790" spans="1:5" ht="12.75" customHeight="1">
      <c r="A1790" s="33"/>
      <c r="B1790" s="34"/>
      <c r="C1790" s="38"/>
      <c r="D1790" s="38"/>
      <c r="E1790" s="24"/>
    </row>
    <row r="1791" spans="1:5" ht="12.75" customHeight="1">
      <c r="A1791" s="33"/>
      <c r="B1791" s="34"/>
      <c r="C1791" s="38"/>
      <c r="D1791" s="38"/>
      <c r="E1791" s="24"/>
    </row>
    <row r="1792" spans="1:5" ht="12.75" customHeight="1">
      <c r="A1792" s="33"/>
      <c r="B1792" s="34"/>
      <c r="C1792" s="38"/>
      <c r="D1792" s="38"/>
      <c r="E1792" s="24"/>
    </row>
    <row r="1793" spans="1:5" ht="12.75" customHeight="1">
      <c r="A1793" s="33"/>
      <c r="B1793" s="34"/>
      <c r="C1793" s="38"/>
      <c r="D1793" s="38"/>
      <c r="E1793" s="24"/>
    </row>
    <row r="1794" spans="1:5" ht="12.75" customHeight="1">
      <c r="A1794" s="33"/>
      <c r="B1794" s="34"/>
      <c r="C1794" s="38"/>
      <c r="D1794" s="38"/>
      <c r="E1794" s="24"/>
    </row>
    <row r="1795" spans="1:5" ht="12.75" customHeight="1">
      <c r="A1795" s="33"/>
      <c r="B1795" s="34"/>
      <c r="C1795" s="38"/>
      <c r="D1795" s="38"/>
      <c r="E1795" s="24"/>
    </row>
    <row r="1796" spans="1:5" ht="12.75" customHeight="1">
      <c r="A1796" s="33"/>
      <c r="B1796" s="34"/>
      <c r="C1796" s="38"/>
      <c r="D1796" s="38"/>
      <c r="E1796" s="24"/>
    </row>
    <row r="1797" spans="1:5" ht="12.75" customHeight="1">
      <c r="A1797" s="33"/>
      <c r="B1797" s="34"/>
      <c r="C1797" s="38"/>
      <c r="D1797" s="38"/>
      <c r="E1797" s="24"/>
    </row>
    <row r="1798" spans="1:5" ht="12.75" customHeight="1">
      <c r="A1798" s="33"/>
      <c r="B1798" s="34"/>
      <c r="C1798" s="38"/>
      <c r="D1798" s="38"/>
      <c r="E1798" s="24"/>
    </row>
    <row r="1799" spans="1:5" ht="12.75" customHeight="1">
      <c r="A1799" s="33"/>
      <c r="B1799" s="34"/>
      <c r="C1799" s="38"/>
      <c r="D1799" s="38"/>
      <c r="E1799" s="24"/>
    </row>
    <row r="1800" spans="1:5" ht="12.75" customHeight="1">
      <c r="A1800" s="33"/>
      <c r="B1800" s="34"/>
      <c r="C1800" s="38"/>
      <c r="D1800" s="38"/>
      <c r="E1800" s="24"/>
    </row>
    <row r="1801" spans="1:5" ht="12.75" customHeight="1">
      <c r="A1801" s="33"/>
      <c r="B1801" s="34"/>
      <c r="C1801" s="38"/>
      <c r="D1801" s="38"/>
      <c r="E1801" s="24"/>
    </row>
    <row r="1802" spans="1:5" ht="12.75" customHeight="1">
      <c r="A1802" s="33"/>
      <c r="B1802" s="34"/>
      <c r="C1802" s="38"/>
      <c r="D1802" s="38"/>
      <c r="E1802" s="24"/>
    </row>
    <row r="1803" spans="1:5" ht="12.75" customHeight="1">
      <c r="A1803" s="33"/>
      <c r="B1803" s="34"/>
      <c r="C1803" s="38"/>
      <c r="D1803" s="38"/>
      <c r="E1803" s="24"/>
    </row>
    <row r="1804" spans="1:5" ht="12.75" customHeight="1">
      <c r="A1804" s="33"/>
      <c r="B1804" s="34"/>
      <c r="C1804" s="38"/>
      <c r="D1804" s="38"/>
      <c r="E1804" s="24"/>
    </row>
    <row r="1805" spans="1:5" ht="12.75" customHeight="1">
      <c r="A1805" s="33"/>
      <c r="B1805" s="34"/>
      <c r="C1805" s="38"/>
      <c r="D1805" s="38"/>
      <c r="E1805" s="24"/>
    </row>
    <row r="1806" spans="1:5" ht="12.75" customHeight="1">
      <c r="A1806" s="33"/>
      <c r="B1806" s="34"/>
      <c r="C1806" s="38"/>
      <c r="D1806" s="38"/>
      <c r="E1806" s="24"/>
    </row>
    <row r="1807" spans="1:5" ht="12.75" customHeight="1">
      <c r="A1807" s="33"/>
      <c r="B1807" s="34"/>
      <c r="C1807" s="38"/>
      <c r="D1807" s="38"/>
      <c r="E1807" s="24"/>
    </row>
    <row r="1808" spans="1:5" ht="12.75" customHeight="1">
      <c r="A1808" s="33"/>
      <c r="B1808" s="34"/>
      <c r="C1808" s="38"/>
      <c r="D1808" s="38"/>
      <c r="E1808" s="24"/>
    </row>
    <row r="1809" spans="1:5" ht="12.75" customHeight="1">
      <c r="A1809" s="33"/>
      <c r="B1809" s="34"/>
      <c r="C1809" s="38"/>
      <c r="D1809" s="38"/>
      <c r="E1809" s="24"/>
    </row>
    <row r="1810" spans="1:5" ht="12.75" customHeight="1">
      <c r="A1810" s="33"/>
      <c r="B1810" s="34"/>
      <c r="C1810" s="38"/>
      <c r="D1810" s="38"/>
      <c r="E1810" s="24"/>
    </row>
    <row r="1811" spans="1:5" ht="12.75" customHeight="1">
      <c r="A1811" s="33"/>
      <c r="B1811" s="34"/>
      <c r="C1811" s="38"/>
      <c r="D1811" s="38"/>
      <c r="E1811" s="24"/>
    </row>
    <row r="1812" spans="1:5" ht="12.75" customHeight="1">
      <c r="A1812" s="33"/>
      <c r="B1812" s="34"/>
      <c r="C1812" s="38"/>
      <c r="D1812" s="38"/>
      <c r="E1812" s="24"/>
    </row>
    <row r="1813" spans="1:5" ht="12.75" customHeight="1">
      <c r="A1813" s="33"/>
      <c r="B1813" s="34"/>
      <c r="C1813" s="38"/>
      <c r="D1813" s="38"/>
      <c r="E1813" s="24"/>
    </row>
    <row r="1814" spans="1:5" ht="12.75" customHeight="1">
      <c r="A1814" s="33"/>
      <c r="B1814" s="34"/>
      <c r="C1814" s="38"/>
      <c r="D1814" s="38"/>
      <c r="E1814" s="24"/>
    </row>
    <row r="1815" spans="1:5" ht="12.75" customHeight="1">
      <c r="A1815" s="33"/>
      <c r="B1815" s="34"/>
      <c r="C1815" s="38"/>
      <c r="D1815" s="38"/>
      <c r="E1815" s="24"/>
    </row>
    <row r="1816" spans="1:5" ht="12.75" customHeight="1">
      <c r="A1816" s="33"/>
      <c r="B1816" s="34"/>
      <c r="C1816" s="38"/>
      <c r="D1816" s="38"/>
      <c r="E1816" s="24"/>
    </row>
    <row r="1817" spans="1:5" ht="12.75" customHeight="1">
      <c r="A1817" s="33"/>
      <c r="B1817" s="34"/>
      <c r="C1817" s="38"/>
      <c r="D1817" s="38"/>
      <c r="E1817" s="24"/>
    </row>
    <row r="1818" spans="1:5" ht="12.75" customHeight="1">
      <c r="A1818" s="33"/>
      <c r="B1818" s="34"/>
      <c r="C1818" s="38"/>
      <c r="D1818" s="38"/>
      <c r="E1818" s="24"/>
    </row>
    <row r="1819" spans="1:5" ht="12.75" customHeight="1">
      <c r="A1819" s="33"/>
      <c r="B1819" s="34"/>
      <c r="C1819" s="38"/>
      <c r="D1819" s="38"/>
      <c r="E1819" s="24"/>
    </row>
    <row r="1820" spans="1:5" ht="12.75" customHeight="1">
      <c r="A1820" s="33"/>
      <c r="B1820" s="34"/>
      <c r="C1820" s="38"/>
      <c r="D1820" s="38"/>
      <c r="E1820" s="24"/>
    </row>
    <row r="1821" spans="1:5" ht="12.75" customHeight="1">
      <c r="A1821" s="33"/>
      <c r="B1821" s="34"/>
      <c r="C1821" s="38"/>
      <c r="D1821" s="38"/>
      <c r="E1821" s="24"/>
    </row>
    <row r="1822" spans="1:5" ht="12.75" customHeight="1">
      <c r="A1822" s="33"/>
      <c r="B1822" s="34"/>
      <c r="C1822" s="38"/>
      <c r="D1822" s="38"/>
      <c r="E1822" s="24"/>
    </row>
    <row r="1823" spans="1:5" ht="12.75" customHeight="1">
      <c r="A1823" s="33"/>
      <c r="B1823" s="34"/>
      <c r="C1823" s="38"/>
      <c r="D1823" s="38"/>
      <c r="E1823" s="24"/>
    </row>
    <row r="1824" spans="1:5" ht="12.75" customHeight="1">
      <c r="A1824" s="33"/>
      <c r="B1824" s="34"/>
      <c r="C1824" s="38"/>
      <c r="D1824" s="38"/>
      <c r="E1824" s="24"/>
    </row>
    <row r="1825" spans="1:5" ht="12.75" customHeight="1">
      <c r="A1825" s="33"/>
      <c r="B1825" s="34"/>
      <c r="C1825" s="38"/>
      <c r="D1825" s="38"/>
      <c r="E1825" s="24"/>
    </row>
    <row r="1826" spans="1:5" ht="12.75" customHeight="1">
      <c r="A1826" s="33"/>
      <c r="B1826" s="34"/>
      <c r="C1826" s="38"/>
      <c r="D1826" s="38"/>
      <c r="E1826" s="24"/>
    </row>
    <row r="1827" spans="1:5" ht="12.75" customHeight="1">
      <c r="A1827" s="33"/>
      <c r="B1827" s="34"/>
      <c r="C1827" s="38"/>
      <c r="D1827" s="38"/>
      <c r="E1827" s="24"/>
    </row>
    <row r="1828" spans="1:5" ht="12.75" customHeight="1">
      <c r="A1828" s="33"/>
      <c r="B1828" s="34"/>
      <c r="C1828" s="38"/>
      <c r="D1828" s="38"/>
      <c r="E1828" s="24"/>
    </row>
    <row r="1829" spans="1:5" ht="12.75" customHeight="1">
      <c r="A1829" s="33"/>
      <c r="B1829" s="34"/>
      <c r="C1829" s="38"/>
      <c r="D1829" s="38"/>
      <c r="E1829" s="24"/>
    </row>
    <row r="1830" spans="1:5" ht="12.75" customHeight="1">
      <c r="A1830" s="33"/>
      <c r="B1830" s="34"/>
      <c r="C1830" s="38"/>
      <c r="D1830" s="38"/>
      <c r="E1830" s="24"/>
    </row>
    <row r="1831" spans="1:5" ht="12.75" customHeight="1">
      <c r="A1831" s="33"/>
      <c r="B1831" s="34"/>
      <c r="C1831" s="38"/>
      <c r="D1831" s="38"/>
      <c r="E1831" s="24"/>
    </row>
    <row r="1832" spans="1:5" ht="12.75" customHeight="1">
      <c r="A1832" s="33"/>
      <c r="B1832" s="34"/>
      <c r="C1832" s="38"/>
      <c r="D1832" s="38"/>
      <c r="E1832" s="24"/>
    </row>
    <row r="1833" spans="1:5" ht="12.75" customHeight="1">
      <c r="A1833" s="33"/>
      <c r="B1833" s="34"/>
      <c r="C1833" s="38"/>
      <c r="D1833" s="38"/>
      <c r="E1833" s="24"/>
    </row>
    <row r="1834" spans="1:5" ht="12.75" customHeight="1">
      <c r="A1834" s="33"/>
      <c r="B1834" s="34"/>
      <c r="C1834" s="38"/>
      <c r="D1834" s="38"/>
      <c r="E1834" s="24"/>
    </row>
    <row r="1835" spans="1:5" ht="12.75" customHeight="1">
      <c r="A1835" s="33"/>
      <c r="B1835" s="34"/>
      <c r="C1835" s="38"/>
      <c r="D1835" s="38"/>
      <c r="E1835" s="24"/>
    </row>
    <row r="1836" spans="1:5" ht="12.75" customHeight="1">
      <c r="A1836" s="33"/>
      <c r="B1836" s="34"/>
      <c r="C1836" s="38"/>
      <c r="D1836" s="38"/>
      <c r="E1836" s="24"/>
    </row>
    <row r="1837" spans="1:5" ht="12.75" customHeight="1">
      <c r="A1837" s="33"/>
      <c r="B1837" s="34"/>
      <c r="C1837" s="38"/>
      <c r="D1837" s="38"/>
      <c r="E1837" s="24"/>
    </row>
    <row r="1838" spans="1:5" ht="12.75" customHeight="1">
      <c r="A1838" s="33"/>
      <c r="B1838" s="34"/>
      <c r="C1838" s="38"/>
      <c r="D1838" s="38"/>
      <c r="E1838" s="24"/>
    </row>
    <row r="1839" spans="1:5" ht="12.75" customHeight="1">
      <c r="A1839" s="33"/>
      <c r="B1839" s="34"/>
      <c r="C1839" s="38"/>
      <c r="D1839" s="38"/>
      <c r="E1839" s="24"/>
    </row>
    <row r="1840" spans="1:5" ht="12.75" customHeight="1">
      <c r="A1840" s="33"/>
      <c r="B1840" s="34"/>
      <c r="C1840" s="38"/>
      <c r="D1840" s="38"/>
      <c r="E1840" s="24"/>
    </row>
    <row r="1841" spans="1:5" ht="12.75" customHeight="1">
      <c r="A1841" s="33"/>
      <c r="B1841" s="34"/>
      <c r="C1841" s="38"/>
      <c r="D1841" s="38"/>
      <c r="E1841" s="24"/>
    </row>
    <row r="1842" spans="1:5" ht="12.75" customHeight="1">
      <c r="A1842" s="33"/>
      <c r="B1842" s="34"/>
      <c r="C1842" s="38"/>
      <c r="D1842" s="38"/>
      <c r="E1842" s="24"/>
    </row>
    <row r="1843" spans="1:5" ht="12.75" customHeight="1">
      <c r="A1843" s="33"/>
      <c r="B1843" s="34"/>
      <c r="C1843" s="38"/>
      <c r="D1843" s="38"/>
      <c r="E1843" s="24"/>
    </row>
    <row r="1844" spans="1:5" ht="12.75" customHeight="1">
      <c r="A1844" s="33"/>
      <c r="B1844" s="34"/>
      <c r="C1844" s="38"/>
      <c r="D1844" s="38"/>
      <c r="E1844" s="24"/>
    </row>
    <row r="1845" spans="1:5" ht="12.75" customHeight="1">
      <c r="A1845" s="33"/>
      <c r="B1845" s="34"/>
      <c r="C1845" s="38"/>
      <c r="D1845" s="38"/>
      <c r="E1845" s="24"/>
    </row>
    <row r="1846" spans="1:5" ht="12.75" customHeight="1">
      <c r="A1846" s="33"/>
      <c r="B1846" s="34"/>
      <c r="C1846" s="38"/>
      <c r="D1846" s="38"/>
      <c r="E1846" s="24"/>
    </row>
    <row r="1847" spans="1:5" ht="12.75" customHeight="1">
      <c r="A1847" s="33"/>
      <c r="B1847" s="34"/>
      <c r="C1847" s="38"/>
      <c r="D1847" s="38"/>
      <c r="E1847" s="24"/>
    </row>
    <row r="1848" spans="1:5" ht="12.75" customHeight="1">
      <c r="A1848" s="33"/>
      <c r="B1848" s="34"/>
      <c r="C1848" s="38"/>
      <c r="D1848" s="38"/>
      <c r="E1848" s="24"/>
    </row>
    <row r="1849" spans="1:5" ht="12.75" customHeight="1">
      <c r="A1849" s="33"/>
      <c r="B1849" s="34"/>
      <c r="C1849" s="38"/>
      <c r="D1849" s="38"/>
      <c r="E1849" s="24"/>
    </row>
    <row r="1850" spans="1:5" ht="12.75" customHeight="1">
      <c r="A1850" s="33"/>
      <c r="B1850" s="34"/>
      <c r="C1850" s="38"/>
      <c r="D1850" s="38"/>
      <c r="E1850" s="24"/>
    </row>
    <row r="1851" spans="1:5" ht="12.75" customHeight="1">
      <c r="A1851" s="33"/>
      <c r="B1851" s="34"/>
      <c r="C1851" s="38"/>
      <c r="D1851" s="38"/>
      <c r="E1851" s="24"/>
    </row>
    <row r="1852" spans="1:5" ht="12.75" customHeight="1">
      <c r="A1852" s="33"/>
      <c r="B1852" s="34"/>
      <c r="C1852" s="38"/>
      <c r="D1852" s="38"/>
      <c r="E1852" s="24"/>
    </row>
    <row r="1853" spans="1:5" ht="12.75" customHeight="1">
      <c r="A1853" s="33"/>
      <c r="B1853" s="34"/>
      <c r="C1853" s="38"/>
      <c r="D1853" s="38"/>
      <c r="E1853" s="24"/>
    </row>
    <row r="1854" spans="1:5" ht="12.75" customHeight="1">
      <c r="A1854" s="33"/>
      <c r="B1854" s="34"/>
      <c r="C1854" s="38"/>
      <c r="D1854" s="38"/>
      <c r="E1854" s="24"/>
    </row>
    <row r="1855" spans="1:5" ht="12.75" customHeight="1">
      <c r="A1855" s="33"/>
      <c r="B1855" s="34"/>
      <c r="C1855" s="38"/>
      <c r="D1855" s="38"/>
      <c r="E1855" s="24"/>
    </row>
    <row r="1856" spans="1:5" ht="12.75" customHeight="1">
      <c r="A1856" s="33"/>
      <c r="B1856" s="34"/>
      <c r="C1856" s="38"/>
      <c r="D1856" s="38"/>
      <c r="E1856" s="24"/>
    </row>
    <row r="1857" spans="1:5" ht="12.75" customHeight="1">
      <c r="A1857" s="33"/>
      <c r="B1857" s="34"/>
      <c r="C1857" s="38"/>
      <c r="D1857" s="38"/>
      <c r="E1857" s="24"/>
    </row>
    <row r="1858" spans="1:5" ht="12.75" customHeight="1">
      <c r="A1858" s="33"/>
      <c r="B1858" s="34"/>
      <c r="C1858" s="38"/>
      <c r="D1858" s="38"/>
      <c r="E1858" s="24"/>
    </row>
    <row r="1859" spans="1:5" ht="12.75" customHeight="1">
      <c r="A1859" s="33"/>
      <c r="B1859" s="34"/>
      <c r="C1859" s="38"/>
      <c r="D1859" s="38"/>
      <c r="E1859" s="24"/>
    </row>
    <row r="1860" spans="1:5" ht="12.75" customHeight="1">
      <c r="A1860" s="33"/>
      <c r="B1860" s="34"/>
      <c r="C1860" s="38"/>
      <c r="D1860" s="38"/>
      <c r="E1860" s="24"/>
    </row>
    <row r="1861" spans="1:5" ht="12.75" customHeight="1">
      <c r="A1861" s="33"/>
      <c r="B1861" s="34"/>
      <c r="C1861" s="38"/>
      <c r="D1861" s="38"/>
      <c r="E1861" s="24"/>
    </row>
    <row r="1862" spans="1:5" ht="12.75" customHeight="1">
      <c r="A1862" s="33"/>
      <c r="B1862" s="34"/>
      <c r="C1862" s="38"/>
      <c r="D1862" s="38"/>
      <c r="E1862" s="24"/>
    </row>
    <row r="1863" spans="1:5" ht="12.75" customHeight="1">
      <c r="A1863" s="33"/>
      <c r="B1863" s="34"/>
      <c r="C1863" s="38"/>
      <c r="D1863" s="38"/>
      <c r="E1863" s="24"/>
    </row>
    <row r="1864" spans="1:5" ht="12.75" customHeight="1">
      <c r="A1864" s="33"/>
      <c r="B1864" s="34"/>
      <c r="C1864" s="38"/>
      <c r="D1864" s="38"/>
      <c r="E1864" s="24"/>
    </row>
    <row r="1865" spans="1:5" ht="12.75" customHeight="1">
      <c r="A1865" s="33"/>
      <c r="B1865" s="34"/>
      <c r="C1865" s="38"/>
      <c r="D1865" s="38"/>
      <c r="E1865" s="24"/>
    </row>
    <row r="1866" spans="1:5" ht="12.75" customHeight="1">
      <c r="A1866" s="33"/>
      <c r="B1866" s="34"/>
      <c r="C1866" s="38"/>
      <c r="D1866" s="38"/>
      <c r="E1866" s="24"/>
    </row>
    <row r="1867" spans="1:5" ht="12.75" customHeight="1">
      <c r="A1867" s="33"/>
      <c r="B1867" s="34"/>
      <c r="C1867" s="38"/>
      <c r="D1867" s="38"/>
      <c r="E1867" s="24"/>
    </row>
    <row r="1868" spans="1:5" ht="12.75" customHeight="1">
      <c r="A1868" s="33"/>
      <c r="B1868" s="34"/>
      <c r="C1868" s="38"/>
      <c r="D1868" s="38"/>
      <c r="E1868" s="24"/>
    </row>
    <row r="1869" spans="1:5" ht="12.75" customHeight="1">
      <c r="A1869" s="33"/>
      <c r="B1869" s="34"/>
      <c r="C1869" s="38"/>
      <c r="D1869" s="38"/>
      <c r="E1869" s="24"/>
    </row>
    <row r="1870" spans="1:5" ht="12.75" customHeight="1">
      <c r="A1870" s="33"/>
      <c r="B1870" s="34"/>
      <c r="C1870" s="38"/>
      <c r="D1870" s="38"/>
      <c r="E1870" s="24"/>
    </row>
    <row r="1871" spans="1:5" ht="12.75" customHeight="1">
      <c r="A1871" s="33"/>
      <c r="B1871" s="34"/>
      <c r="C1871" s="38"/>
      <c r="D1871" s="38"/>
      <c r="E1871" s="24"/>
    </row>
    <row r="1872" spans="1:5" ht="12.75" customHeight="1">
      <c r="A1872" s="33"/>
      <c r="B1872" s="34"/>
      <c r="C1872" s="38"/>
      <c r="D1872" s="38"/>
      <c r="E1872" s="24"/>
    </row>
    <row r="1873" spans="1:5" ht="12.75" customHeight="1">
      <c r="A1873" s="33"/>
      <c r="B1873" s="34"/>
      <c r="C1873" s="38"/>
      <c r="D1873" s="38"/>
      <c r="E1873" s="24"/>
    </row>
    <row r="1874" spans="1:5" ht="12.75" customHeight="1">
      <c r="A1874" s="33"/>
      <c r="B1874" s="34"/>
      <c r="C1874" s="38"/>
      <c r="D1874" s="38"/>
      <c r="E1874" s="24"/>
    </row>
    <row r="1875" spans="1:5" ht="12.75" customHeight="1">
      <c r="A1875" s="33"/>
      <c r="B1875" s="34"/>
      <c r="C1875" s="38"/>
      <c r="D1875" s="38"/>
      <c r="E1875" s="24"/>
    </row>
    <row r="1876" spans="1:5" ht="12.75" customHeight="1">
      <c r="A1876" s="33"/>
      <c r="B1876" s="34"/>
      <c r="C1876" s="38"/>
      <c r="D1876" s="38"/>
      <c r="E1876" s="24"/>
    </row>
    <row r="1877" spans="1:5" ht="12.75" customHeight="1">
      <c r="A1877" s="33"/>
      <c r="B1877" s="34"/>
      <c r="C1877" s="38"/>
      <c r="D1877" s="38"/>
      <c r="E1877" s="24"/>
    </row>
    <row r="1878" spans="1:5" ht="12.75" customHeight="1">
      <c r="A1878" s="33"/>
      <c r="B1878" s="34"/>
      <c r="C1878" s="38"/>
      <c r="D1878" s="38"/>
      <c r="E1878" s="24"/>
    </row>
    <row r="1879" spans="1:5" ht="12.75" customHeight="1">
      <c r="A1879" s="33"/>
      <c r="B1879" s="34"/>
      <c r="C1879" s="38"/>
      <c r="D1879" s="38"/>
      <c r="E1879" s="24"/>
    </row>
    <row r="1880" spans="1:5" ht="12.75" customHeight="1">
      <c r="A1880" s="33"/>
      <c r="B1880" s="34"/>
      <c r="C1880" s="38"/>
      <c r="D1880" s="38"/>
      <c r="E1880" s="24"/>
    </row>
    <row r="1881" spans="1:5" ht="12.75" customHeight="1">
      <c r="A1881" s="33"/>
      <c r="B1881" s="34"/>
      <c r="C1881" s="38"/>
      <c r="D1881" s="38"/>
      <c r="E1881" s="24"/>
    </row>
    <row r="1882" spans="1:5" ht="12.75" customHeight="1">
      <c r="A1882" s="33"/>
      <c r="B1882" s="34"/>
      <c r="C1882" s="38"/>
      <c r="D1882" s="38"/>
      <c r="E1882" s="24"/>
    </row>
    <row r="1883" spans="1:5" ht="12.75" customHeight="1">
      <c r="A1883" s="33"/>
      <c r="B1883" s="34"/>
      <c r="C1883" s="38"/>
      <c r="D1883" s="38"/>
      <c r="E1883" s="24"/>
    </row>
    <row r="1884" spans="1:5" ht="12.75" customHeight="1">
      <c r="A1884" s="33"/>
      <c r="B1884" s="34"/>
      <c r="C1884" s="38"/>
      <c r="D1884" s="38"/>
      <c r="E1884" s="24"/>
    </row>
    <row r="1885" spans="1:5" ht="12.75" customHeight="1">
      <c r="A1885" s="33"/>
      <c r="B1885" s="34"/>
      <c r="C1885" s="38"/>
      <c r="D1885" s="38"/>
      <c r="E1885" s="24"/>
    </row>
    <row r="1886" spans="1:5" ht="12.75" customHeight="1">
      <c r="A1886" s="33"/>
      <c r="B1886" s="34"/>
      <c r="C1886" s="38"/>
      <c r="D1886" s="38"/>
      <c r="E1886" s="24"/>
    </row>
    <row r="1887" spans="1:5" ht="12.75" customHeight="1">
      <c r="A1887" s="33"/>
      <c r="B1887" s="34"/>
      <c r="C1887" s="38"/>
      <c r="D1887" s="38"/>
      <c r="E1887" s="24"/>
    </row>
    <row r="1888" spans="1:5" ht="12.75" customHeight="1">
      <c r="A1888" s="33"/>
      <c r="B1888" s="34"/>
      <c r="C1888" s="38"/>
      <c r="D1888" s="38"/>
      <c r="E1888" s="24"/>
    </row>
    <row r="1889" spans="1:5" ht="12.75" customHeight="1">
      <c r="A1889" s="33"/>
      <c r="B1889" s="34"/>
      <c r="C1889" s="38"/>
      <c r="D1889" s="38"/>
      <c r="E1889" s="24"/>
    </row>
    <row r="1890" spans="1:5" ht="12.75" customHeight="1">
      <c r="A1890" s="33"/>
      <c r="B1890" s="34"/>
      <c r="C1890" s="38"/>
      <c r="D1890" s="38"/>
      <c r="E1890" s="24"/>
    </row>
    <row r="1891" spans="1:5" ht="12.75" customHeight="1">
      <c r="A1891" s="33"/>
      <c r="B1891" s="34"/>
      <c r="C1891" s="38"/>
      <c r="D1891" s="38"/>
      <c r="E1891" s="24"/>
    </row>
    <row r="1892" spans="1:5" ht="12.75" customHeight="1">
      <c r="A1892" s="33"/>
      <c r="B1892" s="34"/>
      <c r="C1892" s="38"/>
      <c r="D1892" s="38"/>
      <c r="E1892" s="24"/>
    </row>
    <row r="1893" spans="1:5" ht="12.75" customHeight="1">
      <c r="A1893" s="33"/>
      <c r="B1893" s="34"/>
      <c r="C1893" s="38"/>
      <c r="D1893" s="38"/>
      <c r="E1893" s="24"/>
    </row>
    <row r="1894" spans="1:5" ht="12.75" customHeight="1">
      <c r="A1894" s="33"/>
      <c r="B1894" s="34"/>
      <c r="C1894" s="38"/>
      <c r="D1894" s="38"/>
      <c r="E1894" s="24"/>
    </row>
    <row r="1895" spans="1:5" ht="12.75" customHeight="1">
      <c r="A1895" s="33"/>
      <c r="B1895" s="34"/>
      <c r="C1895" s="38"/>
      <c r="D1895" s="38"/>
      <c r="E1895" s="24"/>
    </row>
    <row r="1896" spans="1:5" ht="12.75" customHeight="1">
      <c r="A1896" s="33"/>
      <c r="B1896" s="34"/>
      <c r="C1896" s="38"/>
      <c r="D1896" s="38"/>
      <c r="E1896" s="24"/>
    </row>
    <row r="1897" spans="1:5" ht="12.75" customHeight="1">
      <c r="A1897" s="33"/>
      <c r="B1897" s="34"/>
      <c r="C1897" s="38"/>
      <c r="D1897" s="38"/>
      <c r="E1897" s="24"/>
    </row>
    <row r="1898" spans="1:5" ht="12.75" customHeight="1">
      <c r="A1898" s="33"/>
      <c r="B1898" s="34"/>
      <c r="C1898" s="38"/>
      <c r="D1898" s="38"/>
      <c r="E1898" s="24"/>
    </row>
    <row r="1899" spans="1:5" ht="12.75" customHeight="1">
      <c r="A1899" s="33"/>
      <c r="B1899" s="34"/>
      <c r="C1899" s="38"/>
      <c r="D1899" s="38"/>
      <c r="E1899" s="24"/>
    </row>
    <row r="1900" spans="1:5" ht="12.75" customHeight="1">
      <c r="A1900" s="33"/>
      <c r="B1900" s="34"/>
      <c r="C1900" s="38"/>
      <c r="D1900" s="38"/>
      <c r="E1900" s="24"/>
    </row>
    <row r="1901" spans="1:5" ht="12.75" customHeight="1">
      <c r="A1901" s="33"/>
      <c r="B1901" s="34"/>
      <c r="C1901" s="38"/>
      <c r="D1901" s="38"/>
      <c r="E1901" s="24"/>
    </row>
    <row r="1902" spans="1:5" ht="12.75" customHeight="1">
      <c r="A1902" s="33"/>
      <c r="B1902" s="34"/>
      <c r="C1902" s="38"/>
      <c r="D1902" s="38"/>
      <c r="E1902" s="24"/>
    </row>
    <row r="1903" spans="1:5" ht="12.75" customHeight="1">
      <c r="A1903" s="33"/>
      <c r="B1903" s="34"/>
      <c r="C1903" s="38"/>
      <c r="D1903" s="38"/>
      <c r="E1903" s="24"/>
    </row>
    <row r="1904" spans="1:5" ht="12.75" customHeight="1">
      <c r="A1904" s="33"/>
      <c r="B1904" s="34"/>
      <c r="C1904" s="38"/>
      <c r="D1904" s="38"/>
      <c r="E1904" s="24"/>
    </row>
    <row r="1905" spans="1:5" ht="12.75" customHeight="1">
      <c r="A1905" s="33"/>
      <c r="B1905" s="34"/>
      <c r="C1905" s="38"/>
      <c r="D1905" s="38"/>
      <c r="E1905" s="24"/>
    </row>
    <row r="1906" spans="1:5" ht="12.75" customHeight="1">
      <c r="A1906" s="33"/>
      <c r="B1906" s="34"/>
      <c r="C1906" s="38"/>
      <c r="D1906" s="38"/>
      <c r="E1906" s="24"/>
    </row>
    <row r="1907" spans="1:5" ht="12.75" customHeight="1">
      <c r="A1907" s="33"/>
      <c r="B1907" s="34"/>
      <c r="C1907" s="38"/>
      <c r="D1907" s="38"/>
      <c r="E1907" s="24"/>
    </row>
    <row r="1908" spans="1:5" ht="12.75" customHeight="1">
      <c r="A1908" s="33"/>
      <c r="B1908" s="34"/>
      <c r="C1908" s="38"/>
      <c r="D1908" s="38"/>
      <c r="E1908" s="24"/>
    </row>
    <row r="1909" spans="1:5" ht="12.75" customHeight="1">
      <c r="A1909" s="33"/>
      <c r="B1909" s="34"/>
      <c r="C1909" s="38"/>
      <c r="D1909" s="38"/>
      <c r="E1909" s="24"/>
    </row>
    <row r="1910" spans="1:5" ht="12.75" customHeight="1">
      <c r="A1910" s="33"/>
      <c r="B1910" s="34"/>
      <c r="C1910" s="38"/>
      <c r="D1910" s="38"/>
      <c r="E1910" s="24"/>
    </row>
    <row r="1911" spans="1:5" ht="12.75" customHeight="1">
      <c r="A1911" s="33"/>
      <c r="B1911" s="34"/>
      <c r="C1911" s="38"/>
      <c r="D1911" s="38"/>
      <c r="E1911" s="24"/>
    </row>
    <row r="1912" spans="1:5" ht="12.75" customHeight="1">
      <c r="A1912" s="33"/>
      <c r="B1912" s="34"/>
      <c r="C1912" s="38"/>
      <c r="D1912" s="38"/>
      <c r="E1912" s="24"/>
    </row>
    <row r="1913" spans="1:5" ht="12.75" customHeight="1">
      <c r="A1913" s="33"/>
      <c r="B1913" s="34"/>
      <c r="C1913" s="38"/>
      <c r="D1913" s="38"/>
      <c r="E1913" s="24"/>
    </row>
    <row r="1914" spans="1:5" ht="12.75" customHeight="1">
      <c r="A1914" s="33"/>
      <c r="B1914" s="34"/>
      <c r="C1914" s="38"/>
      <c r="D1914" s="38"/>
      <c r="E1914" s="24"/>
    </row>
    <row r="1915" spans="1:5" ht="12.75" customHeight="1">
      <c r="A1915" s="33"/>
      <c r="B1915" s="34"/>
      <c r="C1915" s="38"/>
      <c r="D1915" s="38"/>
      <c r="E1915" s="24"/>
    </row>
    <row r="1916" spans="1:5" ht="12.75" customHeight="1">
      <c r="A1916" s="33"/>
      <c r="B1916" s="34"/>
      <c r="C1916" s="38"/>
      <c r="D1916" s="38"/>
      <c r="E1916" s="24"/>
    </row>
    <row r="1917" spans="1:5" ht="12.75" customHeight="1">
      <c r="A1917" s="33"/>
      <c r="B1917" s="34"/>
      <c r="C1917" s="38"/>
      <c r="D1917" s="38"/>
      <c r="E1917" s="24"/>
    </row>
    <row r="1918" spans="1:5" ht="12.75" customHeight="1">
      <c r="A1918" s="33"/>
      <c r="B1918" s="34"/>
      <c r="C1918" s="38"/>
      <c r="D1918" s="38"/>
      <c r="E1918" s="24"/>
    </row>
    <row r="1919" spans="1:5" ht="12.75" customHeight="1">
      <c r="A1919" s="33"/>
      <c r="B1919" s="34"/>
      <c r="C1919" s="38"/>
      <c r="D1919" s="38"/>
      <c r="E1919" s="24"/>
    </row>
    <row r="1920" spans="1:5" ht="12.75" customHeight="1">
      <c r="A1920" s="33"/>
      <c r="B1920" s="34"/>
      <c r="C1920" s="38"/>
      <c r="D1920" s="38"/>
      <c r="E1920" s="24"/>
    </row>
    <row r="1921" spans="1:5" ht="12.75" customHeight="1">
      <c r="A1921" s="33"/>
      <c r="B1921" s="34"/>
      <c r="C1921" s="38"/>
      <c r="D1921" s="38"/>
      <c r="E1921" s="24"/>
    </row>
    <row r="1922" spans="1:5" ht="12.75" customHeight="1">
      <c r="A1922" s="33"/>
      <c r="B1922" s="34"/>
      <c r="C1922" s="38"/>
      <c r="D1922" s="38"/>
      <c r="E1922" s="24"/>
    </row>
    <row r="1923" spans="1:5" ht="12.75" customHeight="1">
      <c r="A1923" s="33"/>
      <c r="B1923" s="34"/>
      <c r="C1923" s="38"/>
      <c r="D1923" s="38"/>
      <c r="E1923" s="24"/>
    </row>
    <row r="1924" spans="1:5" ht="12.75" customHeight="1">
      <c r="A1924" s="33"/>
      <c r="B1924" s="34"/>
      <c r="C1924" s="38"/>
      <c r="D1924" s="38"/>
      <c r="E1924" s="24"/>
    </row>
    <row r="1925" spans="1:5" ht="12.75" customHeight="1">
      <c r="A1925" s="33"/>
      <c r="B1925" s="34"/>
      <c r="C1925" s="38"/>
      <c r="D1925" s="38"/>
      <c r="E1925" s="24"/>
    </row>
    <row r="1926" spans="1:5" ht="12.75" customHeight="1">
      <c r="A1926" s="33"/>
      <c r="B1926" s="34"/>
      <c r="C1926" s="38"/>
      <c r="D1926" s="38"/>
      <c r="E1926" s="24"/>
    </row>
    <row r="1927" spans="1:5" ht="12.75" customHeight="1">
      <c r="A1927" s="33"/>
      <c r="B1927" s="34"/>
      <c r="C1927" s="38"/>
      <c r="D1927" s="38"/>
      <c r="E1927" s="24"/>
    </row>
    <row r="1928" spans="1:5" ht="12.75" customHeight="1">
      <c r="A1928" s="33"/>
      <c r="B1928" s="34"/>
      <c r="C1928" s="38"/>
      <c r="D1928" s="38"/>
      <c r="E1928" s="24"/>
    </row>
    <row r="1929" spans="1:5" ht="12.75" customHeight="1">
      <c r="A1929" s="33"/>
      <c r="B1929" s="34"/>
      <c r="C1929" s="38"/>
      <c r="D1929" s="38"/>
      <c r="E1929" s="24"/>
    </row>
    <row r="1930" spans="1:5" ht="12.75" customHeight="1">
      <c r="A1930" s="33"/>
      <c r="B1930" s="34"/>
      <c r="C1930" s="38"/>
      <c r="D1930" s="38"/>
      <c r="E1930" s="24"/>
    </row>
    <row r="1931" spans="1:5" ht="12.75" customHeight="1">
      <c r="A1931" s="33"/>
      <c r="B1931" s="34"/>
      <c r="C1931" s="38"/>
      <c r="D1931" s="38"/>
      <c r="E1931" s="24"/>
    </row>
    <row r="1932" spans="1:5" ht="12.75" customHeight="1">
      <c r="A1932" s="33"/>
      <c r="B1932" s="34"/>
      <c r="C1932" s="38"/>
      <c r="D1932" s="38"/>
      <c r="E1932" s="24"/>
    </row>
    <row r="1933" spans="1:5" ht="12.75" customHeight="1">
      <c r="A1933" s="33"/>
      <c r="B1933" s="34"/>
      <c r="C1933" s="38"/>
      <c r="D1933" s="38"/>
      <c r="E1933" s="24"/>
    </row>
    <row r="1934" spans="1:5" ht="12.75" customHeight="1">
      <c r="A1934" s="33"/>
      <c r="B1934" s="34"/>
      <c r="C1934" s="38"/>
      <c r="D1934" s="38"/>
      <c r="E1934" s="24"/>
    </row>
    <row r="1935" spans="1:5" ht="12.75" customHeight="1">
      <c r="A1935" s="33"/>
      <c r="B1935" s="34"/>
      <c r="C1935" s="38"/>
      <c r="D1935" s="38"/>
      <c r="E1935" s="24"/>
    </row>
    <row r="1936" spans="1:5" ht="12.75" customHeight="1">
      <c r="A1936" s="33"/>
      <c r="B1936" s="34"/>
      <c r="C1936" s="38"/>
      <c r="D1936" s="38"/>
      <c r="E1936" s="24"/>
    </row>
    <row r="1937" spans="1:5" ht="12.75" customHeight="1">
      <c r="A1937" s="33"/>
      <c r="B1937" s="34"/>
      <c r="C1937" s="38"/>
      <c r="D1937" s="38"/>
      <c r="E1937" s="24"/>
    </row>
    <row r="1938" spans="1:5" ht="12.75" customHeight="1">
      <c r="A1938" s="33"/>
      <c r="B1938" s="34"/>
      <c r="C1938" s="38"/>
      <c r="D1938" s="38"/>
      <c r="E1938" s="24"/>
    </row>
    <row r="1939" spans="1:5" ht="12.75" customHeight="1">
      <c r="A1939" s="33"/>
      <c r="B1939" s="34"/>
      <c r="C1939" s="38"/>
      <c r="D1939" s="38"/>
      <c r="E1939" s="24"/>
    </row>
    <row r="1940" spans="1:5" ht="12.75" customHeight="1">
      <c r="A1940" s="33"/>
      <c r="B1940" s="34"/>
      <c r="C1940" s="38"/>
      <c r="D1940" s="38"/>
      <c r="E1940" s="24"/>
    </row>
    <row r="1941" spans="1:5" ht="12.75" customHeight="1">
      <c r="A1941" s="33"/>
      <c r="B1941" s="34"/>
      <c r="C1941" s="38"/>
      <c r="D1941" s="38"/>
      <c r="E1941" s="24"/>
    </row>
    <row r="1942" spans="1:5" ht="12.75" customHeight="1">
      <c r="A1942" s="33"/>
      <c r="B1942" s="34"/>
      <c r="C1942" s="38"/>
      <c r="D1942" s="38"/>
      <c r="E1942" s="24"/>
    </row>
    <row r="1943" spans="1:5" ht="12.75" customHeight="1">
      <c r="A1943" s="33"/>
      <c r="B1943" s="34"/>
      <c r="C1943" s="38"/>
      <c r="D1943" s="38"/>
      <c r="E1943" s="24"/>
    </row>
    <row r="1944" spans="1:5" ht="12.75" customHeight="1">
      <c r="A1944" s="33"/>
      <c r="B1944" s="34"/>
      <c r="C1944" s="38"/>
      <c r="D1944" s="38"/>
      <c r="E1944" s="24"/>
    </row>
    <row r="1945" spans="1:5" ht="12.75" customHeight="1">
      <c r="A1945" s="33"/>
      <c r="B1945" s="34"/>
      <c r="C1945" s="38"/>
      <c r="D1945" s="38"/>
      <c r="E1945" s="24"/>
    </row>
    <row r="1946" spans="1:5" ht="12.75" customHeight="1">
      <c r="A1946" s="33"/>
      <c r="B1946" s="34"/>
      <c r="C1946" s="38"/>
      <c r="D1946" s="38"/>
      <c r="E1946" s="24"/>
    </row>
    <row r="1947" spans="1:5" ht="12.75" customHeight="1">
      <c r="A1947" s="33"/>
      <c r="B1947" s="34"/>
      <c r="C1947" s="38"/>
      <c r="D1947" s="38"/>
      <c r="E1947" s="24"/>
    </row>
    <row r="1948" spans="1:5" ht="12.75" customHeight="1">
      <c r="A1948" s="33"/>
      <c r="B1948" s="34"/>
      <c r="C1948" s="38"/>
      <c r="D1948" s="38"/>
      <c r="E1948" s="24"/>
    </row>
    <row r="1949" spans="1:5" ht="12.75" customHeight="1">
      <c r="A1949" s="33"/>
      <c r="B1949" s="34"/>
      <c r="C1949" s="38"/>
      <c r="D1949" s="38"/>
      <c r="E1949" s="24"/>
    </row>
    <row r="1950" spans="1:5" ht="12.75" customHeight="1">
      <c r="A1950" s="33"/>
      <c r="B1950" s="34"/>
      <c r="C1950" s="38"/>
      <c r="D1950" s="38"/>
      <c r="E1950" s="24"/>
    </row>
    <row r="1951" spans="1:5" ht="12.75" customHeight="1">
      <c r="A1951" s="33"/>
      <c r="B1951" s="34"/>
      <c r="C1951" s="38"/>
      <c r="D1951" s="38"/>
      <c r="E1951" s="24"/>
    </row>
    <row r="1952" spans="1:5" ht="12.75" customHeight="1">
      <c r="A1952" s="33"/>
      <c r="B1952" s="34"/>
      <c r="C1952" s="38"/>
      <c r="D1952" s="38"/>
      <c r="E1952" s="24"/>
    </row>
    <row r="1953" spans="1:5" ht="12.75" customHeight="1">
      <c r="A1953" s="33"/>
      <c r="B1953" s="34"/>
      <c r="C1953" s="38"/>
      <c r="D1953" s="38"/>
      <c r="E1953" s="24"/>
    </row>
    <row r="1954" spans="1:5" ht="12.75" customHeight="1">
      <c r="A1954" s="33"/>
      <c r="B1954" s="34"/>
      <c r="C1954" s="38"/>
      <c r="D1954" s="38"/>
      <c r="E1954" s="24"/>
    </row>
    <row r="1955" spans="1:5" ht="12.75" customHeight="1">
      <c r="A1955" s="33"/>
      <c r="B1955" s="34"/>
      <c r="C1955" s="38"/>
      <c r="D1955" s="38"/>
      <c r="E1955" s="24"/>
    </row>
    <row r="1956" spans="1:5" ht="12.75" customHeight="1">
      <c r="A1956" s="33"/>
      <c r="B1956" s="34"/>
      <c r="C1956" s="38"/>
      <c r="D1956" s="38"/>
      <c r="E1956" s="24"/>
    </row>
    <row r="1957" spans="1:5" ht="12.75" customHeight="1">
      <c r="A1957" s="33"/>
      <c r="B1957" s="34"/>
      <c r="C1957" s="38"/>
      <c r="D1957" s="38"/>
      <c r="E1957" s="24"/>
    </row>
    <row r="1958" spans="1:5" ht="12.75" customHeight="1">
      <c r="A1958" s="33"/>
      <c r="B1958" s="34"/>
      <c r="C1958" s="38"/>
      <c r="D1958" s="38"/>
      <c r="E1958" s="24"/>
    </row>
    <row r="1959" spans="1:5" ht="12.75" customHeight="1">
      <c r="A1959" s="33"/>
      <c r="B1959" s="34"/>
      <c r="C1959" s="38"/>
      <c r="D1959" s="38"/>
      <c r="E1959" s="24"/>
    </row>
    <row r="1960" spans="1:5" ht="12.75" customHeight="1">
      <c r="A1960" s="33"/>
      <c r="B1960" s="34"/>
      <c r="C1960" s="38"/>
      <c r="D1960" s="38"/>
      <c r="E1960" s="24"/>
    </row>
    <row r="1961" spans="1:5" ht="12.75" customHeight="1">
      <c r="A1961" s="33"/>
      <c r="B1961" s="34"/>
      <c r="C1961" s="38"/>
      <c r="D1961" s="38"/>
      <c r="E1961" s="24"/>
    </row>
    <row r="1962" spans="1:5" ht="12.75" customHeight="1">
      <c r="A1962" s="33"/>
      <c r="B1962" s="34"/>
      <c r="C1962" s="38"/>
      <c r="D1962" s="38"/>
      <c r="E1962" s="24"/>
    </row>
    <row r="1963" spans="1:5" ht="12.75" customHeight="1">
      <c r="A1963" s="33"/>
      <c r="B1963" s="34"/>
      <c r="C1963" s="38"/>
      <c r="D1963" s="38"/>
      <c r="E1963" s="24"/>
    </row>
    <row r="1964" spans="1:5" ht="12.75" customHeight="1">
      <c r="A1964" s="33"/>
      <c r="B1964" s="34"/>
      <c r="C1964" s="38"/>
      <c r="D1964" s="38"/>
      <c r="E1964" s="24"/>
    </row>
    <row r="1965" spans="1:5" ht="12.75" customHeight="1">
      <c r="A1965" s="33"/>
      <c r="B1965" s="34"/>
      <c r="C1965" s="38"/>
      <c r="D1965" s="38"/>
      <c r="E1965" s="24"/>
    </row>
    <row r="1966" spans="1:5" ht="12.75" customHeight="1">
      <c r="A1966" s="33"/>
      <c r="B1966" s="34"/>
      <c r="C1966" s="38"/>
      <c r="D1966" s="38"/>
      <c r="E1966" s="24"/>
    </row>
    <row r="1967" spans="1:5" ht="12.75" customHeight="1">
      <c r="A1967" s="33"/>
      <c r="B1967" s="34"/>
      <c r="C1967" s="38"/>
      <c r="D1967" s="38"/>
      <c r="E1967" s="24"/>
    </row>
    <row r="1968" spans="1:5" ht="12.75" customHeight="1">
      <c r="A1968" s="33"/>
      <c r="B1968" s="34"/>
      <c r="C1968" s="38"/>
      <c r="D1968" s="38"/>
      <c r="E1968" s="24"/>
    </row>
    <row r="1969" spans="1:5" ht="12.75" customHeight="1">
      <c r="A1969" s="33"/>
      <c r="B1969" s="34"/>
      <c r="C1969" s="38"/>
      <c r="D1969" s="38"/>
      <c r="E1969" s="24"/>
    </row>
    <row r="1970" spans="1:5" ht="12.75" customHeight="1">
      <c r="A1970" s="33"/>
      <c r="B1970" s="34"/>
      <c r="C1970" s="38"/>
      <c r="D1970" s="38"/>
      <c r="E1970" s="24"/>
    </row>
    <row r="1971" spans="1:5" ht="12.75" customHeight="1">
      <c r="A1971" s="33"/>
      <c r="B1971" s="34"/>
      <c r="C1971" s="38"/>
      <c r="D1971" s="38"/>
      <c r="E1971" s="24"/>
    </row>
    <row r="1972" spans="1:5" ht="12.75" customHeight="1">
      <c r="A1972" s="33"/>
      <c r="B1972" s="34"/>
      <c r="C1972" s="38"/>
      <c r="D1972" s="38"/>
      <c r="E1972" s="24"/>
    </row>
    <row r="1973" spans="1:5" ht="12.75" customHeight="1">
      <c r="A1973" s="33"/>
      <c r="B1973" s="34"/>
      <c r="C1973" s="38"/>
      <c r="D1973" s="38"/>
      <c r="E1973" s="24"/>
    </row>
    <row r="1974" spans="1:5" ht="12.75" customHeight="1">
      <c r="A1974" s="33"/>
      <c r="B1974" s="34"/>
      <c r="C1974" s="38"/>
      <c r="D1974" s="38"/>
      <c r="E1974" s="24"/>
    </row>
    <row r="1975" spans="1:5" ht="12.75" customHeight="1">
      <c r="A1975" s="33"/>
      <c r="B1975" s="34"/>
      <c r="C1975" s="38"/>
      <c r="D1975" s="38"/>
      <c r="E1975" s="24"/>
    </row>
    <row r="1976" spans="1:5" ht="12.75" customHeight="1">
      <c r="A1976" s="33"/>
      <c r="B1976" s="34"/>
      <c r="C1976" s="38"/>
      <c r="D1976" s="38"/>
      <c r="E1976" s="24"/>
    </row>
    <row r="1977" spans="1:5" ht="12.75" customHeight="1">
      <c r="A1977" s="33"/>
      <c r="B1977" s="34"/>
      <c r="C1977" s="38"/>
      <c r="D1977" s="38"/>
      <c r="E1977" s="24"/>
    </row>
    <row r="1978" spans="1:5" ht="12.75" customHeight="1">
      <c r="A1978" s="33"/>
      <c r="B1978" s="34"/>
      <c r="C1978" s="38"/>
      <c r="D1978" s="38"/>
      <c r="E1978" s="24"/>
    </row>
    <row r="1979" spans="1:5" ht="12.75" customHeight="1">
      <c r="A1979" s="33"/>
      <c r="B1979" s="34"/>
      <c r="C1979" s="38"/>
      <c r="D1979" s="38"/>
      <c r="E1979" s="24"/>
    </row>
    <row r="1980" spans="1:5" ht="12.75" customHeight="1">
      <c r="A1980" s="33"/>
      <c r="B1980" s="34"/>
      <c r="C1980" s="38"/>
      <c r="D1980" s="38"/>
      <c r="E1980" s="24"/>
    </row>
    <row r="1981" spans="1:5" ht="12.75" customHeight="1">
      <c r="A1981" s="33"/>
      <c r="B1981" s="34"/>
      <c r="C1981" s="38"/>
      <c r="D1981" s="38"/>
      <c r="E1981" s="24"/>
    </row>
    <row r="1982" spans="1:5" ht="12.75" customHeight="1">
      <c r="A1982" s="33"/>
      <c r="B1982" s="34"/>
      <c r="C1982" s="38"/>
      <c r="D1982" s="38"/>
      <c r="E1982" s="24"/>
    </row>
    <row r="1983" spans="1:5" ht="12.75" customHeight="1">
      <c r="A1983" s="33"/>
      <c r="B1983" s="34"/>
      <c r="C1983" s="38"/>
      <c r="D1983" s="38"/>
      <c r="E1983" s="24"/>
    </row>
    <row r="1984" spans="1:5" ht="12.75" customHeight="1">
      <c r="A1984" s="33"/>
      <c r="B1984" s="34"/>
      <c r="C1984" s="38"/>
      <c r="D1984" s="38"/>
      <c r="E1984" s="24"/>
    </row>
    <row r="1985" spans="1:5" ht="12.75" customHeight="1">
      <c r="A1985" s="33"/>
      <c r="B1985" s="34"/>
      <c r="C1985" s="38"/>
      <c r="D1985" s="38"/>
      <c r="E1985" s="24"/>
    </row>
    <row r="1986" spans="1:5" ht="12.75" customHeight="1">
      <c r="A1986" s="33"/>
      <c r="B1986" s="34"/>
      <c r="C1986" s="38"/>
      <c r="D1986" s="38"/>
      <c r="E1986" s="24"/>
    </row>
    <row r="1987" spans="1:5" ht="12.75" customHeight="1">
      <c r="A1987" s="33"/>
      <c r="B1987" s="34"/>
      <c r="C1987" s="38"/>
      <c r="D1987" s="38"/>
      <c r="E1987" s="24"/>
    </row>
    <row r="1988" spans="1:5" ht="12.75" customHeight="1">
      <c r="A1988" s="33"/>
      <c r="B1988" s="34"/>
      <c r="C1988" s="38"/>
      <c r="D1988" s="38"/>
      <c r="E1988" s="24"/>
    </row>
    <row r="1989" spans="1:5" ht="12.75" customHeight="1">
      <c r="A1989" s="33"/>
      <c r="B1989" s="34"/>
      <c r="C1989" s="38"/>
      <c r="D1989" s="38"/>
      <c r="E1989" s="24"/>
    </row>
    <row r="1990" spans="1:5" ht="12.75" customHeight="1">
      <c r="A1990" s="33"/>
      <c r="B1990" s="34"/>
      <c r="C1990" s="38"/>
      <c r="D1990" s="38"/>
      <c r="E1990" s="24"/>
    </row>
    <row r="1991" spans="1:5" ht="12.75" customHeight="1">
      <c r="A1991" s="33"/>
      <c r="B1991" s="34"/>
      <c r="C1991" s="38"/>
      <c r="D1991" s="38"/>
      <c r="E1991" s="24"/>
    </row>
    <row r="1992" spans="1:5" ht="12.75" customHeight="1">
      <c r="A1992" s="33"/>
      <c r="B1992" s="34"/>
      <c r="C1992" s="38"/>
      <c r="D1992" s="38"/>
      <c r="E1992" s="24"/>
    </row>
    <row r="1993" spans="1:5" ht="12.75" customHeight="1">
      <c r="A1993" s="33"/>
      <c r="B1993" s="34"/>
      <c r="C1993" s="38"/>
      <c r="D1993" s="38"/>
      <c r="E1993" s="24"/>
    </row>
    <row r="1994" spans="1:5" ht="12.75" customHeight="1">
      <c r="A1994" s="33"/>
      <c r="B1994" s="34"/>
      <c r="C1994" s="38"/>
      <c r="D1994" s="38"/>
      <c r="E1994" s="24"/>
    </row>
    <row r="1995" spans="1:5" ht="12.75" customHeight="1">
      <c r="A1995" s="33"/>
      <c r="B1995" s="34"/>
      <c r="C1995" s="38"/>
      <c r="D1995" s="38"/>
      <c r="E1995" s="24"/>
    </row>
    <row r="1996" spans="1:5" ht="12.75" customHeight="1">
      <c r="A1996" s="33"/>
      <c r="B1996" s="34"/>
      <c r="C1996" s="38"/>
      <c r="D1996" s="38"/>
      <c r="E1996" s="24"/>
    </row>
    <row r="1997" spans="1:5" ht="12.75" customHeight="1">
      <c r="A1997" s="33"/>
      <c r="B1997" s="34"/>
      <c r="C1997" s="38"/>
      <c r="D1997" s="38"/>
      <c r="E1997" s="24"/>
    </row>
    <row r="1998" spans="1:5" ht="12.75" customHeight="1">
      <c r="A1998" s="33"/>
      <c r="B1998" s="34"/>
      <c r="C1998" s="38"/>
      <c r="D1998" s="38"/>
      <c r="E1998" s="24"/>
    </row>
    <row r="1999" spans="1:5" ht="12.75" customHeight="1">
      <c r="A1999" s="33"/>
      <c r="B1999" s="34"/>
      <c r="C1999" s="38"/>
      <c r="D1999" s="38"/>
      <c r="E1999" s="24"/>
    </row>
    <row r="2000" spans="1:5" ht="12.75" customHeight="1">
      <c r="A2000" s="33"/>
      <c r="B2000" s="34"/>
      <c r="C2000" s="38"/>
      <c r="D2000" s="38"/>
      <c r="E2000" s="24"/>
    </row>
    <row r="2001" spans="1:5" ht="12.75" customHeight="1">
      <c r="A2001" s="33"/>
      <c r="B2001" s="34"/>
      <c r="C2001" s="38"/>
      <c r="D2001" s="38"/>
      <c r="E2001" s="24"/>
    </row>
    <row r="2002" spans="1:5" ht="12.75" customHeight="1">
      <c r="A2002" s="33"/>
      <c r="B2002" s="34"/>
      <c r="C2002" s="38"/>
      <c r="D2002" s="38"/>
      <c r="E2002" s="24"/>
    </row>
    <row r="2003" spans="1:5" ht="12.75" customHeight="1">
      <c r="A2003" s="33"/>
      <c r="B2003" s="34"/>
      <c r="C2003" s="38"/>
      <c r="D2003" s="38"/>
      <c r="E2003" s="24"/>
    </row>
    <row r="2004" spans="1:5" ht="12.75" customHeight="1">
      <c r="A2004" s="33"/>
      <c r="B2004" s="34"/>
      <c r="C2004" s="38"/>
      <c r="D2004" s="38"/>
      <c r="E2004" s="24"/>
    </row>
    <row r="2005" spans="1:5" ht="12.75" customHeight="1">
      <c r="A2005" s="33"/>
      <c r="B2005" s="34"/>
      <c r="C2005" s="38"/>
      <c r="D2005" s="38"/>
      <c r="E2005" s="24"/>
    </row>
    <row r="2006" spans="1:5" ht="12.75" customHeight="1">
      <c r="A2006" s="33"/>
      <c r="B2006" s="34"/>
      <c r="C2006" s="38"/>
      <c r="D2006" s="38"/>
      <c r="E2006" s="24"/>
    </row>
    <row r="2007" spans="1:5" ht="12.75" customHeight="1">
      <c r="A2007" s="33"/>
      <c r="B2007" s="34"/>
      <c r="C2007" s="38"/>
      <c r="D2007" s="38"/>
      <c r="E2007" s="24"/>
    </row>
    <row r="2008" spans="1:5" ht="12.75" customHeight="1">
      <c r="A2008" s="33"/>
      <c r="B2008" s="34"/>
      <c r="C2008" s="38"/>
      <c r="D2008" s="38"/>
      <c r="E2008" s="24"/>
    </row>
    <row r="2009" spans="1:5" ht="12.75" customHeight="1">
      <c r="A2009" s="33"/>
      <c r="B2009" s="34"/>
      <c r="C2009" s="38"/>
      <c r="D2009" s="38"/>
      <c r="E2009" s="24"/>
    </row>
    <row r="2010" spans="1:5" ht="12.75" customHeight="1">
      <c r="A2010" s="33"/>
      <c r="B2010" s="34"/>
      <c r="C2010" s="38"/>
      <c r="D2010" s="38"/>
      <c r="E2010" s="24"/>
    </row>
    <row r="2011" spans="1:5" ht="12.75" customHeight="1">
      <c r="A2011" s="33"/>
      <c r="B2011" s="34"/>
      <c r="C2011" s="38"/>
      <c r="D2011" s="38"/>
      <c r="E2011" s="24"/>
    </row>
    <row r="2012" spans="1:5" ht="12.75" customHeight="1">
      <c r="A2012" s="33"/>
      <c r="B2012" s="34"/>
      <c r="C2012" s="38"/>
      <c r="D2012" s="38"/>
      <c r="E2012" s="24"/>
    </row>
    <row r="2013" spans="1:5" ht="12.75" customHeight="1">
      <c r="A2013" s="33"/>
      <c r="B2013" s="34"/>
      <c r="C2013" s="38"/>
      <c r="D2013" s="38"/>
      <c r="E2013" s="24"/>
    </row>
    <row r="2014" spans="1:5" ht="12.75" customHeight="1">
      <c r="A2014" s="33"/>
      <c r="B2014" s="34"/>
      <c r="C2014" s="38"/>
      <c r="D2014" s="38"/>
      <c r="E2014" s="24"/>
    </row>
    <row r="2015" spans="1:5" ht="12.75" customHeight="1">
      <c r="A2015" s="33"/>
      <c r="B2015" s="34"/>
      <c r="C2015" s="38"/>
      <c r="D2015" s="38"/>
      <c r="E2015" s="24"/>
    </row>
    <row r="2016" spans="1:5" ht="12.75" customHeight="1">
      <c r="A2016" s="33"/>
      <c r="B2016" s="34"/>
      <c r="C2016" s="38"/>
      <c r="D2016" s="38"/>
      <c r="E2016" s="24"/>
    </row>
    <row r="2017" spans="1:5" ht="12.75" customHeight="1">
      <c r="A2017" s="33"/>
      <c r="B2017" s="34"/>
      <c r="C2017" s="38"/>
      <c r="D2017" s="38"/>
      <c r="E2017" s="24"/>
    </row>
    <row r="2018" spans="1:5" ht="12.75" customHeight="1">
      <c r="A2018" s="33"/>
      <c r="B2018" s="34"/>
      <c r="C2018" s="38"/>
      <c r="D2018" s="38"/>
      <c r="E2018" s="24"/>
    </row>
    <row r="2019" spans="1:5" ht="12.75" customHeight="1">
      <c r="A2019" s="33"/>
      <c r="B2019" s="34"/>
      <c r="C2019" s="38"/>
      <c r="D2019" s="38"/>
      <c r="E2019" s="24"/>
    </row>
    <row r="2020" spans="1:5" ht="12.75" customHeight="1">
      <c r="A2020" s="33"/>
      <c r="B2020" s="34"/>
      <c r="C2020" s="38"/>
      <c r="D2020" s="38"/>
      <c r="E2020" s="24"/>
    </row>
    <row r="2021" spans="1:5" ht="12.75" customHeight="1">
      <c r="A2021" s="33"/>
      <c r="B2021" s="34"/>
      <c r="C2021" s="38"/>
      <c r="D2021" s="38"/>
      <c r="E2021" s="24"/>
    </row>
    <row r="2022" spans="1:5" ht="12.75" customHeight="1">
      <c r="A2022" s="33"/>
      <c r="B2022" s="34"/>
      <c r="C2022" s="38"/>
      <c r="D2022" s="38"/>
      <c r="E2022" s="24"/>
    </row>
    <row r="2023" spans="1:5" ht="12.75" customHeight="1">
      <c r="A2023" s="33"/>
      <c r="B2023" s="34"/>
      <c r="C2023" s="38"/>
      <c r="D2023" s="38"/>
      <c r="E2023" s="24"/>
    </row>
    <row r="2024" spans="1:5" ht="12.75" customHeight="1">
      <c r="A2024" s="33"/>
      <c r="B2024" s="34"/>
      <c r="C2024" s="38"/>
      <c r="D2024" s="38"/>
      <c r="E2024" s="24"/>
    </row>
    <row r="2025" spans="1:5" ht="12.75" customHeight="1">
      <c r="A2025" s="33"/>
      <c r="B2025" s="34"/>
      <c r="C2025" s="38"/>
      <c r="D2025" s="38"/>
      <c r="E2025" s="24"/>
    </row>
    <row r="2026" spans="1:5" ht="12.75" customHeight="1">
      <c r="A2026" s="33"/>
      <c r="B2026" s="34"/>
      <c r="C2026" s="38"/>
      <c r="D2026" s="38"/>
      <c r="E2026" s="24"/>
    </row>
    <row r="2027" spans="1:5" ht="12.75" customHeight="1">
      <c r="A2027" s="33"/>
      <c r="B2027" s="34"/>
      <c r="C2027" s="38"/>
      <c r="D2027" s="38"/>
      <c r="E2027" s="24"/>
    </row>
    <row r="2028" spans="1:5" ht="12.75" customHeight="1">
      <c r="A2028" s="33"/>
      <c r="B2028" s="34"/>
      <c r="C2028" s="38"/>
      <c r="D2028" s="38"/>
      <c r="E2028" s="24"/>
    </row>
    <row r="2029" spans="1:5" ht="12.75" customHeight="1">
      <c r="A2029" s="33"/>
      <c r="B2029" s="34"/>
      <c r="C2029" s="38"/>
      <c r="D2029" s="38"/>
      <c r="E2029" s="24"/>
    </row>
    <row r="2030" spans="1:5" ht="12.75" customHeight="1">
      <c r="A2030" s="33"/>
      <c r="B2030" s="34"/>
      <c r="C2030" s="38"/>
      <c r="D2030" s="38"/>
      <c r="E2030" s="24"/>
    </row>
    <row r="2031" spans="1:5" ht="12.75" customHeight="1">
      <c r="A2031" s="33"/>
      <c r="B2031" s="34"/>
      <c r="C2031" s="38"/>
      <c r="D2031" s="38"/>
      <c r="E2031" s="24"/>
    </row>
    <row r="2032" spans="1:5" ht="12.75" customHeight="1">
      <c r="A2032" s="33"/>
      <c r="B2032" s="34"/>
      <c r="C2032" s="38"/>
      <c r="D2032" s="38"/>
      <c r="E2032" s="24"/>
    </row>
    <row r="2033" spans="1:5" ht="12.75" customHeight="1">
      <c r="A2033" s="33"/>
      <c r="B2033" s="34"/>
      <c r="C2033" s="38"/>
      <c r="D2033" s="38"/>
      <c r="E2033" s="24"/>
    </row>
    <row r="2034" spans="1:5" ht="12.75" customHeight="1">
      <c r="A2034" s="33"/>
      <c r="B2034" s="34"/>
      <c r="C2034" s="38"/>
      <c r="D2034" s="38"/>
      <c r="E2034" s="24"/>
    </row>
    <row r="2035" spans="1:5" ht="12.75" customHeight="1">
      <c r="A2035" s="33"/>
      <c r="B2035" s="34"/>
      <c r="C2035" s="38"/>
      <c r="D2035" s="38"/>
      <c r="E2035" s="24"/>
    </row>
    <row r="2036" spans="1:5" ht="12.75" customHeight="1">
      <c r="A2036" s="33"/>
      <c r="B2036" s="34"/>
      <c r="C2036" s="38"/>
      <c r="D2036" s="38"/>
      <c r="E2036" s="24"/>
    </row>
    <row r="2037" spans="1:5" ht="12.75" customHeight="1">
      <c r="A2037" s="33"/>
      <c r="B2037" s="34"/>
      <c r="C2037" s="38"/>
      <c r="D2037" s="38"/>
      <c r="E2037" s="24"/>
    </row>
    <row r="2038" spans="1:5" ht="12.75" customHeight="1">
      <c r="A2038" s="33"/>
      <c r="B2038" s="34"/>
      <c r="C2038" s="38"/>
      <c r="D2038" s="38"/>
      <c r="E2038" s="24"/>
    </row>
    <row r="2039" spans="1:5" ht="12.75" customHeight="1">
      <c r="A2039" s="33"/>
      <c r="B2039" s="34"/>
      <c r="C2039" s="38"/>
      <c r="D2039" s="38"/>
      <c r="E2039" s="24"/>
    </row>
    <row r="2040" spans="1:5" ht="12.75" customHeight="1">
      <c r="A2040" s="33"/>
      <c r="B2040" s="34"/>
      <c r="C2040" s="38"/>
      <c r="D2040" s="38"/>
      <c r="E2040" s="24"/>
    </row>
    <row r="2041" spans="1:5" ht="12.75" customHeight="1">
      <c r="A2041" s="33"/>
      <c r="B2041" s="34"/>
      <c r="C2041" s="38"/>
      <c r="D2041" s="38"/>
      <c r="E2041" s="24"/>
    </row>
    <row r="2042" spans="1:5" ht="12.75" customHeight="1">
      <c r="A2042" s="33"/>
      <c r="B2042" s="34"/>
      <c r="C2042" s="38"/>
      <c r="D2042" s="38"/>
      <c r="E2042" s="24"/>
    </row>
    <row r="2043" spans="1:5" ht="12.75" customHeight="1">
      <c r="A2043" s="33"/>
      <c r="B2043" s="34"/>
      <c r="C2043" s="38"/>
      <c r="D2043" s="38"/>
      <c r="E2043" s="24"/>
    </row>
    <row r="2044" spans="1:5" ht="12.75" customHeight="1">
      <c r="A2044" s="33"/>
      <c r="B2044" s="34"/>
      <c r="C2044" s="38"/>
      <c r="D2044" s="38"/>
      <c r="E2044" s="24"/>
    </row>
    <row r="2045" spans="1:5" ht="12.75" customHeight="1">
      <c r="A2045" s="33"/>
      <c r="B2045" s="34"/>
      <c r="C2045" s="38"/>
      <c r="D2045" s="38"/>
      <c r="E2045" s="24"/>
    </row>
    <row r="2046" spans="1:5" ht="12.75" customHeight="1">
      <c r="A2046" s="33"/>
      <c r="B2046" s="34"/>
      <c r="C2046" s="38"/>
      <c r="D2046" s="38"/>
      <c r="E2046" s="24"/>
    </row>
    <row r="2047" spans="1:5" ht="12.75" customHeight="1">
      <c r="A2047" s="33"/>
      <c r="B2047" s="34"/>
      <c r="C2047" s="38"/>
      <c r="D2047" s="38"/>
      <c r="E2047" s="24"/>
    </row>
    <row r="2048" spans="1:5" ht="12.75" customHeight="1">
      <c r="A2048" s="33"/>
      <c r="B2048" s="34"/>
      <c r="C2048" s="38"/>
      <c r="D2048" s="38"/>
      <c r="E2048" s="24"/>
    </row>
    <row r="2049" spans="1:5" ht="12.75" customHeight="1">
      <c r="A2049" s="33"/>
      <c r="B2049" s="34"/>
      <c r="C2049" s="38"/>
      <c r="D2049" s="38"/>
      <c r="E2049" s="24"/>
    </row>
    <row r="2050" spans="1:5" ht="12.75" customHeight="1">
      <c r="A2050" s="33"/>
      <c r="B2050" s="34"/>
      <c r="C2050" s="38"/>
      <c r="D2050" s="38"/>
      <c r="E2050" s="24"/>
    </row>
    <row r="2051" spans="1:5" ht="12.75" customHeight="1">
      <c r="A2051" s="33"/>
      <c r="B2051" s="34"/>
      <c r="C2051" s="38"/>
      <c r="D2051" s="38"/>
      <c r="E2051" s="24"/>
    </row>
    <row r="2052" spans="1:5" ht="12.75" customHeight="1">
      <c r="A2052" s="33"/>
      <c r="B2052" s="34"/>
      <c r="C2052" s="38"/>
      <c r="D2052" s="38"/>
      <c r="E2052" s="24"/>
    </row>
    <row r="2053" spans="1:5" ht="12.75" customHeight="1">
      <c r="A2053" s="33"/>
      <c r="B2053" s="34"/>
      <c r="C2053" s="38"/>
      <c r="D2053" s="38"/>
      <c r="E2053" s="24"/>
    </row>
    <row r="2054" spans="1:5" ht="12.75" customHeight="1">
      <c r="A2054" s="33"/>
      <c r="B2054" s="34"/>
      <c r="C2054" s="38"/>
      <c r="D2054" s="38"/>
      <c r="E2054" s="24"/>
    </row>
    <row r="2055" spans="1:5" ht="12.75" customHeight="1">
      <c r="A2055" s="33"/>
      <c r="B2055" s="34"/>
      <c r="C2055" s="38"/>
      <c r="D2055" s="38"/>
      <c r="E2055" s="24"/>
    </row>
    <row r="2056" spans="1:5" ht="12.75" customHeight="1">
      <c r="A2056" s="33"/>
      <c r="B2056" s="34"/>
      <c r="C2056" s="38"/>
      <c r="D2056" s="38"/>
      <c r="E2056" s="24"/>
    </row>
    <row r="2057" spans="1:5" ht="12.75" customHeight="1">
      <c r="A2057" s="33"/>
      <c r="B2057" s="34"/>
      <c r="C2057" s="38"/>
      <c r="D2057" s="38"/>
      <c r="E2057" s="24"/>
    </row>
    <row r="2058" spans="1:5" ht="12.75" customHeight="1">
      <c r="A2058" s="33"/>
      <c r="B2058" s="34"/>
      <c r="C2058" s="38"/>
      <c r="D2058" s="38"/>
      <c r="E2058" s="24"/>
    </row>
    <row r="2059" spans="1:5" ht="12.75" customHeight="1">
      <c r="A2059" s="33"/>
      <c r="B2059" s="34"/>
      <c r="C2059" s="38"/>
      <c r="D2059" s="38"/>
      <c r="E2059" s="24"/>
    </row>
    <row r="2060" spans="1:5" ht="12.75" customHeight="1">
      <c r="A2060" s="33"/>
      <c r="B2060" s="34"/>
      <c r="C2060" s="38"/>
      <c r="D2060" s="38"/>
      <c r="E2060" s="24"/>
    </row>
    <row r="2061" spans="1:5" ht="12.75" customHeight="1">
      <c r="A2061" s="33"/>
      <c r="B2061" s="34"/>
      <c r="C2061" s="38"/>
      <c r="D2061" s="38"/>
      <c r="E2061" s="24"/>
    </row>
    <row r="2062" spans="1:5" ht="12.75" customHeight="1">
      <c r="A2062" s="33"/>
      <c r="B2062" s="34"/>
      <c r="C2062" s="38"/>
      <c r="D2062" s="38"/>
      <c r="E2062" s="24"/>
    </row>
    <row r="2063" spans="1:5" ht="12.75" customHeight="1">
      <c r="A2063" s="33"/>
      <c r="B2063" s="34"/>
      <c r="C2063" s="38"/>
      <c r="D2063" s="38"/>
      <c r="E2063" s="24"/>
    </row>
    <row r="2064" spans="1:5" ht="12.75" customHeight="1">
      <c r="A2064" s="33"/>
      <c r="B2064" s="34"/>
      <c r="C2064" s="38"/>
      <c r="D2064" s="38"/>
      <c r="E2064" s="24"/>
    </row>
    <row r="2065" spans="1:5" ht="12.75" customHeight="1">
      <c r="A2065" s="33"/>
      <c r="B2065" s="34"/>
      <c r="C2065" s="38"/>
      <c r="D2065" s="38"/>
      <c r="E2065" s="24"/>
    </row>
    <row r="2066" spans="1:5" ht="12.75" customHeight="1">
      <c r="A2066" s="33"/>
      <c r="B2066" s="34"/>
      <c r="C2066" s="38"/>
      <c r="D2066" s="38"/>
      <c r="E2066" s="24"/>
    </row>
    <row r="2067" spans="1:5" ht="12.75" customHeight="1">
      <c r="A2067" s="33"/>
      <c r="B2067" s="34"/>
      <c r="C2067" s="38"/>
      <c r="D2067" s="38"/>
      <c r="E2067" s="24"/>
    </row>
    <row r="2068" spans="1:5" ht="12.75" customHeight="1">
      <c r="A2068" s="33"/>
      <c r="B2068" s="34"/>
      <c r="C2068" s="38"/>
      <c r="D2068" s="38"/>
      <c r="E2068" s="24"/>
    </row>
    <row r="2069" spans="1:5" ht="12.75" customHeight="1">
      <c r="A2069" s="33"/>
      <c r="B2069" s="34"/>
      <c r="C2069" s="38"/>
      <c r="D2069" s="38"/>
      <c r="E2069" s="24"/>
    </row>
    <row r="2070" spans="1:5" ht="12.75" customHeight="1">
      <c r="A2070" s="33"/>
      <c r="B2070" s="34"/>
      <c r="C2070" s="38"/>
      <c r="D2070" s="38"/>
      <c r="E2070" s="24"/>
    </row>
    <row r="2071" spans="1:5" ht="12.75" customHeight="1">
      <c r="A2071" s="33"/>
      <c r="B2071" s="34"/>
      <c r="C2071" s="38"/>
      <c r="D2071" s="38"/>
      <c r="E2071" s="24"/>
    </row>
    <row r="2072" spans="1:5" ht="12.75" customHeight="1">
      <c r="A2072" s="33"/>
      <c r="B2072" s="34"/>
      <c r="C2072" s="38"/>
      <c r="D2072" s="38"/>
      <c r="E2072" s="24"/>
    </row>
    <row r="2073" spans="1:5" ht="12.75" customHeight="1">
      <c r="A2073" s="33"/>
      <c r="B2073" s="34"/>
      <c r="C2073" s="38"/>
      <c r="D2073" s="38"/>
      <c r="E2073" s="24"/>
    </row>
    <row r="2074" spans="1:5" ht="12.75" customHeight="1">
      <c r="A2074" s="33"/>
      <c r="B2074" s="34"/>
      <c r="C2074" s="38"/>
      <c r="D2074" s="38"/>
      <c r="E2074" s="24"/>
    </row>
    <row r="2075" spans="1:5" ht="12.75" customHeight="1">
      <c r="A2075" s="33"/>
      <c r="B2075" s="34"/>
      <c r="C2075" s="38"/>
      <c r="D2075" s="38"/>
      <c r="E2075" s="24"/>
    </row>
    <row r="2076" spans="1:5" ht="12.75" customHeight="1">
      <c r="A2076" s="33"/>
      <c r="B2076" s="34"/>
      <c r="C2076" s="38"/>
      <c r="D2076" s="38"/>
      <c r="E2076" s="24"/>
    </row>
    <row r="2077" spans="1:5" ht="12.75" customHeight="1">
      <c r="A2077" s="33"/>
      <c r="B2077" s="34"/>
      <c r="C2077" s="38"/>
      <c r="D2077" s="38"/>
      <c r="E2077" s="24"/>
    </row>
    <row r="2078" spans="1:5" ht="12.75" customHeight="1">
      <c r="A2078" s="33"/>
      <c r="B2078" s="34"/>
      <c r="C2078" s="38"/>
      <c r="D2078" s="38"/>
      <c r="E2078" s="24"/>
    </row>
    <row r="2079" spans="1:5" ht="12.75" customHeight="1">
      <c r="A2079" s="33"/>
      <c r="B2079" s="34"/>
      <c r="C2079" s="38"/>
      <c r="D2079" s="38"/>
      <c r="E2079" s="24"/>
    </row>
    <row r="2080" spans="1:5" ht="12.75" customHeight="1">
      <c r="A2080" s="33"/>
      <c r="B2080" s="34"/>
      <c r="C2080" s="38"/>
      <c r="D2080" s="38"/>
      <c r="E2080" s="24"/>
    </row>
    <row r="2081" spans="1:5" ht="12.75" customHeight="1">
      <c r="A2081" s="33"/>
      <c r="B2081" s="34"/>
      <c r="C2081" s="38"/>
      <c r="D2081" s="38"/>
      <c r="E2081" s="24"/>
    </row>
    <row r="2082" spans="1:5" ht="12.75" customHeight="1">
      <c r="A2082" s="33"/>
      <c r="B2082" s="34"/>
      <c r="C2082" s="38"/>
      <c r="D2082" s="38"/>
      <c r="E2082" s="24"/>
    </row>
    <row r="2083" spans="1:5" ht="12.75" customHeight="1">
      <c r="A2083" s="33"/>
      <c r="B2083" s="34"/>
      <c r="C2083" s="38"/>
      <c r="D2083" s="38"/>
      <c r="E2083" s="24"/>
    </row>
    <row r="2084" spans="1:5" ht="12.75" customHeight="1">
      <c r="A2084" s="33"/>
      <c r="B2084" s="34"/>
      <c r="C2084" s="38"/>
      <c r="D2084" s="38"/>
      <c r="E2084" s="24"/>
    </row>
    <row r="2085" spans="1:5" ht="12.75" customHeight="1">
      <c r="A2085" s="33"/>
      <c r="B2085" s="34"/>
      <c r="C2085" s="38"/>
      <c r="D2085" s="38"/>
      <c r="E2085" s="24"/>
    </row>
    <row r="2086" spans="1:5" ht="12.75" customHeight="1">
      <c r="A2086" s="33"/>
      <c r="B2086" s="34"/>
      <c r="C2086" s="38"/>
      <c r="D2086" s="38"/>
      <c r="E2086" s="24"/>
    </row>
    <row r="2087" spans="1:5" ht="12.75" customHeight="1">
      <c r="A2087" s="33"/>
      <c r="B2087" s="34"/>
      <c r="C2087" s="38"/>
      <c r="D2087" s="38"/>
      <c r="E2087" s="24"/>
    </row>
    <row r="2088" spans="1:5" ht="12.75" customHeight="1">
      <c r="A2088" s="33"/>
      <c r="B2088" s="34"/>
      <c r="C2088" s="38"/>
      <c r="D2088" s="38"/>
      <c r="E2088" s="24"/>
    </row>
    <row r="2089" spans="1:5" ht="12.75" customHeight="1">
      <c r="A2089" s="33"/>
      <c r="B2089" s="34"/>
      <c r="C2089" s="38"/>
      <c r="D2089" s="38"/>
      <c r="E2089" s="24"/>
    </row>
    <row r="2090" spans="1:5" ht="12.75" customHeight="1">
      <c r="A2090" s="33"/>
      <c r="B2090" s="34"/>
      <c r="C2090" s="38"/>
      <c r="D2090" s="38"/>
      <c r="E2090" s="24"/>
    </row>
    <row r="2091" spans="1:5" ht="12.75" customHeight="1">
      <c r="A2091" s="33"/>
      <c r="B2091" s="34"/>
      <c r="C2091" s="38"/>
      <c r="D2091" s="38"/>
      <c r="E2091" s="24"/>
    </row>
    <row r="2092" spans="1:5" ht="12.75" customHeight="1">
      <c r="A2092" s="33"/>
      <c r="B2092" s="34"/>
      <c r="C2092" s="38"/>
      <c r="D2092" s="38"/>
      <c r="E2092" s="24"/>
    </row>
    <row r="2093" spans="1:5" ht="12.75" customHeight="1">
      <c r="A2093" s="33"/>
      <c r="B2093" s="34"/>
      <c r="C2093" s="38"/>
      <c r="D2093" s="38"/>
      <c r="E2093" s="24"/>
    </row>
    <row r="2094" spans="1:5" ht="12.75" customHeight="1">
      <c r="A2094" s="33"/>
      <c r="B2094" s="34"/>
      <c r="C2094" s="38"/>
      <c r="D2094" s="38"/>
      <c r="E2094" s="24"/>
    </row>
    <row r="2095" spans="1:5" ht="12.75" customHeight="1">
      <c r="A2095" s="33"/>
      <c r="B2095" s="34"/>
      <c r="C2095" s="38"/>
      <c r="D2095" s="38"/>
      <c r="E2095" s="24"/>
    </row>
    <row r="2096" spans="1:5" ht="12.75" customHeight="1">
      <c r="A2096" s="33"/>
      <c r="B2096" s="34"/>
      <c r="C2096" s="38"/>
      <c r="D2096" s="38"/>
      <c r="E2096" s="24"/>
    </row>
    <row r="2097" spans="1:5" ht="12.75" customHeight="1">
      <c r="A2097" s="33"/>
      <c r="B2097" s="34"/>
      <c r="C2097" s="38"/>
      <c r="D2097" s="38"/>
      <c r="E2097" s="24"/>
    </row>
    <row r="2098" spans="1:5" ht="12.75" customHeight="1">
      <c r="A2098" s="33"/>
      <c r="B2098" s="34"/>
      <c r="C2098" s="38"/>
      <c r="D2098" s="38"/>
      <c r="E2098" s="24"/>
    </row>
    <row r="2099" spans="1:5" ht="12.75" customHeight="1">
      <c r="A2099" s="33"/>
      <c r="B2099" s="34"/>
      <c r="C2099" s="38"/>
      <c r="D2099" s="38"/>
      <c r="E2099" s="24"/>
    </row>
    <row r="2100" spans="1:5" ht="12.75" customHeight="1">
      <c r="A2100" s="33"/>
      <c r="B2100" s="34"/>
      <c r="C2100" s="38"/>
      <c r="D2100" s="38"/>
      <c r="E2100" s="24"/>
    </row>
    <row r="2101" spans="1:5" ht="12.75" customHeight="1">
      <c r="A2101" s="33"/>
      <c r="B2101" s="34"/>
      <c r="C2101" s="38"/>
      <c r="D2101" s="38"/>
      <c r="E2101" s="24"/>
    </row>
    <row r="2102" spans="1:5" ht="12.75" customHeight="1">
      <c r="A2102" s="33"/>
      <c r="B2102" s="34"/>
      <c r="C2102" s="38"/>
      <c r="D2102" s="38"/>
      <c r="E2102" s="24"/>
    </row>
    <row r="2103" spans="1:5" ht="12.75" customHeight="1">
      <c r="A2103" s="33"/>
      <c r="B2103" s="34"/>
      <c r="C2103" s="38"/>
      <c r="D2103" s="38"/>
      <c r="E2103" s="24"/>
    </row>
    <row r="2104" spans="1:5" ht="12.75" customHeight="1">
      <c r="A2104" s="33"/>
      <c r="B2104" s="34"/>
      <c r="C2104" s="38"/>
      <c r="D2104" s="38"/>
      <c r="E2104" s="24"/>
    </row>
    <row r="2105" spans="1:5" ht="12.75" customHeight="1">
      <c r="A2105" s="33"/>
      <c r="B2105" s="34"/>
      <c r="C2105" s="38"/>
      <c r="D2105" s="38"/>
      <c r="E2105" s="24"/>
    </row>
    <row r="2106" spans="1:5" ht="12.75" customHeight="1">
      <c r="A2106" s="33"/>
      <c r="B2106" s="34"/>
      <c r="C2106" s="38"/>
      <c r="D2106" s="38"/>
      <c r="E2106" s="24"/>
    </row>
    <row r="2107" spans="1:5" ht="12.75" customHeight="1">
      <c r="A2107" s="33"/>
      <c r="B2107" s="34"/>
      <c r="C2107" s="38"/>
      <c r="D2107" s="38"/>
      <c r="E2107" s="24"/>
    </row>
    <row r="2108" spans="1:5" ht="12.75" customHeight="1">
      <c r="A2108" s="33"/>
      <c r="B2108" s="34"/>
      <c r="C2108" s="38"/>
      <c r="D2108" s="38"/>
      <c r="E2108" s="24"/>
    </row>
    <row r="2109" spans="1:5" ht="12.75" customHeight="1">
      <c r="A2109" s="33"/>
      <c r="B2109" s="34"/>
      <c r="C2109" s="38"/>
      <c r="D2109" s="38"/>
      <c r="E2109" s="24"/>
    </row>
    <row r="2110" spans="1:5" ht="12.75" customHeight="1">
      <c r="A2110" s="33"/>
      <c r="B2110" s="34"/>
      <c r="C2110" s="38"/>
      <c r="D2110" s="38"/>
      <c r="E2110" s="24"/>
    </row>
    <row r="2111" spans="1:5" ht="12.75" customHeight="1">
      <c r="A2111" s="33"/>
      <c r="B2111" s="34"/>
      <c r="C2111" s="38"/>
      <c r="D2111" s="38"/>
      <c r="E2111" s="24"/>
    </row>
    <row r="2112" spans="1:5" ht="12.75" customHeight="1">
      <c r="A2112" s="33"/>
      <c r="B2112" s="34"/>
      <c r="C2112" s="38"/>
      <c r="D2112" s="38"/>
      <c r="E2112" s="24"/>
    </row>
    <row r="2113" spans="1:5" ht="12.75" customHeight="1">
      <c r="A2113" s="33"/>
      <c r="B2113" s="34"/>
      <c r="C2113" s="38"/>
      <c r="D2113" s="38"/>
      <c r="E2113" s="24"/>
    </row>
    <row r="2114" spans="1:5" ht="12.75" customHeight="1">
      <c r="A2114" s="33"/>
      <c r="B2114" s="34"/>
      <c r="C2114" s="38"/>
      <c r="D2114" s="38"/>
      <c r="E2114" s="24"/>
    </row>
    <row r="2115" spans="1:5" ht="12.75" customHeight="1">
      <c r="A2115" s="33"/>
      <c r="B2115" s="34"/>
      <c r="C2115" s="38"/>
      <c r="D2115" s="38"/>
      <c r="E2115" s="24"/>
    </row>
    <row r="2116" spans="1:5" ht="12.75" customHeight="1">
      <c r="A2116" s="33"/>
      <c r="B2116" s="34"/>
      <c r="C2116" s="38"/>
      <c r="D2116" s="38"/>
      <c r="E2116" s="24"/>
    </row>
    <row r="2117" spans="1:5" ht="12.75" customHeight="1">
      <c r="A2117" s="33"/>
      <c r="B2117" s="34"/>
      <c r="C2117" s="38"/>
      <c r="D2117" s="38"/>
      <c r="E2117" s="24"/>
    </row>
    <row r="2118" spans="1:5" ht="12.75" customHeight="1">
      <c r="A2118" s="33"/>
      <c r="B2118" s="34"/>
      <c r="C2118" s="38"/>
      <c r="D2118" s="38"/>
      <c r="E2118" s="24"/>
    </row>
    <row r="2119" spans="1:5" ht="12.75" customHeight="1">
      <c r="A2119" s="33"/>
      <c r="B2119" s="34"/>
      <c r="C2119" s="38"/>
      <c r="D2119" s="38"/>
      <c r="E2119" s="24"/>
    </row>
    <row r="2120" spans="1:5" ht="12.75" customHeight="1">
      <c r="A2120" s="33"/>
      <c r="B2120" s="34"/>
      <c r="C2120" s="38"/>
      <c r="D2120" s="38"/>
      <c r="E2120" s="24"/>
    </row>
    <row r="2121" spans="1:5" ht="12.75" customHeight="1">
      <c r="A2121" s="33"/>
      <c r="B2121" s="34"/>
      <c r="C2121" s="38"/>
      <c r="D2121" s="38"/>
      <c r="E2121" s="24"/>
    </row>
    <row r="2122" spans="1:5" ht="12.75" customHeight="1">
      <c r="A2122" s="33"/>
      <c r="B2122" s="34"/>
      <c r="C2122" s="38"/>
      <c r="D2122" s="38"/>
      <c r="E2122" s="24"/>
    </row>
    <row r="2123" spans="1:5" ht="12.75" customHeight="1">
      <c r="A2123" s="33"/>
      <c r="B2123" s="34"/>
      <c r="C2123" s="38"/>
      <c r="D2123" s="38"/>
      <c r="E2123" s="24"/>
    </row>
    <row r="2124" spans="1:5" ht="12.75" customHeight="1">
      <c r="A2124" s="33"/>
      <c r="B2124" s="34"/>
      <c r="C2124" s="38"/>
      <c r="D2124" s="38"/>
      <c r="E2124" s="24"/>
    </row>
    <row r="2125" spans="1:5" ht="12.75" customHeight="1">
      <c r="A2125" s="33"/>
      <c r="B2125" s="34"/>
      <c r="C2125" s="38"/>
      <c r="D2125" s="38"/>
      <c r="E2125" s="24"/>
    </row>
    <row r="2126" spans="1:5" ht="12.75" customHeight="1">
      <c r="A2126" s="33"/>
      <c r="B2126" s="34"/>
      <c r="C2126" s="38"/>
      <c r="D2126" s="38"/>
      <c r="E2126" s="24"/>
    </row>
    <row r="2127" spans="1:5" ht="12.75" customHeight="1">
      <c r="A2127" s="33"/>
      <c r="B2127" s="34"/>
      <c r="C2127" s="38"/>
      <c r="D2127" s="38"/>
      <c r="E2127" s="24"/>
    </row>
    <row r="2128" spans="1:5" ht="12.75" customHeight="1">
      <c r="A2128" s="33"/>
      <c r="B2128" s="34"/>
      <c r="C2128" s="38"/>
      <c r="D2128" s="38"/>
      <c r="E2128" s="24"/>
    </row>
    <row r="2129" spans="1:5" ht="12.75" customHeight="1">
      <c r="A2129" s="33"/>
      <c r="B2129" s="34"/>
      <c r="C2129" s="38"/>
      <c r="D2129" s="38"/>
      <c r="E2129" s="24"/>
    </row>
    <row r="2130" spans="1:5" ht="12.75" customHeight="1">
      <c r="A2130" s="33"/>
      <c r="B2130" s="34"/>
      <c r="C2130" s="38"/>
      <c r="D2130" s="38"/>
      <c r="E2130" s="24"/>
    </row>
    <row r="2131" spans="1:5" ht="12.75" customHeight="1">
      <c r="A2131" s="33"/>
      <c r="B2131" s="34"/>
      <c r="C2131" s="38"/>
      <c r="D2131" s="38"/>
      <c r="E2131" s="24"/>
    </row>
    <row r="2132" spans="1:5" ht="12.75" customHeight="1">
      <c r="A2132" s="33"/>
      <c r="B2132" s="34"/>
      <c r="C2132" s="38"/>
      <c r="D2132" s="38"/>
      <c r="E2132" s="24"/>
    </row>
    <row r="2133" spans="1:5" ht="12.75" customHeight="1">
      <c r="A2133" s="33"/>
      <c r="B2133" s="34"/>
      <c r="C2133" s="38"/>
      <c r="D2133" s="38"/>
      <c r="E2133" s="24"/>
    </row>
    <row r="2134" spans="1:5" ht="12.75" customHeight="1">
      <c r="A2134" s="33"/>
      <c r="B2134" s="34"/>
      <c r="C2134" s="38"/>
      <c r="D2134" s="38"/>
      <c r="E2134" s="24"/>
    </row>
    <row r="2135" spans="1:5" ht="12.75" customHeight="1">
      <c r="A2135" s="33"/>
      <c r="B2135" s="34"/>
      <c r="C2135" s="38"/>
      <c r="D2135" s="38"/>
      <c r="E2135" s="24"/>
    </row>
    <row r="2136" spans="1:5" ht="12.75" customHeight="1">
      <c r="A2136" s="33"/>
      <c r="B2136" s="34"/>
      <c r="C2136" s="38"/>
      <c r="D2136" s="38"/>
      <c r="E2136" s="24"/>
    </row>
    <row r="2137" spans="1:5" ht="12.75" customHeight="1">
      <c r="A2137" s="33"/>
      <c r="B2137" s="34"/>
      <c r="C2137" s="38"/>
      <c r="D2137" s="38"/>
      <c r="E2137" s="24"/>
    </row>
    <row r="2138" spans="1:5" ht="12.75" customHeight="1">
      <c r="A2138" s="33"/>
      <c r="B2138" s="34"/>
      <c r="C2138" s="38"/>
      <c r="D2138" s="38"/>
      <c r="E2138" s="24"/>
    </row>
    <row r="2139" spans="1:5" ht="12.75" customHeight="1">
      <c r="A2139" s="33"/>
      <c r="B2139" s="34"/>
      <c r="C2139" s="38"/>
      <c r="D2139" s="38"/>
      <c r="E2139" s="24"/>
    </row>
    <row r="2140" spans="1:5" ht="12.75" customHeight="1">
      <c r="A2140" s="33"/>
      <c r="B2140" s="34"/>
      <c r="C2140" s="38"/>
      <c r="D2140" s="38"/>
      <c r="E2140" s="24"/>
    </row>
    <row r="2141" spans="1:5" ht="12.75" customHeight="1">
      <c r="A2141" s="33"/>
      <c r="B2141" s="34"/>
      <c r="C2141" s="38"/>
      <c r="D2141" s="38"/>
      <c r="E2141" s="24"/>
    </row>
    <row r="2142" spans="1:5" ht="12.75" customHeight="1">
      <c r="A2142" s="33"/>
      <c r="B2142" s="34"/>
      <c r="C2142" s="38"/>
      <c r="D2142" s="38"/>
      <c r="E2142" s="24"/>
    </row>
    <row r="2143" spans="1:5" ht="12.75" customHeight="1">
      <c r="A2143" s="33"/>
      <c r="B2143" s="34"/>
      <c r="C2143" s="38"/>
      <c r="D2143" s="38"/>
      <c r="E2143" s="24"/>
    </row>
    <row r="2144" spans="1:5" ht="12.75" customHeight="1">
      <c r="A2144" s="33"/>
      <c r="B2144" s="34"/>
      <c r="C2144" s="38"/>
      <c r="D2144" s="38"/>
      <c r="E2144" s="24"/>
    </row>
    <row r="2145" spans="1:5" ht="12.75" customHeight="1">
      <c r="A2145" s="33"/>
      <c r="B2145" s="34"/>
      <c r="C2145" s="38"/>
      <c r="D2145" s="38"/>
      <c r="E2145" s="24"/>
    </row>
    <row r="2146" spans="1:5" ht="12.75" customHeight="1">
      <c r="A2146" s="33"/>
      <c r="B2146" s="34"/>
      <c r="C2146" s="38"/>
      <c r="D2146" s="38"/>
      <c r="E2146" s="24"/>
    </row>
    <row r="2147" spans="1:5" ht="12.75" customHeight="1">
      <c r="A2147" s="33"/>
      <c r="B2147" s="34"/>
      <c r="C2147" s="38"/>
      <c r="D2147" s="38"/>
      <c r="E2147" s="24"/>
    </row>
    <row r="2148" spans="1:5" ht="12.75" customHeight="1">
      <c r="A2148" s="33"/>
      <c r="B2148" s="34"/>
      <c r="C2148" s="38"/>
      <c r="D2148" s="38"/>
      <c r="E2148" s="24"/>
    </row>
    <row r="2149" spans="1:5" ht="12.75" customHeight="1">
      <c r="A2149" s="33"/>
      <c r="B2149" s="34"/>
      <c r="C2149" s="38"/>
      <c r="D2149" s="38"/>
      <c r="E2149" s="24"/>
    </row>
    <row r="2150" spans="1:5" ht="12.75" customHeight="1">
      <c r="A2150" s="33"/>
      <c r="B2150" s="34"/>
      <c r="C2150" s="38"/>
      <c r="D2150" s="38"/>
      <c r="E2150" s="24"/>
    </row>
    <row r="2151" spans="1:5" ht="12.75" customHeight="1">
      <c r="A2151" s="33"/>
      <c r="B2151" s="34"/>
      <c r="C2151" s="38"/>
      <c r="D2151" s="38"/>
      <c r="E2151" s="24"/>
    </row>
    <row r="2152" spans="1:5" ht="12.75" customHeight="1">
      <c r="A2152" s="33"/>
      <c r="B2152" s="34"/>
      <c r="C2152" s="38"/>
      <c r="D2152" s="38"/>
      <c r="E2152" s="24"/>
    </row>
    <row r="2153" spans="1:5" ht="12.75" customHeight="1">
      <c r="A2153" s="33"/>
      <c r="B2153" s="34"/>
      <c r="C2153" s="38"/>
      <c r="D2153" s="38"/>
      <c r="E2153" s="24"/>
    </row>
    <row r="2154" spans="1:5" ht="12.75" customHeight="1">
      <c r="A2154" s="33"/>
      <c r="B2154" s="34"/>
      <c r="C2154" s="38"/>
      <c r="D2154" s="38"/>
      <c r="E2154" s="24"/>
    </row>
    <row r="2155" spans="1:5" ht="12.75" customHeight="1">
      <c r="A2155" s="33"/>
      <c r="B2155" s="34"/>
      <c r="C2155" s="38"/>
      <c r="D2155" s="38"/>
      <c r="E2155" s="24"/>
    </row>
    <row r="2156" spans="1:5" ht="12.75" customHeight="1">
      <c r="A2156" s="33"/>
      <c r="B2156" s="34"/>
      <c r="C2156" s="38"/>
      <c r="D2156" s="38"/>
      <c r="E2156" s="24"/>
    </row>
    <row r="2157" spans="1:5" ht="12.75" customHeight="1">
      <c r="A2157" s="33"/>
      <c r="B2157" s="34"/>
      <c r="C2157" s="38"/>
      <c r="D2157" s="38"/>
      <c r="E2157" s="24"/>
    </row>
    <row r="2158" spans="1:5" ht="12.75" customHeight="1">
      <c r="A2158" s="33"/>
      <c r="B2158" s="34"/>
      <c r="C2158" s="38"/>
      <c r="D2158" s="38"/>
      <c r="E2158" s="24"/>
    </row>
    <row r="2159" spans="1:5" ht="12.75" customHeight="1">
      <c r="A2159" s="33"/>
      <c r="B2159" s="34"/>
      <c r="C2159" s="38"/>
      <c r="D2159" s="38"/>
      <c r="E2159" s="24"/>
    </row>
    <row r="2160" spans="1:5" ht="12.75" customHeight="1">
      <c r="A2160" s="33"/>
      <c r="B2160" s="34"/>
      <c r="C2160" s="38"/>
      <c r="D2160" s="38"/>
      <c r="E2160" s="24"/>
    </row>
    <row r="2161" spans="1:5" ht="12.75" customHeight="1">
      <c r="A2161" s="33"/>
      <c r="B2161" s="34"/>
      <c r="C2161" s="38"/>
      <c r="D2161" s="38"/>
      <c r="E2161" s="24"/>
    </row>
    <row r="2162" spans="1:5" ht="12.75" customHeight="1">
      <c r="A2162" s="33"/>
      <c r="B2162" s="34"/>
      <c r="C2162" s="38"/>
      <c r="D2162" s="38"/>
      <c r="E2162" s="24"/>
    </row>
    <row r="2163" spans="1:5" ht="12.75" customHeight="1">
      <c r="A2163" s="33"/>
      <c r="B2163" s="34"/>
      <c r="C2163" s="38"/>
      <c r="D2163" s="38"/>
      <c r="E2163" s="24"/>
    </row>
    <row r="2164" spans="1:5" ht="12.75" customHeight="1">
      <c r="A2164" s="33"/>
      <c r="B2164" s="34"/>
      <c r="C2164" s="38"/>
      <c r="D2164" s="38"/>
      <c r="E2164" s="24"/>
    </row>
    <row r="2165" spans="1:5" ht="12.75" customHeight="1">
      <c r="A2165" s="33"/>
      <c r="B2165" s="34"/>
      <c r="C2165" s="38"/>
      <c r="D2165" s="38"/>
      <c r="E2165" s="24"/>
    </row>
    <row r="2166" spans="1:5" ht="12.75" customHeight="1">
      <c r="A2166" s="33"/>
      <c r="B2166" s="34"/>
      <c r="C2166" s="38"/>
      <c r="D2166" s="38"/>
      <c r="E2166" s="24"/>
    </row>
    <row r="2167" spans="1:5" ht="12.75" customHeight="1">
      <c r="A2167" s="33"/>
      <c r="B2167" s="34"/>
      <c r="C2167" s="38"/>
      <c r="D2167" s="38"/>
      <c r="E2167" s="24"/>
    </row>
    <row r="2168" spans="1:5" ht="12.75" customHeight="1">
      <c r="A2168" s="33"/>
      <c r="B2168" s="34"/>
      <c r="C2168" s="38"/>
      <c r="D2168" s="38"/>
      <c r="E2168" s="24"/>
    </row>
    <row r="2169" spans="1:5" ht="12.75" customHeight="1">
      <c r="A2169" s="33"/>
      <c r="B2169" s="34"/>
      <c r="C2169" s="38"/>
      <c r="D2169" s="38"/>
      <c r="E2169" s="24"/>
    </row>
    <row r="2170" spans="1:5" ht="12.75" customHeight="1">
      <c r="A2170" s="33"/>
      <c r="B2170" s="34"/>
      <c r="C2170" s="38"/>
      <c r="D2170" s="38"/>
      <c r="E2170" s="24"/>
    </row>
    <row r="2171" spans="1:5" ht="12.75" customHeight="1">
      <c r="A2171" s="33"/>
      <c r="B2171" s="34"/>
      <c r="C2171" s="38"/>
      <c r="D2171" s="38"/>
      <c r="E2171" s="24"/>
    </row>
    <row r="2172" spans="1:5" ht="12.75" customHeight="1">
      <c r="A2172" s="33"/>
      <c r="B2172" s="34"/>
      <c r="C2172" s="38"/>
      <c r="D2172" s="38"/>
      <c r="E2172" s="24"/>
    </row>
    <row r="2173" spans="1:5" ht="12.75" customHeight="1">
      <c r="A2173" s="33"/>
      <c r="B2173" s="34"/>
      <c r="C2173" s="38"/>
      <c r="D2173" s="38"/>
      <c r="E2173" s="24"/>
    </row>
    <row r="2174" spans="1:5" ht="12.75" customHeight="1">
      <c r="A2174" s="33"/>
      <c r="B2174" s="34"/>
      <c r="C2174" s="38"/>
      <c r="D2174" s="38"/>
      <c r="E2174" s="24"/>
    </row>
    <row r="2175" spans="1:5" ht="12.75" customHeight="1">
      <c r="A2175" s="33"/>
      <c r="B2175" s="34"/>
      <c r="C2175" s="38"/>
      <c r="D2175" s="38"/>
      <c r="E2175" s="24"/>
    </row>
    <row r="2176" spans="1:5" ht="12.75" customHeight="1">
      <c r="A2176" s="33"/>
      <c r="B2176" s="34"/>
      <c r="C2176" s="38"/>
      <c r="D2176" s="38"/>
      <c r="E2176" s="24"/>
    </row>
    <row r="2177" spans="1:5" ht="12.75" customHeight="1">
      <c r="A2177" s="33"/>
      <c r="B2177" s="34"/>
      <c r="C2177" s="38"/>
      <c r="D2177" s="38"/>
      <c r="E2177" s="24"/>
    </row>
    <row r="2178" spans="1:5" ht="12.75" customHeight="1">
      <c r="A2178" s="33"/>
      <c r="B2178" s="34"/>
      <c r="C2178" s="38"/>
      <c r="D2178" s="38"/>
      <c r="E2178" s="24"/>
    </row>
    <row r="2179" spans="1:5" ht="12.75" customHeight="1">
      <c r="A2179" s="33"/>
      <c r="B2179" s="34"/>
      <c r="C2179" s="38"/>
      <c r="D2179" s="38"/>
      <c r="E2179" s="24"/>
    </row>
    <row r="2180" spans="1:5" ht="12.75" customHeight="1">
      <c r="A2180" s="33"/>
      <c r="B2180" s="34"/>
      <c r="C2180" s="38"/>
      <c r="D2180" s="38"/>
      <c r="E2180" s="24"/>
    </row>
    <row r="2181" spans="1:5" ht="12.75" customHeight="1">
      <c r="A2181" s="33"/>
      <c r="B2181" s="34"/>
      <c r="C2181" s="38"/>
      <c r="D2181" s="38"/>
      <c r="E2181" s="24"/>
    </row>
    <row r="2182" spans="1:5" ht="12.75" customHeight="1">
      <c r="A2182" s="33"/>
      <c r="B2182" s="34"/>
      <c r="C2182" s="38"/>
      <c r="D2182" s="38"/>
      <c r="E2182" s="24"/>
    </row>
    <row r="2183" spans="1:5" ht="12.75" customHeight="1">
      <c r="A2183" s="33"/>
      <c r="B2183" s="34"/>
      <c r="C2183" s="38"/>
      <c r="D2183" s="38"/>
      <c r="E2183" s="24"/>
    </row>
    <row r="2184" spans="1:5" ht="12.75" customHeight="1">
      <c r="A2184" s="33"/>
      <c r="B2184" s="34"/>
      <c r="C2184" s="38"/>
      <c r="D2184" s="38"/>
      <c r="E2184" s="24"/>
    </row>
    <row r="2185" spans="1:5" ht="12.75" customHeight="1">
      <c r="A2185" s="33"/>
      <c r="B2185" s="34"/>
      <c r="C2185" s="38"/>
      <c r="D2185" s="38"/>
      <c r="E2185" s="24"/>
    </row>
    <row r="2186" spans="1:5" ht="12.75" customHeight="1">
      <c r="A2186" s="33"/>
      <c r="B2186" s="34"/>
      <c r="C2186" s="38"/>
      <c r="D2186" s="38"/>
      <c r="E2186" s="24"/>
    </row>
    <row r="2187" spans="1:5" ht="12.75" customHeight="1">
      <c r="A2187" s="33"/>
      <c r="B2187" s="34"/>
      <c r="C2187" s="38"/>
      <c r="D2187" s="38"/>
      <c r="E2187" s="24"/>
    </row>
    <row r="2188" spans="1:5" ht="12.75" customHeight="1">
      <c r="A2188" s="33"/>
      <c r="B2188" s="34"/>
      <c r="C2188" s="38"/>
      <c r="D2188" s="38"/>
      <c r="E2188" s="24"/>
    </row>
    <row r="2189" spans="1:5" ht="12.75" customHeight="1">
      <c r="A2189" s="33"/>
      <c r="B2189" s="34"/>
      <c r="C2189" s="38"/>
      <c r="D2189" s="38"/>
      <c r="E2189" s="24"/>
    </row>
    <row r="2190" spans="1:5" ht="12.75" customHeight="1">
      <c r="A2190" s="33"/>
      <c r="B2190" s="34"/>
      <c r="C2190" s="38"/>
      <c r="D2190" s="38"/>
      <c r="E2190" s="24"/>
    </row>
    <row r="2191" spans="1:5" ht="12.75" customHeight="1">
      <c r="A2191" s="33"/>
      <c r="B2191" s="34"/>
      <c r="C2191" s="38"/>
      <c r="D2191" s="38"/>
      <c r="E2191" s="24"/>
    </row>
    <row r="2192" spans="1:5" ht="12.75" customHeight="1">
      <c r="A2192" s="33"/>
      <c r="B2192" s="34"/>
      <c r="C2192" s="38"/>
      <c r="D2192" s="38"/>
      <c r="E2192" s="24"/>
    </row>
    <row r="2193" spans="1:5" ht="12.75" customHeight="1">
      <c r="A2193" s="33"/>
      <c r="B2193" s="34"/>
      <c r="C2193" s="38"/>
      <c r="D2193" s="38"/>
      <c r="E2193" s="24"/>
    </row>
    <row r="2194" spans="1:5" ht="12.75" customHeight="1">
      <c r="A2194" s="33"/>
      <c r="B2194" s="34"/>
      <c r="C2194" s="38"/>
      <c r="D2194" s="38"/>
      <c r="E2194" s="24"/>
    </row>
    <row r="2195" spans="1:5" ht="12.75" customHeight="1">
      <c r="A2195" s="33"/>
      <c r="B2195" s="34"/>
      <c r="C2195" s="38"/>
      <c r="D2195" s="38"/>
      <c r="E2195" s="24"/>
    </row>
    <row r="2196" spans="1:5" ht="12.75" customHeight="1">
      <c r="A2196" s="33"/>
      <c r="B2196" s="34"/>
      <c r="C2196" s="38"/>
      <c r="D2196" s="38"/>
      <c r="E2196" s="24"/>
    </row>
    <row r="2197" spans="1:5" ht="12.75" customHeight="1">
      <c r="A2197" s="33"/>
      <c r="B2197" s="34"/>
      <c r="C2197" s="38"/>
      <c r="D2197" s="38"/>
      <c r="E2197" s="24"/>
    </row>
    <row r="2198" spans="1:5" ht="12.75" customHeight="1">
      <c r="A2198" s="33"/>
      <c r="B2198" s="34"/>
      <c r="C2198" s="38"/>
      <c r="D2198" s="38"/>
      <c r="E2198" s="24"/>
    </row>
    <row r="2199" spans="1:5" ht="12.75" customHeight="1">
      <c r="A2199" s="33"/>
      <c r="B2199" s="34"/>
      <c r="C2199" s="38"/>
      <c r="D2199" s="38"/>
      <c r="E2199" s="24"/>
    </row>
    <row r="2200" spans="1:5" ht="12.75" customHeight="1">
      <c r="A2200" s="33"/>
      <c r="B2200" s="34"/>
      <c r="C2200" s="38"/>
      <c r="D2200" s="38"/>
      <c r="E2200" s="24"/>
    </row>
    <row r="2201" spans="1:5" ht="12.75" customHeight="1">
      <c r="A2201" s="33"/>
      <c r="B2201" s="34"/>
      <c r="C2201" s="38"/>
      <c r="D2201" s="38"/>
      <c r="E2201" s="24"/>
    </row>
    <row r="2202" spans="1:5" ht="12.75" customHeight="1">
      <c r="A2202" s="33"/>
      <c r="B2202" s="34"/>
      <c r="C2202" s="38"/>
      <c r="D2202" s="38"/>
      <c r="E2202" s="24"/>
    </row>
    <row r="2203" spans="1:5" ht="12.75" customHeight="1">
      <c r="A2203" s="33"/>
      <c r="B2203" s="34"/>
      <c r="C2203" s="38"/>
      <c r="D2203" s="38"/>
      <c r="E2203" s="24"/>
    </row>
    <row r="2204" spans="1:5" ht="12.75" customHeight="1">
      <c r="A2204" s="33"/>
      <c r="B2204" s="34"/>
      <c r="C2204" s="38"/>
      <c r="D2204" s="38"/>
      <c r="E2204" s="24"/>
    </row>
    <row r="2205" spans="1:5" ht="12.75" customHeight="1">
      <c r="A2205" s="33"/>
      <c r="B2205" s="34"/>
      <c r="C2205" s="38"/>
      <c r="D2205" s="38"/>
      <c r="E2205" s="24"/>
    </row>
    <row r="2206" spans="1:5" ht="12.75" customHeight="1">
      <c r="A2206" s="33"/>
      <c r="B2206" s="34"/>
      <c r="C2206" s="38"/>
      <c r="D2206" s="38"/>
      <c r="E2206" s="24"/>
    </row>
    <row r="2207" spans="1:5" ht="12.75" customHeight="1">
      <c r="A2207" s="33"/>
      <c r="B2207" s="34"/>
      <c r="C2207" s="38"/>
      <c r="D2207" s="38"/>
      <c r="E2207" s="24"/>
    </row>
    <row r="2208" spans="1:5" ht="12.75" customHeight="1">
      <c r="A2208" s="33"/>
      <c r="B2208" s="34"/>
      <c r="C2208" s="38"/>
      <c r="D2208" s="38"/>
      <c r="E2208" s="24"/>
    </row>
    <row r="2209" spans="1:5" ht="12.75" customHeight="1">
      <c r="A2209" s="33"/>
      <c r="B2209" s="34"/>
      <c r="C2209" s="38"/>
      <c r="D2209" s="38"/>
      <c r="E2209" s="24"/>
    </row>
    <row r="2210" spans="1:5" ht="12.75" customHeight="1">
      <c r="A2210" s="33"/>
      <c r="B2210" s="34"/>
      <c r="C2210" s="38"/>
      <c r="D2210" s="38"/>
      <c r="E2210" s="24"/>
    </row>
    <row r="2211" spans="1:5" ht="12.75" customHeight="1">
      <c r="A2211" s="33"/>
      <c r="B2211" s="34"/>
      <c r="C2211" s="38"/>
      <c r="D2211" s="38"/>
      <c r="E2211" s="24"/>
    </row>
    <row r="2212" spans="1:5" ht="12.75" customHeight="1">
      <c r="A2212" s="33"/>
      <c r="B2212" s="34"/>
      <c r="C2212" s="38"/>
      <c r="D2212" s="38"/>
      <c r="E2212" s="24"/>
    </row>
    <row r="2213" spans="1:5" ht="12.75" customHeight="1">
      <c r="A2213" s="33"/>
      <c r="B2213" s="34"/>
      <c r="C2213" s="38"/>
      <c r="D2213" s="38"/>
      <c r="E2213" s="24"/>
    </row>
    <row r="2214" spans="1:5" ht="12.75" customHeight="1">
      <c r="A2214" s="33"/>
      <c r="B2214" s="34"/>
      <c r="C2214" s="38"/>
      <c r="D2214" s="38"/>
      <c r="E2214" s="24"/>
    </row>
    <row r="2215" spans="1:5" ht="12.75" customHeight="1">
      <c r="A2215" s="33"/>
      <c r="B2215" s="34"/>
      <c r="C2215" s="38"/>
      <c r="D2215" s="38"/>
      <c r="E2215" s="24"/>
    </row>
    <row r="2216" spans="1:5" ht="12.75" customHeight="1">
      <c r="A2216" s="33"/>
      <c r="B2216" s="34"/>
      <c r="C2216" s="38"/>
      <c r="D2216" s="38"/>
      <c r="E2216" s="24"/>
    </row>
    <row r="2217" spans="1:5" ht="12.75" customHeight="1">
      <c r="A2217" s="33"/>
      <c r="B2217" s="34"/>
      <c r="C2217" s="38"/>
      <c r="D2217" s="38"/>
      <c r="E2217" s="24"/>
    </row>
    <row r="2218" spans="1:5" ht="12.75" customHeight="1">
      <c r="A2218" s="33"/>
      <c r="B2218" s="34"/>
      <c r="C2218" s="38"/>
      <c r="D2218" s="38"/>
      <c r="E2218" s="24"/>
    </row>
    <row r="2219" spans="1:5" ht="12.75" customHeight="1">
      <c r="A2219" s="33"/>
      <c r="B2219" s="34"/>
      <c r="C2219" s="38"/>
      <c r="D2219" s="38"/>
      <c r="E2219" s="24"/>
    </row>
    <row r="2220" spans="1:5" ht="12.75" customHeight="1">
      <c r="A2220" s="33"/>
      <c r="B2220" s="34"/>
      <c r="C2220" s="38"/>
      <c r="D2220" s="38"/>
      <c r="E2220" s="24"/>
    </row>
    <row r="2221" spans="1:5" ht="12.75" customHeight="1">
      <c r="A2221" s="33"/>
      <c r="B2221" s="34"/>
      <c r="C2221" s="38"/>
      <c r="D2221" s="38"/>
      <c r="E2221" s="24"/>
    </row>
    <row r="2222" spans="1:5" ht="12.75" customHeight="1">
      <c r="A2222" s="33"/>
      <c r="B2222" s="34"/>
      <c r="C2222" s="38"/>
      <c r="D2222" s="38"/>
      <c r="E2222" s="24"/>
    </row>
    <row r="2223" spans="1:5" ht="12.75" customHeight="1">
      <c r="A2223" s="33"/>
      <c r="B2223" s="34"/>
      <c r="C2223" s="38"/>
      <c r="D2223" s="38"/>
      <c r="E2223" s="24"/>
    </row>
    <row r="2224" spans="1:5" ht="12.75" customHeight="1">
      <c r="A2224" s="33"/>
      <c r="B2224" s="34"/>
      <c r="C2224" s="38"/>
      <c r="D2224" s="38"/>
      <c r="E2224" s="24"/>
    </row>
    <row r="2225" spans="1:5" ht="12.75" customHeight="1">
      <c r="A2225" s="33"/>
      <c r="B2225" s="34"/>
      <c r="C2225" s="38"/>
      <c r="D2225" s="38"/>
      <c r="E2225" s="24"/>
    </row>
    <row r="2226" spans="1:5" ht="12.75" customHeight="1">
      <c r="A2226" s="33"/>
      <c r="B2226" s="34"/>
      <c r="C2226" s="38"/>
      <c r="D2226" s="38"/>
      <c r="E2226" s="24"/>
    </row>
    <row r="2227" spans="1:5" ht="12.75" customHeight="1">
      <c r="A2227" s="33"/>
      <c r="B2227" s="34"/>
      <c r="C2227" s="38"/>
      <c r="D2227" s="38"/>
      <c r="E2227" s="24"/>
    </row>
    <row r="2228" spans="1:5" ht="12.75" customHeight="1">
      <c r="A2228" s="33"/>
      <c r="B2228" s="34"/>
      <c r="C2228" s="38"/>
      <c r="D2228" s="38"/>
      <c r="E2228" s="24"/>
    </row>
    <row r="2229" spans="1:5" ht="12.75" customHeight="1">
      <c r="A2229" s="33"/>
      <c r="B2229" s="34"/>
      <c r="C2229" s="38"/>
      <c r="D2229" s="38"/>
      <c r="E2229" s="24"/>
    </row>
    <row r="2230" spans="1:5" ht="12.75" customHeight="1">
      <c r="A2230" s="33"/>
      <c r="B2230" s="34"/>
      <c r="C2230" s="38"/>
      <c r="D2230" s="38"/>
      <c r="E2230" s="24"/>
    </row>
    <row r="2231" spans="1:5" ht="12.75" customHeight="1">
      <c r="A2231" s="33"/>
      <c r="B2231" s="34"/>
      <c r="C2231" s="38"/>
      <c r="D2231" s="38"/>
      <c r="E2231" s="24"/>
    </row>
    <row r="2232" spans="1:5" ht="12.75" customHeight="1">
      <c r="A2232" s="33"/>
      <c r="B2232" s="34"/>
      <c r="C2232" s="38"/>
      <c r="D2232" s="38"/>
      <c r="E2232" s="24"/>
    </row>
    <row r="2233" spans="1:5" ht="12.75" customHeight="1">
      <c r="A2233" s="33"/>
      <c r="B2233" s="34"/>
      <c r="C2233" s="38"/>
      <c r="D2233" s="38"/>
      <c r="E2233" s="24"/>
    </row>
    <row r="2234" spans="1:5" ht="12.75" customHeight="1">
      <c r="A2234" s="33"/>
      <c r="B2234" s="34"/>
      <c r="C2234" s="38"/>
      <c r="D2234" s="38"/>
      <c r="E2234" s="24"/>
    </row>
    <row r="2235" spans="1:5" ht="12.75" customHeight="1">
      <c r="A2235" s="33"/>
      <c r="B2235" s="34"/>
      <c r="C2235" s="38"/>
      <c r="D2235" s="38"/>
      <c r="E2235" s="24"/>
    </row>
    <row r="2236" spans="1:5" ht="12.75" customHeight="1">
      <c r="A2236" s="33"/>
      <c r="B2236" s="34"/>
      <c r="C2236" s="38"/>
      <c r="D2236" s="38"/>
      <c r="E2236" s="24"/>
    </row>
    <row r="2237" spans="1:5" ht="12.75" customHeight="1">
      <c r="A2237" s="33"/>
      <c r="B2237" s="34"/>
      <c r="C2237" s="38"/>
      <c r="D2237" s="38"/>
      <c r="E2237" s="24"/>
    </row>
    <row r="2238" spans="1:5" ht="12.75" customHeight="1">
      <c r="A2238" s="33"/>
      <c r="B2238" s="34"/>
      <c r="C2238" s="38"/>
      <c r="D2238" s="38"/>
      <c r="E2238" s="24"/>
    </row>
    <row r="2239" spans="1:5" ht="12.75" customHeight="1">
      <c r="A2239" s="33"/>
      <c r="B2239" s="34"/>
      <c r="C2239" s="38"/>
      <c r="D2239" s="38"/>
      <c r="E2239" s="24"/>
    </row>
    <row r="2240" spans="1:5" ht="12.75" customHeight="1">
      <c r="A2240" s="33"/>
      <c r="B2240" s="34"/>
      <c r="C2240" s="38"/>
      <c r="D2240" s="38"/>
      <c r="E2240" s="24"/>
    </row>
    <row r="2241" spans="1:5" ht="12.75" customHeight="1">
      <c r="A2241" s="33"/>
      <c r="B2241" s="34"/>
      <c r="C2241" s="38"/>
      <c r="D2241" s="38"/>
      <c r="E2241" s="24"/>
    </row>
    <row r="2242" spans="1:5" ht="12.75" customHeight="1">
      <c r="A2242" s="33"/>
      <c r="B2242" s="34"/>
      <c r="C2242" s="38"/>
      <c r="D2242" s="38"/>
      <c r="E2242" s="24"/>
    </row>
    <row r="2243" spans="1:5" ht="12.75" customHeight="1">
      <c r="A2243" s="33"/>
      <c r="B2243" s="34"/>
      <c r="C2243" s="38"/>
      <c r="D2243" s="38"/>
      <c r="E2243" s="24"/>
    </row>
    <row r="2244" spans="1:5" ht="12.75" customHeight="1">
      <c r="A2244" s="33"/>
      <c r="B2244" s="34"/>
      <c r="C2244" s="38"/>
      <c r="D2244" s="38"/>
      <c r="E2244" s="24"/>
    </row>
    <row r="2245" spans="1:5" ht="12.75" customHeight="1">
      <c r="A2245" s="33"/>
      <c r="B2245" s="34"/>
      <c r="C2245" s="38"/>
      <c r="D2245" s="38"/>
      <c r="E2245" s="24"/>
    </row>
    <row r="2246" spans="1:5" ht="12.75" customHeight="1">
      <c r="A2246" s="33"/>
      <c r="B2246" s="34"/>
      <c r="C2246" s="38"/>
      <c r="D2246" s="38"/>
      <c r="E2246" s="24"/>
    </row>
    <row r="2247" spans="1:5" ht="12.75" customHeight="1">
      <c r="A2247" s="33"/>
      <c r="B2247" s="34"/>
      <c r="C2247" s="38"/>
      <c r="D2247" s="38"/>
      <c r="E2247" s="24"/>
    </row>
    <row r="2248" spans="1:5" ht="12.75" customHeight="1">
      <c r="A2248" s="33"/>
      <c r="B2248" s="34"/>
      <c r="C2248" s="38"/>
      <c r="D2248" s="38"/>
      <c r="E2248" s="24"/>
    </row>
    <row r="2249" spans="1:5" ht="12.75" customHeight="1">
      <c r="A2249" s="33"/>
      <c r="B2249" s="34"/>
      <c r="C2249" s="38"/>
      <c r="D2249" s="38"/>
      <c r="E2249" s="24"/>
    </row>
    <row r="2250" spans="1:5" ht="12.75" customHeight="1">
      <c r="A2250" s="33"/>
      <c r="B2250" s="34"/>
      <c r="C2250" s="38"/>
      <c r="D2250" s="38"/>
      <c r="E2250" s="24"/>
    </row>
    <row r="2251" spans="1:5" ht="12.75" customHeight="1">
      <c r="A2251" s="33"/>
      <c r="B2251" s="34"/>
      <c r="C2251" s="38"/>
      <c r="D2251" s="38"/>
      <c r="E2251" s="24"/>
    </row>
    <row r="2252" spans="1:5" ht="12.75" customHeight="1">
      <c r="A2252" s="33"/>
      <c r="B2252" s="34"/>
      <c r="C2252" s="38"/>
      <c r="D2252" s="38"/>
      <c r="E2252" s="24"/>
    </row>
    <row r="2253" spans="1:5" ht="12.75" customHeight="1">
      <c r="A2253" s="33"/>
      <c r="B2253" s="34"/>
      <c r="C2253" s="38"/>
      <c r="D2253" s="38"/>
      <c r="E2253" s="24"/>
    </row>
    <row r="2254" spans="1:5" ht="12.75" customHeight="1">
      <c r="A2254" s="33"/>
      <c r="B2254" s="34"/>
      <c r="C2254" s="38"/>
      <c r="D2254" s="38"/>
      <c r="E2254" s="24"/>
    </row>
    <row r="2255" spans="1:5" ht="12.75" customHeight="1">
      <c r="A2255" s="33"/>
      <c r="B2255" s="34"/>
      <c r="C2255" s="38"/>
      <c r="D2255" s="38"/>
      <c r="E2255" s="24"/>
    </row>
    <row r="2256" spans="1:5" ht="12.75" customHeight="1">
      <c r="A2256" s="33"/>
      <c r="B2256" s="34"/>
      <c r="C2256" s="38"/>
      <c r="D2256" s="38"/>
      <c r="E2256" s="24"/>
    </row>
    <row r="2257" spans="1:5" ht="12.75" customHeight="1">
      <c r="A2257" s="33"/>
      <c r="B2257" s="34"/>
      <c r="C2257" s="38"/>
      <c r="D2257" s="38"/>
      <c r="E2257" s="24"/>
    </row>
    <row r="2258" spans="1:5" ht="12.75" customHeight="1">
      <c r="A2258" s="33"/>
      <c r="B2258" s="34"/>
      <c r="C2258" s="38"/>
      <c r="D2258" s="38"/>
      <c r="E2258" s="24"/>
    </row>
    <row r="2259" spans="1:5" ht="12.75" customHeight="1">
      <c r="A2259" s="33"/>
      <c r="B2259" s="34"/>
      <c r="C2259" s="38"/>
      <c r="D2259" s="38"/>
      <c r="E2259" s="24"/>
    </row>
    <row r="2260" spans="1:5" ht="12.75" customHeight="1">
      <c r="A2260" s="33"/>
      <c r="B2260" s="34"/>
      <c r="C2260" s="38"/>
      <c r="D2260" s="38"/>
      <c r="E2260" s="24"/>
    </row>
    <row r="2261" spans="1:5" ht="12.75" customHeight="1">
      <c r="A2261" s="33"/>
      <c r="B2261" s="34"/>
      <c r="C2261" s="38"/>
      <c r="D2261" s="38"/>
      <c r="E2261" s="24"/>
    </row>
    <row r="2262" spans="1:5" ht="12.75" customHeight="1">
      <c r="A2262" s="33"/>
      <c r="B2262" s="34"/>
      <c r="C2262" s="38"/>
      <c r="D2262" s="38"/>
      <c r="E2262" s="24"/>
    </row>
    <row r="2263" spans="1:5" ht="12.75" customHeight="1">
      <c r="A2263" s="33"/>
      <c r="B2263" s="34"/>
      <c r="C2263" s="38"/>
      <c r="D2263" s="38"/>
      <c r="E2263" s="24"/>
    </row>
    <row r="2264" spans="1:5" ht="12.75" customHeight="1">
      <c r="A2264" s="33"/>
      <c r="B2264" s="34"/>
      <c r="C2264" s="38"/>
      <c r="D2264" s="38"/>
      <c r="E2264" s="24"/>
    </row>
    <row r="2265" spans="1:5" ht="12.75" customHeight="1">
      <c r="A2265" s="33"/>
      <c r="B2265" s="34"/>
      <c r="C2265" s="38"/>
      <c r="D2265" s="38"/>
      <c r="E2265" s="24"/>
    </row>
    <row r="2266" spans="1:5" ht="12.75" customHeight="1">
      <c r="A2266" s="33"/>
      <c r="B2266" s="34"/>
      <c r="C2266" s="38"/>
      <c r="D2266" s="38"/>
      <c r="E2266" s="24"/>
    </row>
    <row r="2267" spans="1:5" ht="12.75" customHeight="1">
      <c r="A2267" s="33"/>
      <c r="B2267" s="34"/>
      <c r="C2267" s="38"/>
      <c r="D2267" s="38"/>
      <c r="E2267" s="24"/>
    </row>
    <row r="2268" spans="1:5" ht="12.75" customHeight="1">
      <c r="A2268" s="33"/>
      <c r="B2268" s="34"/>
      <c r="C2268" s="38"/>
      <c r="D2268" s="38"/>
      <c r="E2268" s="24"/>
    </row>
    <row r="2269" spans="1:5" ht="12.75" customHeight="1">
      <c r="A2269" s="33"/>
      <c r="B2269" s="34"/>
      <c r="C2269" s="38"/>
      <c r="D2269" s="38"/>
      <c r="E2269" s="24"/>
    </row>
    <row r="2270" spans="1:5" ht="12.75" customHeight="1">
      <c r="A2270" s="33"/>
      <c r="B2270" s="34"/>
      <c r="C2270" s="38"/>
      <c r="D2270" s="38"/>
      <c r="E2270" s="24"/>
    </row>
    <row r="2271" spans="1:5" ht="12.75" customHeight="1">
      <c r="A2271" s="33"/>
      <c r="B2271" s="34"/>
      <c r="C2271" s="38"/>
      <c r="D2271" s="38"/>
      <c r="E2271" s="24"/>
    </row>
    <row r="2272" spans="1:5" ht="12.75" customHeight="1">
      <c r="A2272" s="33"/>
      <c r="B2272" s="34"/>
      <c r="C2272" s="38"/>
      <c r="D2272" s="38"/>
      <c r="E2272" s="24"/>
    </row>
    <row r="2273" spans="1:5" ht="12.75" customHeight="1">
      <c r="A2273" s="33"/>
      <c r="B2273" s="34"/>
      <c r="C2273" s="38"/>
      <c r="D2273" s="38"/>
      <c r="E2273" s="24"/>
    </row>
    <row r="2274" spans="1:5" ht="12.75" customHeight="1">
      <c r="A2274" s="33"/>
      <c r="B2274" s="34"/>
      <c r="C2274" s="38"/>
      <c r="D2274" s="38"/>
      <c r="E2274" s="24"/>
    </row>
    <row r="2275" spans="1:5" ht="12.75" customHeight="1">
      <c r="A2275" s="33"/>
      <c r="B2275" s="34"/>
      <c r="C2275" s="38"/>
      <c r="D2275" s="38"/>
      <c r="E2275" s="24"/>
    </row>
    <row r="2276" spans="1:5" ht="12.75" customHeight="1">
      <c r="A2276" s="33"/>
      <c r="B2276" s="34"/>
      <c r="C2276" s="38"/>
      <c r="D2276" s="38"/>
      <c r="E2276" s="24"/>
    </row>
    <row r="2277" spans="1:5" ht="12.75" customHeight="1">
      <c r="A2277" s="33"/>
      <c r="B2277" s="34"/>
      <c r="C2277" s="38"/>
      <c r="D2277" s="38"/>
      <c r="E2277" s="24"/>
    </row>
    <row r="2278" spans="1:5" ht="12.75" customHeight="1">
      <c r="A2278" s="33"/>
      <c r="B2278" s="34"/>
      <c r="C2278" s="38"/>
      <c r="D2278" s="38"/>
      <c r="E2278" s="24"/>
    </row>
    <row r="2279" spans="1:5" ht="12.75" customHeight="1">
      <c r="A2279" s="33"/>
      <c r="B2279" s="34"/>
      <c r="C2279" s="38"/>
      <c r="D2279" s="38"/>
      <c r="E2279" s="24"/>
    </row>
    <row r="2280" spans="1:5" ht="12.75" customHeight="1">
      <c r="A2280" s="33"/>
      <c r="B2280" s="34"/>
      <c r="C2280" s="38"/>
      <c r="D2280" s="38"/>
      <c r="E2280" s="24"/>
    </row>
    <row r="2281" spans="1:5" ht="12.75" customHeight="1">
      <c r="A2281" s="33"/>
      <c r="B2281" s="34"/>
      <c r="C2281" s="38"/>
      <c r="D2281" s="38"/>
      <c r="E2281" s="24"/>
    </row>
    <row r="2282" spans="1:5" ht="12.75" customHeight="1">
      <c r="A2282" s="33"/>
      <c r="B2282" s="34"/>
      <c r="C2282" s="38"/>
      <c r="D2282" s="38"/>
      <c r="E2282" s="24"/>
    </row>
    <row r="2283" spans="1:5" ht="12.75" customHeight="1">
      <c r="A2283" s="33"/>
      <c r="B2283" s="34"/>
      <c r="C2283" s="38"/>
      <c r="D2283" s="38"/>
      <c r="E2283" s="24"/>
    </row>
    <row r="2284" spans="1:5" ht="12.75" customHeight="1">
      <c r="A2284" s="33"/>
      <c r="B2284" s="34"/>
      <c r="C2284" s="38"/>
      <c r="D2284" s="38"/>
      <c r="E2284" s="24"/>
    </row>
    <row r="2285" spans="1:5" ht="12.75" customHeight="1">
      <c r="A2285" s="33"/>
      <c r="B2285" s="34"/>
      <c r="C2285" s="38"/>
      <c r="D2285" s="38"/>
      <c r="E2285" s="24"/>
    </row>
    <row r="2286" spans="1:5" ht="12.75" customHeight="1">
      <c r="A2286" s="33"/>
      <c r="B2286" s="34"/>
      <c r="C2286" s="38"/>
      <c r="D2286" s="38"/>
      <c r="E2286" s="24"/>
    </row>
    <row r="2287" spans="1:5" ht="12.75" customHeight="1">
      <c r="A2287" s="33"/>
      <c r="B2287" s="34"/>
      <c r="C2287" s="38"/>
      <c r="D2287" s="38"/>
      <c r="E2287" s="24"/>
    </row>
    <row r="2288" spans="1:5" ht="12.75" customHeight="1">
      <c r="A2288" s="33"/>
      <c r="B2288" s="34"/>
      <c r="C2288" s="38"/>
      <c r="D2288" s="38"/>
      <c r="E2288" s="24"/>
    </row>
    <row r="2289" spans="1:5" ht="12.75" customHeight="1">
      <c r="A2289" s="33"/>
      <c r="B2289" s="34"/>
      <c r="C2289" s="38"/>
      <c r="D2289" s="38"/>
      <c r="E2289" s="24"/>
    </row>
    <row r="2290" spans="1:5" ht="12.75" customHeight="1">
      <c r="A2290" s="33"/>
      <c r="B2290" s="34"/>
      <c r="C2290" s="38"/>
      <c r="D2290" s="38"/>
      <c r="E2290" s="24"/>
    </row>
    <row r="2291" spans="1:5" ht="12.75" customHeight="1">
      <c r="A2291" s="33"/>
      <c r="B2291" s="34"/>
      <c r="C2291" s="38"/>
      <c r="D2291" s="38"/>
      <c r="E2291" s="24"/>
    </row>
    <row r="2292" spans="1:5" ht="12.75" customHeight="1">
      <c r="A2292" s="33"/>
      <c r="B2292" s="34"/>
      <c r="C2292" s="38"/>
      <c r="D2292" s="38"/>
      <c r="E2292" s="24"/>
    </row>
    <row r="2293" spans="1:5" ht="12.75" customHeight="1">
      <c r="A2293" s="33"/>
      <c r="B2293" s="34"/>
      <c r="C2293" s="38"/>
      <c r="D2293" s="38"/>
      <c r="E2293" s="24"/>
    </row>
    <row r="2294" spans="1:5" ht="12.75" customHeight="1">
      <c r="A2294" s="33"/>
      <c r="B2294" s="34"/>
      <c r="C2294" s="38"/>
      <c r="D2294" s="38"/>
      <c r="E2294" s="24"/>
    </row>
    <row r="2295" spans="1:5" ht="12.75" customHeight="1">
      <c r="A2295" s="33"/>
      <c r="B2295" s="34"/>
      <c r="C2295" s="38"/>
      <c r="D2295" s="38"/>
      <c r="E2295" s="24"/>
    </row>
    <row r="2296" spans="1:5" ht="12.75" customHeight="1">
      <c r="A2296" s="33"/>
      <c r="B2296" s="34"/>
      <c r="C2296" s="38"/>
      <c r="D2296" s="38"/>
      <c r="E2296" s="24"/>
    </row>
    <row r="2297" spans="1:5" ht="12.75" customHeight="1">
      <c r="A2297" s="33"/>
      <c r="B2297" s="34"/>
      <c r="C2297" s="38"/>
      <c r="D2297" s="38"/>
      <c r="E2297" s="24"/>
    </row>
    <row r="2298" spans="1:5" ht="12.75" customHeight="1">
      <c r="A2298" s="33"/>
      <c r="B2298" s="34"/>
      <c r="C2298" s="38"/>
      <c r="D2298" s="38"/>
      <c r="E2298" s="24"/>
    </row>
    <row r="2299" spans="1:5" ht="12.75" customHeight="1">
      <c r="A2299" s="33"/>
      <c r="B2299" s="34"/>
      <c r="C2299" s="38"/>
      <c r="D2299" s="38"/>
      <c r="E2299" s="24"/>
    </row>
    <row r="2300" spans="1:5" ht="12.75" customHeight="1">
      <c r="A2300" s="33"/>
      <c r="B2300" s="34"/>
      <c r="C2300" s="38"/>
      <c r="D2300" s="38"/>
      <c r="E2300" s="24"/>
    </row>
    <row r="2301" spans="1:5" ht="12.75" customHeight="1">
      <c r="A2301" s="33"/>
      <c r="B2301" s="34"/>
      <c r="C2301" s="38"/>
      <c r="D2301" s="38"/>
      <c r="E2301" s="24"/>
    </row>
    <row r="2302" spans="1:5" ht="12.75" customHeight="1">
      <c r="A2302" s="33"/>
      <c r="B2302" s="34"/>
      <c r="C2302" s="38"/>
      <c r="D2302" s="38"/>
      <c r="E2302" s="24"/>
    </row>
    <row r="2303" spans="1:5" ht="12.75" customHeight="1">
      <c r="A2303" s="33"/>
      <c r="B2303" s="34"/>
      <c r="C2303" s="38"/>
      <c r="D2303" s="38"/>
      <c r="E2303" s="24"/>
    </row>
    <row r="2304" spans="1:5" ht="12.75" customHeight="1">
      <c r="A2304" s="33"/>
      <c r="B2304" s="34"/>
      <c r="C2304" s="38"/>
      <c r="D2304" s="38"/>
      <c r="E2304" s="24"/>
    </row>
    <row r="2305" spans="1:5" ht="12.75" customHeight="1">
      <c r="A2305" s="33"/>
      <c r="B2305" s="34"/>
      <c r="C2305" s="38"/>
      <c r="D2305" s="38"/>
      <c r="E2305" s="24"/>
    </row>
    <row r="2306" spans="1:5" ht="12.75" customHeight="1">
      <c r="A2306" s="33"/>
      <c r="B2306" s="34"/>
      <c r="C2306" s="38"/>
      <c r="D2306" s="38"/>
      <c r="E2306" s="24"/>
    </row>
    <row r="2307" spans="1:5" ht="12.75" customHeight="1">
      <c r="A2307" s="33"/>
      <c r="B2307" s="34"/>
      <c r="C2307" s="38"/>
      <c r="D2307" s="38"/>
      <c r="E2307" s="24"/>
    </row>
    <row r="2308" spans="1:5" ht="12.75" customHeight="1">
      <c r="A2308" s="33"/>
      <c r="B2308" s="34"/>
      <c r="C2308" s="38"/>
      <c r="D2308" s="38"/>
      <c r="E2308" s="24"/>
    </row>
    <row r="2309" spans="1:5" ht="12.75" customHeight="1">
      <c r="A2309" s="33"/>
      <c r="B2309" s="34"/>
      <c r="C2309" s="38"/>
      <c r="D2309" s="38"/>
      <c r="E2309" s="24"/>
    </row>
    <row r="2310" spans="1:5" ht="12.75" customHeight="1">
      <c r="A2310" s="33"/>
      <c r="B2310" s="34"/>
      <c r="C2310" s="38"/>
      <c r="D2310" s="38"/>
      <c r="E2310" s="24"/>
    </row>
    <row r="2311" spans="1:5" ht="12.75" customHeight="1">
      <c r="A2311" s="33"/>
      <c r="B2311" s="34"/>
      <c r="C2311" s="38"/>
      <c r="D2311" s="38"/>
      <c r="E2311" s="24"/>
    </row>
    <row r="2312" spans="1:5" ht="12.75" customHeight="1">
      <c r="A2312" s="33"/>
      <c r="B2312" s="34"/>
      <c r="C2312" s="38"/>
      <c r="D2312" s="38"/>
      <c r="E2312" s="24"/>
    </row>
    <row r="2313" spans="1:5" ht="12.75" customHeight="1">
      <c r="A2313" s="33"/>
      <c r="B2313" s="34"/>
      <c r="C2313" s="38"/>
      <c r="D2313" s="38"/>
      <c r="E2313" s="24"/>
    </row>
    <row r="2314" spans="1:5" ht="12.75" customHeight="1">
      <c r="A2314" s="33"/>
      <c r="B2314" s="34"/>
      <c r="C2314" s="38"/>
      <c r="D2314" s="38"/>
      <c r="E2314" s="24"/>
    </row>
    <row r="2315" spans="1:5" ht="12.75" customHeight="1">
      <c r="A2315" s="33"/>
      <c r="B2315" s="34"/>
      <c r="C2315" s="38"/>
      <c r="D2315" s="38"/>
      <c r="E2315" s="24"/>
    </row>
    <row r="2316" spans="1:5" ht="12.75" customHeight="1">
      <c r="A2316" s="33"/>
      <c r="B2316" s="34"/>
      <c r="C2316" s="38"/>
      <c r="D2316" s="38"/>
      <c r="E2316" s="24"/>
    </row>
    <row r="2317" spans="1:5" ht="12.75" customHeight="1">
      <c r="A2317" s="33"/>
      <c r="B2317" s="34"/>
      <c r="C2317" s="38"/>
      <c r="D2317" s="38"/>
      <c r="E2317" s="24"/>
    </row>
    <row r="2318" spans="1:5" ht="12.75" customHeight="1">
      <c r="A2318" s="33"/>
      <c r="B2318" s="34"/>
      <c r="C2318" s="38"/>
      <c r="D2318" s="38"/>
      <c r="E2318" s="24"/>
    </row>
    <row r="2319" spans="1:5" ht="12.75" customHeight="1">
      <c r="A2319" s="33"/>
      <c r="B2319" s="34"/>
      <c r="C2319" s="38"/>
      <c r="D2319" s="38"/>
      <c r="E2319" s="24"/>
    </row>
    <row r="2320" spans="1:5" ht="12.75" customHeight="1">
      <c r="A2320" s="33"/>
      <c r="B2320" s="34"/>
      <c r="C2320" s="38"/>
      <c r="D2320" s="38"/>
      <c r="E2320" s="24"/>
    </row>
    <row r="2321" spans="1:5" ht="12.75" customHeight="1">
      <c r="A2321" s="33"/>
      <c r="B2321" s="34"/>
      <c r="C2321" s="38"/>
      <c r="D2321" s="38"/>
      <c r="E2321" s="24"/>
    </row>
    <row r="2322" spans="1:5" ht="12.75" customHeight="1">
      <c r="A2322" s="33"/>
      <c r="B2322" s="34"/>
      <c r="C2322" s="38"/>
      <c r="D2322" s="38"/>
      <c r="E2322" s="24"/>
    </row>
    <row r="2323" spans="1:5" ht="12.75" customHeight="1">
      <c r="A2323" s="33"/>
      <c r="B2323" s="34"/>
      <c r="C2323" s="38"/>
      <c r="D2323" s="38"/>
      <c r="E2323" s="24"/>
    </row>
    <row r="2324" spans="1:5" ht="12.75" customHeight="1">
      <c r="A2324" s="33"/>
      <c r="B2324" s="34"/>
      <c r="C2324" s="38"/>
      <c r="D2324" s="38"/>
      <c r="E2324" s="24"/>
    </row>
    <row r="2325" spans="1:5" ht="12.75" customHeight="1">
      <c r="A2325" s="33"/>
      <c r="B2325" s="34"/>
      <c r="C2325" s="38"/>
      <c r="D2325" s="38"/>
      <c r="E2325" s="24"/>
    </row>
    <row r="2326" spans="1:5" ht="12.75" customHeight="1">
      <c r="A2326" s="33"/>
      <c r="B2326" s="34"/>
      <c r="C2326" s="38"/>
      <c r="D2326" s="38"/>
      <c r="E2326" s="24"/>
    </row>
    <row r="2327" spans="1:5" ht="12.75" customHeight="1">
      <c r="A2327" s="33"/>
      <c r="B2327" s="34"/>
      <c r="C2327" s="38"/>
      <c r="D2327" s="38"/>
      <c r="E2327" s="24"/>
    </row>
    <row r="2328" spans="1:5" ht="12.75" customHeight="1">
      <c r="A2328" s="33"/>
      <c r="B2328" s="34"/>
      <c r="C2328" s="38"/>
      <c r="D2328" s="38"/>
      <c r="E2328" s="24"/>
    </row>
    <row r="2329" spans="1:5" ht="12.75" customHeight="1">
      <c r="A2329" s="33"/>
      <c r="B2329" s="34"/>
      <c r="C2329" s="38"/>
      <c r="D2329" s="38"/>
      <c r="E2329" s="24"/>
    </row>
    <row r="2330" spans="1:5" ht="12.75" customHeight="1">
      <c r="A2330" s="33"/>
      <c r="B2330" s="34"/>
      <c r="C2330" s="38"/>
      <c r="D2330" s="38"/>
      <c r="E2330" s="24"/>
    </row>
    <row r="2331" spans="1:5" ht="12.75" customHeight="1">
      <c r="A2331" s="33"/>
      <c r="B2331" s="34"/>
      <c r="C2331" s="38"/>
      <c r="D2331" s="38"/>
      <c r="E2331" s="24"/>
    </row>
    <row r="2332" spans="1:5" ht="12.75" customHeight="1">
      <c r="A2332" s="33"/>
      <c r="B2332" s="34"/>
      <c r="C2332" s="38"/>
      <c r="D2332" s="38"/>
      <c r="E2332" s="24"/>
    </row>
    <row r="2333" spans="1:5" ht="12.75" customHeight="1">
      <c r="A2333" s="33"/>
      <c r="B2333" s="34"/>
      <c r="C2333" s="38"/>
      <c r="D2333" s="38"/>
      <c r="E2333" s="24"/>
    </row>
    <row r="2334" spans="1:5" ht="12.75" customHeight="1">
      <c r="A2334" s="33"/>
      <c r="B2334" s="34"/>
      <c r="C2334" s="38"/>
      <c r="D2334" s="38"/>
      <c r="E2334" s="24"/>
    </row>
    <row r="2335" spans="1:5" ht="12.75" customHeight="1">
      <c r="A2335" s="33"/>
      <c r="B2335" s="34"/>
      <c r="C2335" s="38"/>
      <c r="D2335" s="38"/>
      <c r="E2335" s="24"/>
    </row>
    <row r="2336" spans="1:5" ht="12.75" customHeight="1">
      <c r="A2336" s="33"/>
      <c r="B2336" s="34"/>
      <c r="C2336" s="38"/>
      <c r="D2336" s="38"/>
      <c r="E2336" s="24"/>
    </row>
    <row r="2337" spans="1:5" ht="12.75" customHeight="1">
      <c r="A2337" s="33"/>
      <c r="B2337" s="34"/>
      <c r="C2337" s="38"/>
      <c r="D2337" s="38"/>
      <c r="E2337" s="24"/>
    </row>
    <row r="2338" spans="1:5" ht="12.75" customHeight="1">
      <c r="A2338" s="33"/>
      <c r="B2338" s="34"/>
      <c r="C2338" s="38"/>
      <c r="D2338" s="38"/>
      <c r="E2338" s="24"/>
    </row>
    <row r="2339" spans="1:5" ht="12.75" customHeight="1">
      <c r="A2339" s="33"/>
      <c r="B2339" s="34"/>
      <c r="C2339" s="38"/>
      <c r="D2339" s="38"/>
      <c r="E2339" s="24"/>
    </row>
    <row r="2340" spans="1:5" ht="12.75" customHeight="1">
      <c r="A2340" s="33"/>
      <c r="B2340" s="34"/>
      <c r="C2340" s="38"/>
      <c r="D2340" s="38"/>
      <c r="E2340" s="24"/>
    </row>
    <row r="2341" spans="1:5" ht="12.75" customHeight="1">
      <c r="A2341" s="33"/>
      <c r="B2341" s="34"/>
      <c r="C2341" s="38"/>
      <c r="D2341" s="38"/>
      <c r="E2341" s="24"/>
    </row>
    <row r="2342" spans="1:5" ht="12.75" customHeight="1">
      <c r="A2342" s="33"/>
      <c r="B2342" s="34"/>
      <c r="C2342" s="38"/>
      <c r="D2342" s="38"/>
      <c r="E2342" s="24"/>
    </row>
    <row r="2343" spans="1:5" ht="12.75" customHeight="1">
      <c r="A2343" s="33"/>
      <c r="B2343" s="34"/>
      <c r="C2343" s="38"/>
      <c r="D2343" s="38"/>
      <c r="E2343" s="24"/>
    </row>
    <row r="2344" spans="1:5" ht="12.75" customHeight="1">
      <c r="A2344" s="33"/>
      <c r="B2344" s="34"/>
      <c r="C2344" s="38"/>
      <c r="D2344" s="38"/>
      <c r="E2344" s="24"/>
    </row>
    <row r="2345" spans="1:5" ht="12.75" customHeight="1">
      <c r="A2345" s="33"/>
      <c r="B2345" s="34"/>
      <c r="C2345" s="38"/>
      <c r="D2345" s="38"/>
      <c r="E2345" s="24"/>
    </row>
    <row r="2346" spans="1:5" ht="12.75" customHeight="1">
      <c r="A2346" s="33"/>
      <c r="B2346" s="34"/>
      <c r="C2346" s="38"/>
      <c r="D2346" s="38"/>
      <c r="E2346" s="24"/>
    </row>
    <row r="2347" spans="1:5" ht="12.75" customHeight="1">
      <c r="A2347" s="33"/>
      <c r="B2347" s="34"/>
      <c r="C2347" s="38"/>
      <c r="D2347" s="38"/>
      <c r="E2347" s="24"/>
    </row>
    <row r="2348" spans="1:5" ht="12.75" customHeight="1">
      <c r="A2348" s="33"/>
      <c r="B2348" s="34"/>
      <c r="C2348" s="38"/>
      <c r="D2348" s="38"/>
      <c r="E2348" s="24"/>
    </row>
    <row r="2349" spans="1:5" ht="12.75" customHeight="1">
      <c r="A2349" s="33"/>
      <c r="B2349" s="34"/>
      <c r="C2349" s="38"/>
      <c r="D2349" s="38"/>
      <c r="E2349" s="24"/>
    </row>
    <row r="2350" spans="1:5" ht="12.75" customHeight="1">
      <c r="A2350" s="33"/>
      <c r="B2350" s="34"/>
      <c r="C2350" s="38"/>
      <c r="D2350" s="38"/>
      <c r="E2350" s="24"/>
    </row>
    <row r="2351" spans="1:5" ht="12.75" customHeight="1">
      <c r="A2351" s="33"/>
      <c r="B2351" s="34"/>
      <c r="C2351" s="38"/>
      <c r="D2351" s="38"/>
      <c r="E2351" s="24"/>
    </row>
    <row r="2352" spans="1:5" ht="12.75" customHeight="1">
      <c r="A2352" s="33"/>
      <c r="B2352" s="34"/>
      <c r="C2352" s="38"/>
      <c r="D2352" s="38"/>
      <c r="E2352" s="24"/>
    </row>
    <row r="2353" spans="1:5" ht="12.75" customHeight="1">
      <c r="A2353" s="33"/>
      <c r="B2353" s="34"/>
      <c r="C2353" s="38"/>
      <c r="D2353" s="38"/>
      <c r="E2353" s="24"/>
    </row>
    <row r="2354" spans="1:5" ht="12.75" customHeight="1">
      <c r="A2354" s="33"/>
      <c r="B2354" s="34"/>
      <c r="C2354" s="38"/>
      <c r="D2354" s="38"/>
      <c r="E2354" s="24"/>
    </row>
    <row r="2355" spans="1:5" ht="12.75" customHeight="1">
      <c r="A2355" s="33"/>
      <c r="B2355" s="34"/>
      <c r="C2355" s="38"/>
      <c r="D2355" s="38"/>
      <c r="E2355" s="24"/>
    </row>
    <row r="2356" spans="1:5" ht="12.75" customHeight="1">
      <c r="A2356" s="33"/>
      <c r="B2356" s="34"/>
      <c r="C2356" s="38"/>
      <c r="D2356" s="38"/>
      <c r="E2356" s="24"/>
    </row>
    <row r="2357" spans="1:5" ht="12.75" customHeight="1">
      <c r="A2357" s="33"/>
      <c r="B2357" s="34"/>
      <c r="C2357" s="38"/>
      <c r="D2357" s="38"/>
      <c r="E2357" s="24"/>
    </row>
    <row r="2358" spans="1:5" ht="12.75" customHeight="1">
      <c r="A2358" s="33"/>
      <c r="B2358" s="34"/>
      <c r="C2358" s="38"/>
      <c r="D2358" s="38"/>
      <c r="E2358" s="24"/>
    </row>
    <row r="2359" spans="1:5" ht="12.75" customHeight="1">
      <c r="A2359" s="33"/>
      <c r="B2359" s="34"/>
      <c r="C2359" s="38"/>
      <c r="D2359" s="38"/>
      <c r="E2359" s="24"/>
    </row>
    <row r="2360" spans="1:5" ht="12.75" customHeight="1">
      <c r="A2360" s="33"/>
      <c r="B2360" s="34"/>
      <c r="C2360" s="38"/>
      <c r="D2360" s="38"/>
      <c r="E2360" s="24"/>
    </row>
    <row r="2361" spans="1:5" ht="12.75" customHeight="1">
      <c r="A2361" s="33"/>
      <c r="B2361" s="34"/>
      <c r="C2361" s="38"/>
      <c r="D2361" s="38"/>
      <c r="E2361" s="24"/>
    </row>
    <row r="2362" spans="1:5" ht="12.75" customHeight="1">
      <c r="A2362" s="33"/>
      <c r="B2362" s="34"/>
      <c r="C2362" s="38"/>
      <c r="D2362" s="38"/>
      <c r="E2362" s="24"/>
    </row>
    <row r="2363" spans="1:5" ht="12.75" customHeight="1">
      <c r="A2363" s="33"/>
      <c r="B2363" s="34"/>
      <c r="C2363" s="38"/>
      <c r="D2363" s="38"/>
      <c r="E2363" s="24"/>
    </row>
    <row r="2364" spans="1:5" ht="12.75" customHeight="1">
      <c r="A2364" s="33"/>
      <c r="B2364" s="34"/>
      <c r="C2364" s="38"/>
      <c r="D2364" s="38"/>
      <c r="E2364" s="24"/>
    </row>
  </sheetData>
  <autoFilter ref="B1:B2364" xr:uid="{A91A708D-5092-4126-A19E-133ED0E53692}"/>
  <pageMargins left="0.7" right="0.7" top="0.75" bottom="0.75" header="0" footer="0"/>
  <pageSetup orientation="landscape"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007F791F-D114-4C61-92FA-A0F7A824A3A3}">
          <x14:formula1>
            <xm:f>Productos!A:A</xm:f>
          </x14:formula1>
          <xm:sqref>B1446:B2364 B50:B54 B88:B92 B84:B86 B81:B82 B38 B35 B30:B31 B27 B25 B23 B19:B21 B17 B12 B9:B10 B1 B104:B107 B94:B102 B33 B56:B57 B59:B62 B74:B76 B68:B70 B40:B45 B48 B110:B111 B114:B120 B124 B127 B130:B132 B137 B139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Z1023"/>
  <sheetViews>
    <sheetView workbookViewId="0">
      <selection activeCell="A35" sqref="A35"/>
    </sheetView>
  </sheetViews>
  <sheetFormatPr defaultColWidth="12.28515625" defaultRowHeight="15" customHeight="1"/>
  <cols>
    <col min="1" max="2" width="11.42578125" customWidth="1"/>
    <col min="3" max="3" width="26.7109375" customWidth="1"/>
    <col min="4" max="4" width="11.42578125" customWidth="1"/>
    <col min="5" max="5" width="10.28515625" customWidth="1"/>
    <col min="6" max="6" width="16.42578125" customWidth="1"/>
    <col min="7" max="7" width="11.85546875" customWidth="1"/>
    <col min="8" max="8" width="15.28515625" customWidth="1"/>
    <col min="9" max="26" width="10.28515625" customWidth="1"/>
  </cols>
  <sheetData>
    <row r="1" spans="1:26" ht="12.75" customHeight="1">
      <c r="A1" s="39" t="s">
        <v>1352</v>
      </c>
      <c r="B1" s="40" t="s">
        <v>1371</v>
      </c>
      <c r="C1" s="41" t="s">
        <v>1353</v>
      </c>
      <c r="D1" s="42" t="s">
        <v>1372</v>
      </c>
      <c r="E1" s="43"/>
      <c r="F1" s="177" t="s">
        <v>1371</v>
      </c>
      <c r="G1" s="177" t="s">
        <v>1353</v>
      </c>
      <c r="H1" s="178" t="s">
        <v>1373</v>
      </c>
      <c r="I1" s="43"/>
      <c r="J1" s="43" t="s">
        <v>1374</v>
      </c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</row>
    <row r="2" spans="1:26" ht="12.75" customHeight="1">
      <c r="A2" s="35">
        <v>45493</v>
      </c>
      <c r="B2" s="44" t="str">
        <f>TEXT(A2,"MMMM")</f>
        <v>julio</v>
      </c>
      <c r="C2" s="36" t="s">
        <v>1375</v>
      </c>
      <c r="D2" s="45">
        <v>10710</v>
      </c>
      <c r="F2" s="182" t="s">
        <v>1376</v>
      </c>
      <c r="G2" s="183" t="s">
        <v>1377</v>
      </c>
      <c r="H2" s="194">
        <v>25794</v>
      </c>
    </row>
    <row r="3" spans="1:26" ht="12.75" customHeight="1">
      <c r="A3" s="35">
        <v>45493</v>
      </c>
      <c r="B3" s="44" t="str">
        <f t="shared" ref="B3:B42" si="0">TEXT(A3,"mmmm")</f>
        <v>julio</v>
      </c>
      <c r="C3" s="36" t="s">
        <v>1375</v>
      </c>
      <c r="D3" s="45">
        <v>10710</v>
      </c>
      <c r="F3" s="184"/>
      <c r="G3" s="185" t="s">
        <v>1378</v>
      </c>
      <c r="H3" s="195">
        <v>108958</v>
      </c>
      <c r="J3" s="35">
        <v>45496</v>
      </c>
      <c r="K3" s="44" t="str">
        <f>TEXT(J3,"mmmm")</f>
        <v>julio</v>
      </c>
      <c r="L3" s="36" t="s">
        <v>1379</v>
      </c>
      <c r="M3" s="45">
        <v>26400</v>
      </c>
    </row>
    <row r="4" spans="1:26" ht="12.75" customHeight="1">
      <c r="A4" s="35">
        <v>45494</v>
      </c>
      <c r="B4" s="44" t="str">
        <f t="shared" si="0"/>
        <v>julio</v>
      </c>
      <c r="C4" s="36" t="s">
        <v>1375</v>
      </c>
      <c r="D4" s="45">
        <v>10710</v>
      </c>
      <c r="F4" s="184"/>
      <c r="G4" s="185" t="s">
        <v>1360</v>
      </c>
      <c r="H4" s="195">
        <v>68530</v>
      </c>
      <c r="J4" s="35">
        <v>45498</v>
      </c>
      <c r="K4" s="44" t="str">
        <f>TEXT(J4,"mmmm")</f>
        <v>julio</v>
      </c>
      <c r="L4" s="36" t="s">
        <v>1379</v>
      </c>
      <c r="M4" s="45">
        <v>26400</v>
      </c>
    </row>
    <row r="5" spans="1:26" ht="12.75" customHeight="1">
      <c r="A5" s="35">
        <v>45495</v>
      </c>
      <c r="B5" s="44" t="str">
        <f t="shared" si="0"/>
        <v>julio</v>
      </c>
      <c r="C5" s="36" t="s">
        <v>1375</v>
      </c>
      <c r="D5" s="45">
        <v>32130</v>
      </c>
      <c r="F5" s="182" t="s">
        <v>1380</v>
      </c>
      <c r="G5" s="186"/>
      <c r="H5" s="194">
        <v>203282</v>
      </c>
      <c r="L5" t="s">
        <v>1381</v>
      </c>
      <c r="M5" s="45">
        <v>30000</v>
      </c>
    </row>
    <row r="6" spans="1:26" ht="12.75" customHeight="1">
      <c r="A6" s="35">
        <v>45496</v>
      </c>
      <c r="B6" s="44" t="str">
        <f t="shared" si="0"/>
        <v>julio</v>
      </c>
      <c r="C6" s="36" t="s">
        <v>1375</v>
      </c>
      <c r="D6" s="45">
        <v>24740</v>
      </c>
      <c r="F6" s="182" t="s">
        <v>1382</v>
      </c>
      <c r="G6" s="183" t="s">
        <v>1383</v>
      </c>
      <c r="H6" s="194">
        <v>33558</v>
      </c>
    </row>
    <row r="7" spans="1:26" ht="12.75" customHeight="1">
      <c r="A7" s="35">
        <v>45496</v>
      </c>
      <c r="B7" s="44" t="str">
        <f t="shared" si="0"/>
        <v>julio</v>
      </c>
      <c r="C7" s="36" t="s">
        <v>1379</v>
      </c>
      <c r="D7" s="45">
        <v>26400</v>
      </c>
      <c r="F7" s="182" t="s">
        <v>1384</v>
      </c>
      <c r="G7" s="186"/>
      <c r="H7" s="194">
        <v>33558</v>
      </c>
      <c r="M7" s="59">
        <f>SUM(M3:M6)</f>
        <v>82800</v>
      </c>
    </row>
    <row r="8" spans="1:26" ht="12.75" customHeight="1">
      <c r="A8" s="35">
        <v>45496</v>
      </c>
      <c r="B8" s="44" t="str">
        <f t="shared" si="0"/>
        <v>julio</v>
      </c>
      <c r="C8" s="36" t="s">
        <v>1385</v>
      </c>
      <c r="D8" s="45">
        <v>11900</v>
      </c>
      <c r="F8" s="182" t="s">
        <v>1386</v>
      </c>
      <c r="G8" s="183" t="s">
        <v>1387</v>
      </c>
      <c r="H8" s="194">
        <v>28500</v>
      </c>
    </row>
    <row r="9" spans="1:26" ht="12.75" customHeight="1">
      <c r="A9" s="35">
        <v>45497</v>
      </c>
      <c r="B9" s="44" t="str">
        <f t="shared" si="0"/>
        <v>julio</v>
      </c>
      <c r="C9" s="36" t="s">
        <v>1375</v>
      </c>
      <c r="D9" s="45">
        <v>14255</v>
      </c>
      <c r="F9" s="184"/>
      <c r="G9" s="185" t="s">
        <v>1388</v>
      </c>
      <c r="H9" s="195"/>
      <c r="L9" t="s">
        <v>1389</v>
      </c>
      <c r="M9">
        <v>72800</v>
      </c>
    </row>
    <row r="10" spans="1:26" ht="12.75" customHeight="1">
      <c r="A10" s="35">
        <v>45497</v>
      </c>
      <c r="B10" s="44" t="str">
        <f t="shared" si="0"/>
        <v>julio</v>
      </c>
      <c r="C10" s="36" t="s">
        <v>1388</v>
      </c>
      <c r="D10" s="45"/>
      <c r="F10" s="184"/>
      <c r="G10" s="185" t="s">
        <v>1385</v>
      </c>
      <c r="H10" s="195">
        <v>11900</v>
      </c>
    </row>
    <row r="11" spans="1:26" ht="12.75" customHeight="1">
      <c r="A11" s="35">
        <v>45498</v>
      </c>
      <c r="B11" s="44" t="str">
        <f t="shared" si="0"/>
        <v>julio</v>
      </c>
      <c r="C11" s="36" t="s">
        <v>1379</v>
      </c>
      <c r="D11" s="45">
        <v>26400</v>
      </c>
      <c r="F11" s="184"/>
      <c r="G11" s="185" t="s">
        <v>1375</v>
      </c>
      <c r="H11" s="195">
        <v>118936</v>
      </c>
      <c r="M11" s="59">
        <f>+M9-M7</f>
        <v>-10000</v>
      </c>
    </row>
    <row r="12" spans="1:26" ht="12.75" customHeight="1">
      <c r="A12" s="35">
        <v>45498</v>
      </c>
      <c r="B12" s="44" t="str">
        <f t="shared" si="0"/>
        <v>julio</v>
      </c>
      <c r="C12" s="36" t="s">
        <v>1375</v>
      </c>
      <c r="D12" s="45">
        <v>15681</v>
      </c>
      <c r="F12" s="184"/>
      <c r="G12" s="185" t="s">
        <v>1379</v>
      </c>
      <c r="H12" s="195">
        <v>79200</v>
      </c>
    </row>
    <row r="13" spans="1:26" ht="12.75" customHeight="1">
      <c r="A13" s="35">
        <v>45499</v>
      </c>
      <c r="B13" s="44" t="str">
        <f t="shared" si="0"/>
        <v>julio</v>
      </c>
      <c r="C13" s="36" t="s">
        <v>1387</v>
      </c>
      <c r="D13" s="45">
        <v>15000</v>
      </c>
      <c r="F13" s="182" t="s">
        <v>1390</v>
      </c>
      <c r="G13" s="186"/>
      <c r="H13" s="194">
        <v>238536</v>
      </c>
    </row>
    <row r="14" spans="1:26" ht="12.75" customHeight="1">
      <c r="A14" s="35">
        <v>45500</v>
      </c>
      <c r="B14" s="44" t="str">
        <f t="shared" si="0"/>
        <v>julio</v>
      </c>
      <c r="C14" s="36" t="s">
        <v>1387</v>
      </c>
      <c r="D14" s="45">
        <v>13500</v>
      </c>
      <c r="F14" s="182" t="s">
        <v>1391</v>
      </c>
      <c r="G14" s="183" t="s">
        <v>1392</v>
      </c>
      <c r="H14" s="194">
        <v>25000</v>
      </c>
    </row>
    <row r="15" spans="1:26" ht="12.75" customHeight="1">
      <c r="A15" s="35">
        <v>45502</v>
      </c>
      <c r="B15" s="44" t="str">
        <f t="shared" si="0"/>
        <v>julio</v>
      </c>
      <c r="C15" s="36" t="s">
        <v>1379</v>
      </c>
      <c r="D15" s="45">
        <v>26400</v>
      </c>
      <c r="F15" s="184"/>
      <c r="G15" s="185" t="s">
        <v>1393</v>
      </c>
      <c r="H15" s="195">
        <v>14000</v>
      </c>
    </row>
    <row r="16" spans="1:26" ht="12.75" customHeight="1">
      <c r="A16" s="35">
        <v>45506</v>
      </c>
      <c r="B16" s="44" t="str">
        <f t="shared" si="0"/>
        <v>agosto</v>
      </c>
      <c r="C16" s="36" t="s">
        <v>1394</v>
      </c>
      <c r="D16" s="45">
        <v>13000</v>
      </c>
      <c r="F16" s="184"/>
      <c r="G16" s="185" t="s">
        <v>1395</v>
      </c>
      <c r="H16" s="195">
        <v>40200</v>
      </c>
    </row>
    <row r="17" spans="1:8" ht="12.75" customHeight="1">
      <c r="A17" s="35">
        <v>45506</v>
      </c>
      <c r="B17" s="44" t="str">
        <f t="shared" si="0"/>
        <v>agosto</v>
      </c>
      <c r="C17" s="36" t="s">
        <v>1396</v>
      </c>
      <c r="D17" s="45">
        <v>15000</v>
      </c>
      <c r="F17" s="184"/>
      <c r="G17" s="185" t="s">
        <v>1397</v>
      </c>
      <c r="H17" s="195">
        <v>18000</v>
      </c>
    </row>
    <row r="18" spans="1:8" ht="12.75" customHeight="1">
      <c r="A18" s="35">
        <v>45507</v>
      </c>
      <c r="B18" s="44" t="str">
        <f t="shared" si="0"/>
        <v>agosto</v>
      </c>
      <c r="C18" s="36" t="s">
        <v>1398</v>
      </c>
      <c r="D18" s="45">
        <v>5500</v>
      </c>
      <c r="F18" s="184"/>
      <c r="G18" s="185" t="s">
        <v>1398</v>
      </c>
      <c r="H18" s="195">
        <v>5500</v>
      </c>
    </row>
    <row r="19" spans="1:8" ht="12.75" customHeight="1">
      <c r="A19" s="35">
        <v>45508</v>
      </c>
      <c r="B19" s="44" t="str">
        <f t="shared" si="0"/>
        <v>agosto</v>
      </c>
      <c r="C19" s="36" t="s">
        <v>1395</v>
      </c>
      <c r="D19" s="45">
        <v>40200</v>
      </c>
      <c r="F19" s="184"/>
      <c r="G19" s="185" t="s">
        <v>1396</v>
      </c>
      <c r="H19" s="195">
        <v>15000</v>
      </c>
    </row>
    <row r="20" spans="1:8" ht="12.75" customHeight="1">
      <c r="A20" s="35">
        <v>45508</v>
      </c>
      <c r="B20" s="44" t="str">
        <f t="shared" si="0"/>
        <v>agosto</v>
      </c>
      <c r="C20" s="36" t="s">
        <v>1392</v>
      </c>
      <c r="D20" s="45">
        <v>25000</v>
      </c>
      <c r="F20" s="184"/>
      <c r="G20" s="185" t="s">
        <v>1394</v>
      </c>
      <c r="H20" s="195">
        <v>13000</v>
      </c>
    </row>
    <row r="21" spans="1:8" ht="12.75" customHeight="1">
      <c r="A21" s="35">
        <v>45508</v>
      </c>
      <c r="B21" s="44" t="str">
        <f t="shared" si="0"/>
        <v>agosto</v>
      </c>
      <c r="C21" s="36" t="s">
        <v>1393</v>
      </c>
      <c r="D21" s="45">
        <v>14000</v>
      </c>
      <c r="F21" s="184"/>
      <c r="G21" s="185" t="s">
        <v>1399</v>
      </c>
      <c r="H21" s="195">
        <v>0</v>
      </c>
    </row>
    <row r="22" spans="1:8" ht="12.75" customHeight="1">
      <c r="A22" s="35">
        <v>45512</v>
      </c>
      <c r="B22" s="44" t="str">
        <f t="shared" si="0"/>
        <v>agosto</v>
      </c>
      <c r="C22" s="36" t="s">
        <v>1397</v>
      </c>
      <c r="D22" s="45">
        <v>18000</v>
      </c>
      <c r="F22" s="184"/>
      <c r="G22" s="185" t="s">
        <v>1375</v>
      </c>
      <c r="H22" s="195">
        <v>24643</v>
      </c>
    </row>
    <row r="23" spans="1:8" ht="12.75" customHeight="1">
      <c r="A23" s="35">
        <v>45512</v>
      </c>
      <c r="B23" s="44" t="str">
        <f t="shared" si="0"/>
        <v>agosto</v>
      </c>
      <c r="C23" s="36" t="s">
        <v>1400</v>
      </c>
      <c r="D23" s="45">
        <v>16000</v>
      </c>
      <c r="F23" s="184"/>
      <c r="G23" s="185" t="s">
        <v>1379</v>
      </c>
      <c r="H23" s="195">
        <v>52800</v>
      </c>
    </row>
    <row r="24" spans="1:8" ht="12.75" customHeight="1">
      <c r="A24" s="35">
        <v>45513</v>
      </c>
      <c r="B24" s="44" t="str">
        <f t="shared" si="0"/>
        <v>agosto</v>
      </c>
      <c r="C24" s="36" t="s">
        <v>1375</v>
      </c>
      <c r="D24" s="45">
        <v>24643</v>
      </c>
      <c r="F24" s="184"/>
      <c r="G24" s="185" t="s">
        <v>1400</v>
      </c>
      <c r="H24" s="195">
        <v>16000</v>
      </c>
    </row>
    <row r="25" spans="1:8" ht="12.75" customHeight="1">
      <c r="A25" s="35">
        <v>45521</v>
      </c>
      <c r="B25" s="44" t="str">
        <f t="shared" si="0"/>
        <v>agosto</v>
      </c>
      <c r="C25" s="36" t="s">
        <v>1379</v>
      </c>
      <c r="D25" s="45">
        <v>26400</v>
      </c>
      <c r="F25" s="182" t="s">
        <v>1401</v>
      </c>
      <c r="G25" s="186"/>
      <c r="H25" s="194">
        <v>224143</v>
      </c>
    </row>
    <row r="26" spans="1:8" ht="12.75" customHeight="1">
      <c r="A26" s="35">
        <v>45521</v>
      </c>
      <c r="B26" s="44" t="str">
        <f t="shared" si="0"/>
        <v>agosto</v>
      </c>
      <c r="C26" s="36" t="s">
        <v>1399</v>
      </c>
      <c r="D26" s="45">
        <v>0</v>
      </c>
      <c r="F26" s="182" t="s">
        <v>1402</v>
      </c>
      <c r="G26" s="183" t="s">
        <v>1403</v>
      </c>
      <c r="H26" s="194">
        <v>71211</v>
      </c>
    </row>
    <row r="27" spans="1:8" ht="12.75" customHeight="1">
      <c r="A27" s="35">
        <v>45527</v>
      </c>
      <c r="B27" s="44" t="str">
        <f t="shared" si="0"/>
        <v>agosto</v>
      </c>
      <c r="C27" s="36" t="s">
        <v>1379</v>
      </c>
      <c r="D27" s="45">
        <v>26400</v>
      </c>
      <c r="F27" s="182" t="s">
        <v>1404</v>
      </c>
      <c r="G27" s="186"/>
      <c r="H27" s="194">
        <v>71211</v>
      </c>
    </row>
    <row r="28" spans="1:8" ht="12.75" customHeight="1">
      <c r="A28" s="35">
        <v>45539</v>
      </c>
      <c r="B28" s="44" t="str">
        <f t="shared" si="0"/>
        <v>septiembre</v>
      </c>
      <c r="C28" s="36" t="s">
        <v>1403</v>
      </c>
      <c r="D28" s="45">
        <v>71211</v>
      </c>
      <c r="F28" s="182" t="s">
        <v>1405</v>
      </c>
      <c r="G28" s="183" t="s">
        <v>1379</v>
      </c>
      <c r="H28" s="194">
        <v>26400</v>
      </c>
    </row>
    <row r="29" spans="1:8" ht="12.75" customHeight="1">
      <c r="A29" s="35">
        <v>45588</v>
      </c>
      <c r="B29" s="44" t="str">
        <f t="shared" si="0"/>
        <v>octubre</v>
      </c>
      <c r="C29" s="36" t="s">
        <v>1379</v>
      </c>
      <c r="D29" s="45">
        <v>26400</v>
      </c>
      <c r="F29" s="182" t="s">
        <v>1406</v>
      </c>
      <c r="G29" s="186"/>
      <c r="H29" s="194">
        <v>26400</v>
      </c>
    </row>
    <row r="30" spans="1:8" ht="12.75" customHeight="1">
      <c r="A30" s="35">
        <v>45623</v>
      </c>
      <c r="B30" s="44" t="str">
        <f t="shared" si="0"/>
        <v>noviembre</v>
      </c>
      <c r="C30" s="36" t="s">
        <v>1375</v>
      </c>
      <c r="D30" s="45">
        <v>30185</v>
      </c>
      <c r="F30" s="182" t="s">
        <v>1407</v>
      </c>
      <c r="G30" s="183" t="s">
        <v>1375</v>
      </c>
      <c r="H30" s="194">
        <v>30185</v>
      </c>
    </row>
    <row r="31" spans="1:8" ht="12.75" customHeight="1">
      <c r="A31" s="35">
        <v>45647</v>
      </c>
      <c r="B31" s="44" t="str">
        <f t="shared" si="0"/>
        <v>diciembre</v>
      </c>
      <c r="C31" s="36"/>
      <c r="D31" s="45"/>
      <c r="F31" s="182" t="s">
        <v>1408</v>
      </c>
      <c r="G31" s="186"/>
      <c r="H31" s="194">
        <v>30185</v>
      </c>
    </row>
    <row r="32" spans="1:8" ht="12.75" customHeight="1">
      <c r="A32" s="35">
        <v>45659</v>
      </c>
      <c r="B32" s="44" t="str">
        <f t="shared" si="0"/>
        <v>enero</v>
      </c>
      <c r="C32" s="36" t="s">
        <v>1377</v>
      </c>
      <c r="D32" s="45">
        <v>25794</v>
      </c>
      <c r="F32" s="182" t="s">
        <v>1409</v>
      </c>
      <c r="G32" s="183" t="s">
        <v>1360</v>
      </c>
      <c r="H32" s="194"/>
    </row>
    <row r="33" spans="1:8" ht="12.75" customHeight="1">
      <c r="A33" s="35">
        <v>45673</v>
      </c>
      <c r="B33" s="44" t="str">
        <f t="shared" si="0"/>
        <v>enero</v>
      </c>
      <c r="C33" s="36" t="s">
        <v>1378</v>
      </c>
      <c r="D33" s="45">
        <v>108958</v>
      </c>
      <c r="F33" s="182" t="s">
        <v>1410</v>
      </c>
      <c r="G33" s="186"/>
      <c r="H33" s="194"/>
    </row>
    <row r="34" spans="1:8" ht="12.75" customHeight="1">
      <c r="A34" s="35">
        <v>45726</v>
      </c>
      <c r="B34" s="44" t="str">
        <f t="shared" si="0"/>
        <v>marzo</v>
      </c>
      <c r="C34" s="36" t="s">
        <v>1383</v>
      </c>
      <c r="D34" s="45">
        <v>33558</v>
      </c>
      <c r="F34" s="187" t="s">
        <v>1362</v>
      </c>
      <c r="G34" s="188"/>
      <c r="H34" s="196">
        <v>827315</v>
      </c>
    </row>
    <row r="35" spans="1:8" ht="12.75" customHeight="1">
      <c r="A35" s="35"/>
      <c r="B35" s="44" t="str">
        <f t="shared" si="0"/>
        <v>enero</v>
      </c>
      <c r="C35" s="36"/>
      <c r="D35" s="45"/>
    </row>
    <row r="36" spans="1:8" ht="12.75" customHeight="1">
      <c r="A36" s="35"/>
      <c r="B36" s="44" t="str">
        <f t="shared" si="0"/>
        <v>enero</v>
      </c>
      <c r="C36" s="36"/>
      <c r="D36" s="45"/>
    </row>
    <row r="37" spans="1:8" ht="12.75" customHeight="1">
      <c r="A37" s="35"/>
      <c r="B37" s="44" t="str">
        <f t="shared" si="0"/>
        <v>enero</v>
      </c>
      <c r="C37" s="36"/>
      <c r="D37" s="45"/>
    </row>
    <row r="38" spans="1:8" ht="12.75" customHeight="1">
      <c r="A38" s="35"/>
      <c r="B38" s="44" t="str">
        <f t="shared" si="0"/>
        <v>enero</v>
      </c>
      <c r="C38" s="36"/>
      <c r="D38" s="45"/>
    </row>
    <row r="39" spans="1:8" ht="12.75" customHeight="1">
      <c r="A39" s="35"/>
      <c r="B39" s="44" t="str">
        <f t="shared" si="0"/>
        <v>enero</v>
      </c>
      <c r="C39" s="36"/>
      <c r="D39" s="45"/>
    </row>
    <row r="40" spans="1:8" ht="12.75" customHeight="1">
      <c r="A40" s="35"/>
      <c r="B40" s="44" t="str">
        <f t="shared" si="0"/>
        <v>enero</v>
      </c>
      <c r="C40" s="36"/>
      <c r="D40" s="45">
        <f>28000+32000+8530</f>
        <v>68530</v>
      </c>
    </row>
    <row r="41" spans="1:8" ht="12.75" customHeight="1">
      <c r="A41" s="35"/>
      <c r="B41" s="44" t="str">
        <f t="shared" si="0"/>
        <v>enero</v>
      </c>
      <c r="C41" s="36"/>
      <c r="D41" s="45"/>
    </row>
    <row r="42" spans="1:8" ht="12.75" customHeight="1">
      <c r="A42" s="35"/>
      <c r="B42" s="44" t="str">
        <f t="shared" si="0"/>
        <v>enero</v>
      </c>
      <c r="C42" s="36"/>
      <c r="D42" s="45"/>
    </row>
    <row r="43" spans="1:8" ht="12.75" customHeight="1">
      <c r="A43" s="33"/>
      <c r="B43" s="46"/>
      <c r="D43" s="47">
        <f>SUM(D2:D42)</f>
        <v>827315</v>
      </c>
    </row>
    <row r="44" spans="1:8" ht="12.75" customHeight="1">
      <c r="A44" s="33"/>
      <c r="B44" s="46"/>
      <c r="D44" s="47"/>
    </row>
    <row r="45" spans="1:8" ht="12.75" customHeight="1">
      <c r="A45" s="33"/>
      <c r="B45" s="46"/>
      <c r="D45" s="47"/>
    </row>
    <row r="46" spans="1:8" ht="12.75" customHeight="1">
      <c r="A46" s="33"/>
      <c r="B46" s="46"/>
      <c r="D46" s="47"/>
    </row>
    <row r="47" spans="1:8" ht="12.75" customHeight="1">
      <c r="A47" s="33"/>
      <c r="B47" s="46"/>
      <c r="D47" s="47"/>
    </row>
    <row r="48" spans="1:8" ht="12.75" customHeight="1">
      <c r="A48" s="33"/>
      <c r="B48" s="46"/>
      <c r="D48" s="47"/>
    </row>
    <row r="49" spans="1:4" ht="12.75" customHeight="1">
      <c r="A49" s="33"/>
      <c r="B49" s="46"/>
      <c r="D49" s="47"/>
    </row>
    <row r="50" spans="1:4" ht="12.75" customHeight="1">
      <c r="A50" s="33"/>
      <c r="B50" s="46"/>
      <c r="D50" s="47"/>
    </row>
    <row r="51" spans="1:4" ht="12.75" customHeight="1">
      <c r="A51" s="33"/>
      <c r="B51" s="46"/>
      <c r="D51" s="47"/>
    </row>
    <row r="52" spans="1:4" ht="12.75" customHeight="1">
      <c r="A52" s="33"/>
      <c r="B52" s="46"/>
      <c r="D52" s="47"/>
    </row>
    <row r="53" spans="1:4" ht="12.75" customHeight="1">
      <c r="A53" s="33"/>
      <c r="B53" s="46"/>
      <c r="D53" s="47"/>
    </row>
    <row r="54" spans="1:4" ht="12.75" customHeight="1">
      <c r="A54" s="33"/>
      <c r="B54" s="46"/>
      <c r="D54" s="47"/>
    </row>
    <row r="55" spans="1:4" ht="12.75" customHeight="1">
      <c r="A55" s="33"/>
      <c r="B55" s="46"/>
      <c r="D55" s="47"/>
    </row>
    <row r="56" spans="1:4" ht="12.75" customHeight="1">
      <c r="A56" s="33"/>
      <c r="B56" s="46"/>
      <c r="D56" s="47"/>
    </row>
    <row r="57" spans="1:4" ht="12.75" customHeight="1">
      <c r="A57" s="33"/>
      <c r="B57" s="46"/>
      <c r="D57" s="47"/>
    </row>
    <row r="58" spans="1:4" ht="12.75" customHeight="1">
      <c r="A58" s="33"/>
      <c r="B58" s="46"/>
      <c r="D58" s="47"/>
    </row>
    <row r="59" spans="1:4" ht="12.75" customHeight="1">
      <c r="A59" s="33"/>
      <c r="B59" s="46"/>
      <c r="D59" s="47"/>
    </row>
    <row r="60" spans="1:4" ht="12.75" customHeight="1">
      <c r="A60" s="33"/>
      <c r="B60" s="46"/>
      <c r="D60" s="47"/>
    </row>
    <row r="61" spans="1:4" ht="12.75" customHeight="1">
      <c r="A61" s="33"/>
      <c r="B61" s="46"/>
      <c r="D61" s="47"/>
    </row>
    <row r="62" spans="1:4" ht="12.75" customHeight="1">
      <c r="A62" s="33"/>
      <c r="B62" s="46"/>
      <c r="D62" s="47"/>
    </row>
    <row r="63" spans="1:4" ht="12.75" customHeight="1">
      <c r="A63" s="33"/>
      <c r="B63" s="46"/>
      <c r="D63" s="47"/>
    </row>
    <row r="64" spans="1:4" ht="12.75" customHeight="1">
      <c r="A64" s="33"/>
      <c r="B64" s="46"/>
      <c r="D64" s="47"/>
    </row>
    <row r="65" spans="1:4" ht="12.75" customHeight="1">
      <c r="A65" s="33"/>
      <c r="B65" s="46"/>
      <c r="D65" s="47"/>
    </row>
    <row r="66" spans="1:4" ht="12.75" customHeight="1">
      <c r="A66" s="33"/>
      <c r="B66" s="46"/>
      <c r="D66" s="47"/>
    </row>
    <row r="67" spans="1:4" ht="12.75" customHeight="1">
      <c r="A67" s="33"/>
      <c r="B67" s="46"/>
      <c r="D67" s="47"/>
    </row>
    <row r="68" spans="1:4" ht="12.75" customHeight="1">
      <c r="A68" s="33"/>
      <c r="B68" s="46"/>
      <c r="D68" s="47"/>
    </row>
    <row r="69" spans="1:4" ht="12.75" customHeight="1">
      <c r="A69" s="33"/>
      <c r="B69" s="46"/>
      <c r="D69" s="47"/>
    </row>
    <row r="70" spans="1:4" ht="12.75" customHeight="1">
      <c r="A70" s="33"/>
      <c r="B70" s="46"/>
      <c r="D70" s="47"/>
    </row>
    <row r="71" spans="1:4" ht="12.75" customHeight="1">
      <c r="A71" s="33"/>
      <c r="B71" s="46"/>
      <c r="D71" s="47"/>
    </row>
    <row r="72" spans="1:4" ht="12.75" customHeight="1">
      <c r="A72" s="33"/>
      <c r="B72" s="46"/>
      <c r="D72" s="47"/>
    </row>
    <row r="73" spans="1:4" ht="12.75" customHeight="1">
      <c r="A73" s="33"/>
      <c r="B73" s="46"/>
      <c r="D73" s="47"/>
    </row>
    <row r="74" spans="1:4" ht="12.75" customHeight="1">
      <c r="A74" s="33"/>
      <c r="B74" s="46"/>
      <c r="D74" s="47"/>
    </row>
    <row r="75" spans="1:4" ht="12.75" customHeight="1">
      <c r="A75" s="33"/>
      <c r="B75" s="46"/>
      <c r="D75" s="47"/>
    </row>
    <row r="76" spans="1:4" ht="12.75" customHeight="1">
      <c r="A76" s="33"/>
      <c r="B76" s="46"/>
      <c r="D76" s="47"/>
    </row>
    <row r="77" spans="1:4" ht="12.75" customHeight="1">
      <c r="A77" s="33"/>
      <c r="B77" s="46"/>
      <c r="D77" s="47"/>
    </row>
    <row r="78" spans="1:4" ht="12.75" customHeight="1">
      <c r="A78" s="33"/>
      <c r="B78" s="46"/>
      <c r="D78" s="47"/>
    </row>
    <row r="79" spans="1:4" ht="12.75" customHeight="1">
      <c r="A79" s="33"/>
      <c r="B79" s="46"/>
      <c r="D79" s="47"/>
    </row>
    <row r="80" spans="1:4" ht="12.75" customHeight="1">
      <c r="A80" s="33"/>
      <c r="B80" s="46"/>
      <c r="D80" s="47"/>
    </row>
    <row r="81" spans="1:4" ht="12.75" customHeight="1">
      <c r="A81" s="33"/>
      <c r="B81" s="46"/>
      <c r="D81" s="47"/>
    </row>
    <row r="82" spans="1:4" ht="12.75" customHeight="1">
      <c r="A82" s="33"/>
      <c r="B82" s="46"/>
      <c r="D82" s="47"/>
    </row>
    <row r="83" spans="1:4" ht="12.75" customHeight="1">
      <c r="A83" s="33"/>
      <c r="B83" s="46"/>
      <c r="D83" s="47"/>
    </row>
    <row r="84" spans="1:4" ht="12.75" customHeight="1">
      <c r="A84" s="33"/>
      <c r="B84" s="46"/>
      <c r="D84" s="47"/>
    </row>
    <row r="85" spans="1:4" ht="12.75" customHeight="1">
      <c r="A85" s="33"/>
      <c r="B85" s="46"/>
      <c r="D85" s="47"/>
    </row>
    <row r="86" spans="1:4" ht="12.75" customHeight="1">
      <c r="A86" s="33"/>
      <c r="B86" s="46"/>
      <c r="D86" s="47"/>
    </row>
    <row r="87" spans="1:4" ht="12.75" customHeight="1">
      <c r="A87" s="33"/>
      <c r="B87" s="46"/>
      <c r="D87" s="47"/>
    </row>
    <row r="88" spans="1:4" ht="12.75" customHeight="1">
      <c r="A88" s="33"/>
      <c r="B88" s="46"/>
      <c r="D88" s="47"/>
    </row>
    <row r="89" spans="1:4" ht="12.75" customHeight="1">
      <c r="A89" s="33"/>
      <c r="B89" s="46"/>
      <c r="D89" s="47"/>
    </row>
    <row r="90" spans="1:4" ht="12.75" customHeight="1">
      <c r="A90" s="33"/>
      <c r="B90" s="46"/>
      <c r="D90" s="47"/>
    </row>
    <row r="91" spans="1:4" ht="12.75" customHeight="1">
      <c r="A91" s="33"/>
      <c r="B91" s="46"/>
      <c r="D91" s="47"/>
    </row>
    <row r="92" spans="1:4" ht="12.75" customHeight="1">
      <c r="A92" s="33"/>
      <c r="B92" s="46"/>
      <c r="D92" s="47"/>
    </row>
    <row r="93" spans="1:4" ht="12.75" customHeight="1">
      <c r="A93" s="33"/>
      <c r="B93" s="46"/>
      <c r="D93" s="47"/>
    </row>
    <row r="94" spans="1:4" ht="12.75" customHeight="1">
      <c r="A94" s="33"/>
      <c r="B94" s="46"/>
      <c r="D94" s="47"/>
    </row>
    <row r="95" spans="1:4" ht="12.75" customHeight="1">
      <c r="A95" s="33"/>
      <c r="B95" s="46"/>
      <c r="D95" s="47"/>
    </row>
    <row r="96" spans="1:4" ht="12.75" customHeight="1">
      <c r="A96" s="33"/>
      <c r="B96" s="46"/>
      <c r="D96" s="47"/>
    </row>
    <row r="97" spans="1:4" ht="12.75" customHeight="1">
      <c r="A97" s="33"/>
      <c r="B97" s="46"/>
      <c r="D97" s="47"/>
    </row>
    <row r="98" spans="1:4" ht="12.75" customHeight="1">
      <c r="A98" s="33"/>
      <c r="B98" s="46"/>
      <c r="D98" s="47"/>
    </row>
    <row r="99" spans="1:4" ht="12.75" customHeight="1">
      <c r="A99" s="33"/>
      <c r="B99" s="46"/>
      <c r="D99" s="47"/>
    </row>
    <row r="100" spans="1:4" ht="12.75" customHeight="1">
      <c r="A100" s="33"/>
      <c r="B100" s="46"/>
      <c r="D100" s="47"/>
    </row>
    <row r="101" spans="1:4" ht="12.75" customHeight="1">
      <c r="A101" s="33"/>
      <c r="B101" s="46"/>
      <c r="D101" s="47"/>
    </row>
    <row r="102" spans="1:4" ht="12.75" customHeight="1">
      <c r="A102" s="33"/>
      <c r="B102" s="46"/>
      <c r="D102" s="47"/>
    </row>
    <row r="103" spans="1:4" ht="12.75" customHeight="1">
      <c r="A103" s="33"/>
      <c r="B103" s="46"/>
      <c r="D103" s="47"/>
    </row>
    <row r="104" spans="1:4" ht="12.75" customHeight="1">
      <c r="A104" s="33"/>
      <c r="B104" s="46"/>
      <c r="D104" s="47"/>
    </row>
    <row r="105" spans="1:4" ht="12.75" customHeight="1">
      <c r="A105" s="33"/>
      <c r="B105" s="46"/>
      <c r="D105" s="47"/>
    </row>
    <row r="106" spans="1:4" ht="12.75" customHeight="1">
      <c r="A106" s="33"/>
      <c r="B106" s="46"/>
      <c r="D106" s="47"/>
    </row>
    <row r="107" spans="1:4" ht="12.75" customHeight="1">
      <c r="A107" s="33"/>
      <c r="B107" s="46"/>
      <c r="D107" s="47"/>
    </row>
    <row r="108" spans="1:4" ht="12.75" customHeight="1">
      <c r="A108" s="33"/>
      <c r="B108" s="46"/>
      <c r="D108" s="47"/>
    </row>
    <row r="109" spans="1:4" ht="12.75" customHeight="1">
      <c r="A109" s="33"/>
      <c r="B109" s="46"/>
      <c r="D109" s="47"/>
    </row>
    <row r="110" spans="1:4" ht="12.75" customHeight="1">
      <c r="A110" s="33"/>
      <c r="B110" s="46"/>
      <c r="D110" s="47"/>
    </row>
    <row r="111" spans="1:4" ht="12.75" customHeight="1">
      <c r="A111" s="33"/>
      <c r="B111" s="46"/>
      <c r="D111" s="47"/>
    </row>
    <row r="112" spans="1:4" ht="12.75" customHeight="1">
      <c r="A112" s="33"/>
      <c r="B112" s="46"/>
      <c r="D112" s="47"/>
    </row>
    <row r="113" spans="1:4" ht="12.75" customHeight="1">
      <c r="A113" s="33"/>
      <c r="B113" s="46"/>
      <c r="D113" s="47"/>
    </row>
    <row r="114" spans="1:4" ht="12.75" customHeight="1">
      <c r="A114" s="33"/>
      <c r="B114" s="46"/>
      <c r="D114" s="47"/>
    </row>
    <row r="115" spans="1:4" ht="12.75" customHeight="1">
      <c r="A115" s="33"/>
      <c r="B115" s="46"/>
      <c r="D115" s="47"/>
    </row>
    <row r="116" spans="1:4" ht="12.75" customHeight="1">
      <c r="A116" s="33"/>
      <c r="B116" s="46"/>
      <c r="D116" s="47"/>
    </row>
    <row r="117" spans="1:4" ht="12.75" customHeight="1">
      <c r="A117" s="33"/>
      <c r="B117" s="46"/>
      <c r="D117" s="47"/>
    </row>
    <row r="118" spans="1:4" ht="12.75" customHeight="1">
      <c r="A118" s="33"/>
      <c r="B118" s="46"/>
      <c r="D118" s="47"/>
    </row>
    <row r="119" spans="1:4" ht="12.75" customHeight="1">
      <c r="A119" s="33"/>
      <c r="B119" s="46"/>
      <c r="D119" s="47"/>
    </row>
    <row r="120" spans="1:4" ht="12.75" customHeight="1">
      <c r="A120" s="33"/>
      <c r="B120" s="46"/>
      <c r="D120" s="47"/>
    </row>
    <row r="121" spans="1:4" ht="12.75" customHeight="1">
      <c r="A121" s="33"/>
      <c r="B121" s="46"/>
      <c r="D121" s="47"/>
    </row>
    <row r="122" spans="1:4" ht="12.75" customHeight="1">
      <c r="A122" s="33"/>
      <c r="B122" s="46"/>
      <c r="D122" s="47"/>
    </row>
    <row r="123" spans="1:4" ht="12.75" customHeight="1">
      <c r="A123" s="33"/>
      <c r="B123" s="46"/>
      <c r="D123" s="47"/>
    </row>
    <row r="124" spans="1:4" ht="12.75" customHeight="1">
      <c r="A124" s="33"/>
      <c r="B124" s="46"/>
      <c r="D124" s="47"/>
    </row>
    <row r="125" spans="1:4" ht="12.75" customHeight="1">
      <c r="A125" s="33"/>
      <c r="B125" s="46"/>
      <c r="D125" s="47"/>
    </row>
    <row r="126" spans="1:4" ht="12.75" customHeight="1">
      <c r="A126" s="33"/>
      <c r="B126" s="46"/>
      <c r="D126" s="47"/>
    </row>
    <row r="127" spans="1:4" ht="12.75" customHeight="1">
      <c r="A127" s="33"/>
      <c r="B127" s="46"/>
      <c r="D127" s="47"/>
    </row>
    <row r="128" spans="1:4" ht="12.75" customHeight="1">
      <c r="A128" s="33"/>
      <c r="B128" s="46"/>
      <c r="D128" s="47"/>
    </row>
    <row r="129" spans="1:4" ht="12.75" customHeight="1">
      <c r="A129" s="33"/>
      <c r="B129" s="46"/>
      <c r="D129" s="47"/>
    </row>
    <row r="130" spans="1:4" ht="12.75" customHeight="1">
      <c r="A130" s="33"/>
      <c r="B130" s="46"/>
      <c r="D130" s="47"/>
    </row>
    <row r="131" spans="1:4" ht="12.75" customHeight="1">
      <c r="A131" s="33"/>
      <c r="B131" s="46"/>
      <c r="D131" s="47"/>
    </row>
    <row r="132" spans="1:4" ht="12.75" customHeight="1">
      <c r="A132" s="33"/>
      <c r="B132" s="46"/>
      <c r="D132" s="47"/>
    </row>
    <row r="133" spans="1:4" ht="12.75" customHeight="1">
      <c r="A133" s="33"/>
      <c r="B133" s="46"/>
      <c r="D133" s="47"/>
    </row>
    <row r="134" spans="1:4" ht="12.75" customHeight="1">
      <c r="A134" s="33"/>
      <c r="B134" s="46"/>
      <c r="D134" s="47"/>
    </row>
    <row r="135" spans="1:4" ht="12.75" customHeight="1">
      <c r="A135" s="33"/>
      <c r="B135" s="46"/>
      <c r="D135" s="47"/>
    </row>
    <row r="136" spans="1:4" ht="12.75" customHeight="1">
      <c r="A136" s="33"/>
      <c r="B136" s="46"/>
      <c r="D136" s="47"/>
    </row>
    <row r="137" spans="1:4" ht="12.75" customHeight="1">
      <c r="A137" s="33"/>
      <c r="B137" s="46"/>
      <c r="D137" s="47"/>
    </row>
    <row r="138" spans="1:4" ht="12.75" customHeight="1">
      <c r="A138" s="33"/>
      <c r="B138" s="46"/>
      <c r="D138" s="47"/>
    </row>
    <row r="139" spans="1:4" ht="12.75" customHeight="1">
      <c r="A139" s="33"/>
      <c r="B139" s="46"/>
      <c r="D139" s="47"/>
    </row>
    <row r="140" spans="1:4" ht="12.75" customHeight="1">
      <c r="A140" s="33"/>
      <c r="B140" s="46"/>
      <c r="D140" s="47"/>
    </row>
    <row r="141" spans="1:4" ht="12.75" customHeight="1">
      <c r="A141" s="33"/>
      <c r="B141" s="46"/>
      <c r="D141" s="47"/>
    </row>
    <row r="142" spans="1:4" ht="12.75" customHeight="1">
      <c r="A142" s="33"/>
      <c r="B142" s="46"/>
      <c r="D142" s="47"/>
    </row>
    <row r="143" spans="1:4" ht="12.75" customHeight="1">
      <c r="A143" s="33"/>
      <c r="B143" s="46"/>
      <c r="D143" s="47"/>
    </row>
    <row r="144" spans="1:4" ht="12.75" customHeight="1">
      <c r="A144" s="33"/>
      <c r="B144" s="46"/>
      <c r="D144" s="47"/>
    </row>
    <row r="145" spans="1:4" ht="12.75" customHeight="1">
      <c r="A145" s="33"/>
      <c r="B145" s="46"/>
      <c r="D145" s="47"/>
    </row>
    <row r="146" spans="1:4" ht="12.75" customHeight="1">
      <c r="A146" s="33"/>
      <c r="B146" s="46"/>
      <c r="D146" s="47"/>
    </row>
    <row r="147" spans="1:4" ht="12.75" customHeight="1">
      <c r="A147" s="33"/>
      <c r="B147" s="46"/>
      <c r="D147" s="47"/>
    </row>
    <row r="148" spans="1:4" ht="12.75" customHeight="1">
      <c r="A148" s="33"/>
      <c r="B148" s="46"/>
      <c r="D148" s="47"/>
    </row>
    <row r="149" spans="1:4" ht="12.75" customHeight="1">
      <c r="A149" s="33"/>
      <c r="B149" s="46"/>
      <c r="D149" s="47"/>
    </row>
    <row r="150" spans="1:4" ht="12.75" customHeight="1">
      <c r="A150" s="33"/>
      <c r="B150" s="46"/>
      <c r="D150" s="47"/>
    </row>
    <row r="151" spans="1:4" ht="12.75" customHeight="1">
      <c r="A151" s="33"/>
      <c r="B151" s="46"/>
      <c r="D151" s="47"/>
    </row>
    <row r="152" spans="1:4" ht="12.75" customHeight="1">
      <c r="A152" s="33"/>
      <c r="B152" s="46"/>
      <c r="D152" s="47"/>
    </row>
    <row r="153" spans="1:4" ht="12.75" customHeight="1">
      <c r="A153" s="33"/>
      <c r="B153" s="46"/>
      <c r="D153" s="47"/>
    </row>
    <row r="154" spans="1:4" ht="12.75" customHeight="1">
      <c r="A154" s="33"/>
      <c r="B154" s="46"/>
      <c r="D154" s="47"/>
    </row>
    <row r="155" spans="1:4" ht="12.75" customHeight="1">
      <c r="A155" s="33"/>
      <c r="B155" s="46"/>
      <c r="D155" s="47"/>
    </row>
    <row r="156" spans="1:4" ht="12.75" customHeight="1">
      <c r="A156" s="33"/>
      <c r="B156" s="46"/>
      <c r="D156" s="47"/>
    </row>
    <row r="157" spans="1:4" ht="12.75" customHeight="1">
      <c r="A157" s="33"/>
      <c r="B157" s="46"/>
      <c r="D157" s="47"/>
    </row>
    <row r="158" spans="1:4" ht="12.75" customHeight="1">
      <c r="A158" s="33"/>
      <c r="B158" s="46"/>
      <c r="D158" s="47"/>
    </row>
    <row r="159" spans="1:4" ht="12.75" customHeight="1">
      <c r="A159" s="33"/>
      <c r="B159" s="46"/>
      <c r="D159" s="47"/>
    </row>
    <row r="160" spans="1:4" ht="12.75" customHeight="1">
      <c r="A160" s="33"/>
      <c r="B160" s="46"/>
      <c r="D160" s="47"/>
    </row>
    <row r="161" spans="1:4" ht="12.75" customHeight="1">
      <c r="A161" s="33"/>
      <c r="B161" s="46"/>
      <c r="D161" s="47"/>
    </row>
    <row r="162" spans="1:4" ht="12.75" customHeight="1">
      <c r="A162" s="33"/>
      <c r="B162" s="46"/>
      <c r="D162" s="47"/>
    </row>
    <row r="163" spans="1:4" ht="12.75" customHeight="1">
      <c r="A163" s="33"/>
      <c r="B163" s="46"/>
      <c r="D163" s="47"/>
    </row>
    <row r="164" spans="1:4" ht="12.75" customHeight="1">
      <c r="A164" s="33"/>
      <c r="B164" s="46"/>
      <c r="D164" s="47"/>
    </row>
    <row r="165" spans="1:4" ht="12.75" customHeight="1">
      <c r="A165" s="33"/>
      <c r="B165" s="46"/>
      <c r="D165" s="47"/>
    </row>
    <row r="166" spans="1:4" ht="12.75" customHeight="1">
      <c r="A166" s="33"/>
      <c r="B166" s="46"/>
      <c r="D166" s="47"/>
    </row>
    <row r="167" spans="1:4" ht="12.75" customHeight="1">
      <c r="A167" s="33"/>
      <c r="B167" s="46"/>
      <c r="D167" s="47"/>
    </row>
    <row r="168" spans="1:4" ht="12.75" customHeight="1">
      <c r="A168" s="33"/>
      <c r="B168" s="46"/>
      <c r="D168" s="47"/>
    </row>
    <row r="169" spans="1:4" ht="12.75" customHeight="1">
      <c r="A169" s="33"/>
      <c r="B169" s="46"/>
      <c r="D169" s="47"/>
    </row>
    <row r="170" spans="1:4" ht="12.75" customHeight="1">
      <c r="A170" s="33"/>
      <c r="B170" s="46"/>
      <c r="D170" s="47"/>
    </row>
    <row r="171" spans="1:4" ht="12.75" customHeight="1">
      <c r="A171" s="33"/>
      <c r="B171" s="46"/>
      <c r="D171" s="47"/>
    </row>
    <row r="172" spans="1:4" ht="12.75" customHeight="1">
      <c r="A172" s="33"/>
      <c r="B172" s="46"/>
      <c r="D172" s="47"/>
    </row>
    <row r="173" spans="1:4" ht="12.75" customHeight="1">
      <c r="A173" s="33"/>
      <c r="B173" s="46"/>
      <c r="D173" s="47"/>
    </row>
    <row r="174" spans="1:4" ht="12.75" customHeight="1">
      <c r="A174" s="33"/>
      <c r="B174" s="46"/>
      <c r="D174" s="47"/>
    </row>
    <row r="175" spans="1:4" ht="12.75" customHeight="1">
      <c r="A175" s="33"/>
      <c r="B175" s="46"/>
      <c r="D175" s="47"/>
    </row>
    <row r="176" spans="1:4" ht="12.75" customHeight="1">
      <c r="A176" s="33"/>
      <c r="B176" s="46"/>
      <c r="D176" s="47"/>
    </row>
    <row r="177" spans="1:4" ht="12.75" customHeight="1">
      <c r="A177" s="33"/>
      <c r="B177" s="46"/>
      <c r="D177" s="47"/>
    </row>
    <row r="178" spans="1:4" ht="12.75" customHeight="1">
      <c r="A178" s="33"/>
      <c r="B178" s="46"/>
      <c r="D178" s="47"/>
    </row>
    <row r="179" spans="1:4" ht="12.75" customHeight="1">
      <c r="A179" s="33"/>
      <c r="B179" s="46"/>
      <c r="D179" s="47"/>
    </row>
    <row r="180" spans="1:4" ht="12.75" customHeight="1">
      <c r="A180" s="33"/>
      <c r="B180" s="46"/>
      <c r="D180" s="47"/>
    </row>
    <row r="181" spans="1:4" ht="12.75" customHeight="1">
      <c r="A181" s="33"/>
      <c r="B181" s="46"/>
      <c r="D181" s="47"/>
    </row>
    <row r="182" spans="1:4" ht="12.75" customHeight="1">
      <c r="A182" s="33"/>
      <c r="B182" s="46"/>
      <c r="D182" s="47"/>
    </row>
    <row r="183" spans="1:4" ht="12.75" customHeight="1">
      <c r="A183" s="33"/>
      <c r="B183" s="46"/>
      <c r="D183" s="47"/>
    </row>
    <row r="184" spans="1:4" ht="12.75" customHeight="1">
      <c r="A184" s="33"/>
      <c r="B184" s="46"/>
      <c r="D184" s="47"/>
    </row>
    <row r="185" spans="1:4" ht="12.75" customHeight="1">
      <c r="A185" s="33"/>
      <c r="B185" s="46"/>
      <c r="D185" s="47"/>
    </row>
    <row r="186" spans="1:4" ht="12.75" customHeight="1">
      <c r="A186" s="33"/>
      <c r="B186" s="46"/>
      <c r="D186" s="47"/>
    </row>
    <row r="187" spans="1:4" ht="12.75" customHeight="1">
      <c r="A187" s="33"/>
      <c r="B187" s="46"/>
      <c r="D187" s="47"/>
    </row>
    <row r="188" spans="1:4" ht="12.75" customHeight="1">
      <c r="A188" s="33"/>
      <c r="B188" s="46"/>
      <c r="D188" s="47"/>
    </row>
    <row r="189" spans="1:4" ht="12.75" customHeight="1">
      <c r="A189" s="33"/>
      <c r="B189" s="46"/>
      <c r="D189" s="47"/>
    </row>
    <row r="190" spans="1:4" ht="12.75" customHeight="1">
      <c r="A190" s="33"/>
      <c r="B190" s="46"/>
      <c r="D190" s="47"/>
    </row>
    <row r="191" spans="1:4" ht="12.75" customHeight="1">
      <c r="A191" s="33"/>
      <c r="B191" s="46"/>
      <c r="D191" s="47"/>
    </row>
    <row r="192" spans="1:4" ht="12.75" customHeight="1">
      <c r="A192" s="33"/>
      <c r="B192" s="46"/>
      <c r="D192" s="47"/>
    </row>
    <row r="193" spans="1:4" ht="12.75" customHeight="1">
      <c r="A193" s="33"/>
      <c r="B193" s="46"/>
      <c r="D193" s="47"/>
    </row>
    <row r="194" spans="1:4" ht="12.75" customHeight="1">
      <c r="A194" s="33"/>
      <c r="B194" s="46"/>
      <c r="D194" s="47"/>
    </row>
    <row r="195" spans="1:4" ht="12.75" customHeight="1">
      <c r="A195" s="33"/>
      <c r="B195" s="46"/>
      <c r="D195" s="47"/>
    </row>
    <row r="196" spans="1:4" ht="12.75" customHeight="1">
      <c r="A196" s="33"/>
      <c r="B196" s="46"/>
      <c r="D196" s="47"/>
    </row>
    <row r="197" spans="1:4" ht="12.75" customHeight="1">
      <c r="A197" s="33"/>
      <c r="B197" s="46"/>
      <c r="D197" s="47"/>
    </row>
    <row r="198" spans="1:4" ht="12.75" customHeight="1">
      <c r="A198" s="33"/>
      <c r="B198" s="46"/>
      <c r="D198" s="47"/>
    </row>
    <row r="199" spans="1:4" ht="12.75" customHeight="1">
      <c r="A199" s="33"/>
      <c r="B199" s="46"/>
      <c r="D199" s="47"/>
    </row>
    <row r="200" spans="1:4" ht="12.75" customHeight="1">
      <c r="A200" s="33"/>
      <c r="B200" s="46"/>
      <c r="D200" s="47"/>
    </row>
    <row r="201" spans="1:4" ht="12.75" customHeight="1">
      <c r="A201" s="33"/>
      <c r="B201" s="46"/>
      <c r="D201" s="47"/>
    </row>
    <row r="202" spans="1:4" ht="12.75" customHeight="1">
      <c r="A202" s="33"/>
      <c r="B202" s="46"/>
      <c r="D202" s="47"/>
    </row>
    <row r="203" spans="1:4" ht="12.75" customHeight="1">
      <c r="A203" s="33"/>
      <c r="B203" s="46"/>
      <c r="D203" s="47"/>
    </row>
    <row r="204" spans="1:4" ht="12.75" customHeight="1">
      <c r="A204" s="33"/>
      <c r="B204" s="46"/>
      <c r="D204" s="47"/>
    </row>
    <row r="205" spans="1:4" ht="12.75" customHeight="1">
      <c r="A205" s="33"/>
      <c r="B205" s="46"/>
      <c r="D205" s="47"/>
    </row>
    <row r="206" spans="1:4" ht="12.75" customHeight="1">
      <c r="A206" s="33"/>
      <c r="B206" s="46"/>
      <c r="D206" s="47"/>
    </row>
    <row r="207" spans="1:4" ht="12.75" customHeight="1">
      <c r="A207" s="33"/>
      <c r="B207" s="46"/>
      <c r="D207" s="47"/>
    </row>
    <row r="208" spans="1:4" ht="12.75" customHeight="1">
      <c r="A208" s="33"/>
      <c r="B208" s="46"/>
      <c r="D208" s="47"/>
    </row>
    <row r="209" spans="1:4" ht="12.75" customHeight="1">
      <c r="A209" s="33"/>
      <c r="B209" s="46"/>
      <c r="D209" s="47"/>
    </row>
    <row r="210" spans="1:4" ht="12.75" customHeight="1">
      <c r="A210" s="33"/>
      <c r="B210" s="46"/>
      <c r="D210" s="47"/>
    </row>
    <row r="211" spans="1:4" ht="12.75" customHeight="1">
      <c r="A211" s="33"/>
      <c r="B211" s="46"/>
      <c r="D211" s="47"/>
    </row>
    <row r="212" spans="1:4" ht="12.75" customHeight="1">
      <c r="A212" s="33"/>
      <c r="B212" s="46"/>
      <c r="D212" s="47"/>
    </row>
    <row r="213" spans="1:4" ht="12.75" customHeight="1">
      <c r="A213" s="33"/>
      <c r="B213" s="46"/>
      <c r="D213" s="47"/>
    </row>
    <row r="214" spans="1:4" ht="12.75" customHeight="1">
      <c r="A214" s="33"/>
      <c r="B214" s="46"/>
      <c r="D214" s="47"/>
    </row>
    <row r="215" spans="1:4" ht="12.75" customHeight="1">
      <c r="A215" s="33"/>
      <c r="B215" s="46"/>
      <c r="D215" s="47"/>
    </row>
    <row r="216" spans="1:4" ht="12.75" customHeight="1">
      <c r="A216" s="33"/>
      <c r="B216" s="46"/>
      <c r="D216" s="47"/>
    </row>
    <row r="217" spans="1:4" ht="12.75" customHeight="1">
      <c r="A217" s="33"/>
      <c r="B217" s="46"/>
      <c r="D217" s="47"/>
    </row>
    <row r="218" spans="1:4" ht="12.75" customHeight="1">
      <c r="A218" s="33"/>
      <c r="B218" s="46"/>
      <c r="D218" s="47"/>
    </row>
    <row r="219" spans="1:4" ht="12.75" customHeight="1">
      <c r="A219" s="33"/>
      <c r="B219" s="46"/>
      <c r="D219" s="47"/>
    </row>
    <row r="220" spans="1:4" ht="12.75" customHeight="1">
      <c r="A220" s="33"/>
      <c r="B220" s="46"/>
      <c r="D220" s="47"/>
    </row>
    <row r="221" spans="1:4" ht="12.75" customHeight="1">
      <c r="A221" s="33"/>
      <c r="B221" s="46"/>
      <c r="D221" s="47"/>
    </row>
    <row r="222" spans="1:4" ht="12.75" customHeight="1">
      <c r="A222" s="33"/>
      <c r="B222" s="46"/>
      <c r="D222" s="47"/>
    </row>
    <row r="223" spans="1:4" ht="12.75" customHeight="1">
      <c r="A223" s="33"/>
      <c r="B223" s="46"/>
      <c r="D223" s="47"/>
    </row>
    <row r="224" spans="1:4" ht="12.75" customHeight="1">
      <c r="A224" s="33"/>
      <c r="B224" s="46"/>
      <c r="D224" s="47"/>
    </row>
    <row r="225" spans="1:4" ht="12.75" customHeight="1">
      <c r="A225" s="33"/>
      <c r="B225" s="46"/>
      <c r="D225" s="47"/>
    </row>
    <row r="226" spans="1:4" ht="12.75" customHeight="1">
      <c r="A226" s="33"/>
      <c r="B226" s="46"/>
      <c r="D226" s="47"/>
    </row>
    <row r="227" spans="1:4" ht="12.75" customHeight="1">
      <c r="A227" s="33"/>
      <c r="B227" s="46"/>
      <c r="D227" s="47"/>
    </row>
    <row r="228" spans="1:4" ht="12.75" customHeight="1">
      <c r="A228" s="33"/>
      <c r="B228" s="46"/>
      <c r="D228" s="47"/>
    </row>
    <row r="229" spans="1:4" ht="12.75" customHeight="1">
      <c r="A229" s="33"/>
      <c r="B229" s="46"/>
      <c r="D229" s="47"/>
    </row>
    <row r="230" spans="1:4" ht="12.75" customHeight="1">
      <c r="A230" s="33"/>
      <c r="B230" s="46"/>
      <c r="D230" s="47"/>
    </row>
    <row r="231" spans="1:4" ht="12.75" customHeight="1">
      <c r="A231" s="33"/>
      <c r="B231" s="46"/>
      <c r="D231" s="47"/>
    </row>
    <row r="232" spans="1:4" ht="12.75" customHeight="1">
      <c r="A232" s="33"/>
      <c r="B232" s="46"/>
      <c r="D232" s="47"/>
    </row>
    <row r="233" spans="1:4" ht="12.75" customHeight="1">
      <c r="A233" s="33"/>
      <c r="B233" s="46"/>
      <c r="D233" s="47"/>
    </row>
    <row r="234" spans="1:4" ht="12.75" customHeight="1">
      <c r="A234" s="33"/>
      <c r="B234" s="46"/>
      <c r="D234" s="47"/>
    </row>
    <row r="235" spans="1:4" ht="12.75" customHeight="1">
      <c r="A235" s="33"/>
      <c r="B235" s="46"/>
      <c r="D235" s="47"/>
    </row>
    <row r="236" spans="1:4" ht="12.75" customHeight="1">
      <c r="A236" s="33"/>
      <c r="B236" s="46"/>
      <c r="D236" s="47"/>
    </row>
    <row r="237" spans="1:4" ht="12.75" customHeight="1">
      <c r="A237" s="33"/>
      <c r="B237" s="46"/>
      <c r="D237" s="47"/>
    </row>
    <row r="238" spans="1:4" ht="12.75" customHeight="1">
      <c r="A238" s="33"/>
      <c r="B238" s="46"/>
      <c r="D238" s="47"/>
    </row>
    <row r="239" spans="1:4" ht="12.75" customHeight="1">
      <c r="A239" s="33"/>
      <c r="B239" s="46"/>
      <c r="D239" s="47"/>
    </row>
    <row r="240" spans="1:4" ht="12.75" customHeight="1">
      <c r="A240" s="33"/>
      <c r="B240" s="46"/>
      <c r="D240" s="47"/>
    </row>
    <row r="241" spans="1:4" ht="12.75" customHeight="1">
      <c r="A241" s="33"/>
      <c r="B241" s="46"/>
      <c r="D241" s="47"/>
    </row>
    <row r="242" spans="1:4" ht="12.75" customHeight="1">
      <c r="A242" s="33"/>
      <c r="B242" s="46"/>
      <c r="D242" s="47"/>
    </row>
    <row r="243" spans="1:4" ht="12.75" customHeight="1">
      <c r="A243" s="33"/>
      <c r="B243" s="46"/>
      <c r="D243" s="47"/>
    </row>
    <row r="244" spans="1:4" ht="12.75" customHeight="1">
      <c r="A244" s="33"/>
      <c r="B244" s="46"/>
      <c r="D244" s="47"/>
    </row>
    <row r="245" spans="1:4" ht="12.75" customHeight="1">
      <c r="A245" s="33"/>
      <c r="B245" s="46"/>
      <c r="D245" s="47"/>
    </row>
    <row r="246" spans="1:4" ht="12.75" customHeight="1">
      <c r="A246" s="33"/>
      <c r="B246" s="46"/>
      <c r="D246" s="47"/>
    </row>
    <row r="247" spans="1:4" ht="12.75" customHeight="1">
      <c r="A247" s="33"/>
      <c r="B247" s="46"/>
      <c r="D247" s="47"/>
    </row>
    <row r="248" spans="1:4" ht="12.75" customHeight="1">
      <c r="A248" s="33"/>
      <c r="B248" s="46"/>
      <c r="D248" s="47"/>
    </row>
    <row r="249" spans="1:4" ht="12.75" customHeight="1">
      <c r="A249" s="33"/>
      <c r="B249" s="46"/>
      <c r="D249" s="47"/>
    </row>
    <row r="250" spans="1:4" ht="12.75" customHeight="1">
      <c r="A250" s="33"/>
      <c r="B250" s="46"/>
      <c r="D250" s="47"/>
    </row>
    <row r="251" spans="1:4" ht="12.75" customHeight="1">
      <c r="A251" s="33"/>
      <c r="B251" s="46"/>
      <c r="D251" s="47"/>
    </row>
    <row r="252" spans="1:4" ht="12.75" customHeight="1">
      <c r="A252" s="33"/>
      <c r="B252" s="46"/>
      <c r="D252" s="47"/>
    </row>
    <row r="253" spans="1:4" ht="12.75" customHeight="1">
      <c r="A253" s="33"/>
      <c r="B253" s="46"/>
      <c r="D253" s="47"/>
    </row>
    <row r="254" spans="1:4" ht="12.75" customHeight="1">
      <c r="A254" s="33"/>
      <c r="B254" s="46"/>
      <c r="D254" s="47"/>
    </row>
    <row r="255" spans="1:4" ht="12.75" customHeight="1">
      <c r="A255" s="33"/>
      <c r="B255" s="46"/>
      <c r="D255" s="47"/>
    </row>
    <row r="256" spans="1:4" ht="12.75" customHeight="1">
      <c r="A256" s="33"/>
      <c r="B256" s="46"/>
      <c r="D256" s="47"/>
    </row>
    <row r="257" spans="1:4" ht="12.75" customHeight="1">
      <c r="A257" s="33"/>
      <c r="B257" s="46"/>
      <c r="D257" s="47"/>
    </row>
    <row r="258" spans="1:4" ht="12.75" customHeight="1">
      <c r="A258" s="33"/>
      <c r="B258" s="46"/>
      <c r="D258" s="47"/>
    </row>
    <row r="259" spans="1:4" ht="12.75" customHeight="1">
      <c r="A259" s="33"/>
      <c r="B259" s="46"/>
      <c r="D259" s="47"/>
    </row>
    <row r="260" spans="1:4" ht="12.75" customHeight="1">
      <c r="A260" s="33"/>
      <c r="B260" s="46"/>
      <c r="D260" s="47"/>
    </row>
    <row r="261" spans="1:4" ht="12.75" customHeight="1">
      <c r="A261" s="33"/>
      <c r="B261" s="46"/>
      <c r="D261" s="47"/>
    </row>
    <row r="262" spans="1:4" ht="12.75" customHeight="1">
      <c r="A262" s="33"/>
      <c r="B262" s="46"/>
      <c r="D262" s="47"/>
    </row>
    <row r="263" spans="1:4" ht="12.75" customHeight="1">
      <c r="A263" s="33"/>
      <c r="B263" s="46"/>
      <c r="D263" s="47"/>
    </row>
    <row r="264" spans="1:4" ht="12.75" customHeight="1">
      <c r="A264" s="33"/>
      <c r="B264" s="46"/>
      <c r="D264" s="47"/>
    </row>
    <row r="265" spans="1:4" ht="12.75" customHeight="1">
      <c r="A265" s="33"/>
      <c r="B265" s="46"/>
      <c r="D265" s="47"/>
    </row>
    <row r="266" spans="1:4" ht="12.75" customHeight="1">
      <c r="A266" s="33"/>
      <c r="B266" s="46"/>
      <c r="D266" s="47"/>
    </row>
    <row r="267" spans="1:4" ht="12.75" customHeight="1">
      <c r="A267" s="33"/>
      <c r="B267" s="46"/>
      <c r="D267" s="47"/>
    </row>
    <row r="268" spans="1:4" ht="12.75" customHeight="1">
      <c r="A268" s="33"/>
      <c r="B268" s="46"/>
      <c r="D268" s="47"/>
    </row>
    <row r="269" spans="1:4" ht="12.75" customHeight="1">
      <c r="A269" s="33"/>
      <c r="B269" s="46"/>
      <c r="D269" s="47"/>
    </row>
    <row r="270" spans="1:4" ht="12.75" customHeight="1">
      <c r="A270" s="33"/>
      <c r="B270" s="46"/>
      <c r="D270" s="47"/>
    </row>
    <row r="271" spans="1:4" ht="12.75" customHeight="1">
      <c r="A271" s="33"/>
      <c r="B271" s="46"/>
      <c r="D271" s="47"/>
    </row>
    <row r="272" spans="1:4" ht="12.75" customHeight="1">
      <c r="A272" s="33"/>
      <c r="B272" s="46"/>
      <c r="D272" s="47"/>
    </row>
    <row r="273" spans="1:4" ht="12.75" customHeight="1">
      <c r="A273" s="33"/>
      <c r="B273" s="46"/>
      <c r="D273" s="47"/>
    </row>
    <row r="274" spans="1:4" ht="12.75" customHeight="1">
      <c r="A274" s="33"/>
      <c r="B274" s="46"/>
      <c r="D274" s="47"/>
    </row>
    <row r="275" spans="1:4" ht="12.75" customHeight="1">
      <c r="A275" s="33"/>
      <c r="B275" s="46"/>
      <c r="D275" s="47"/>
    </row>
    <row r="276" spans="1:4" ht="12.75" customHeight="1">
      <c r="A276" s="33"/>
      <c r="B276" s="46"/>
      <c r="D276" s="47"/>
    </row>
    <row r="277" spans="1:4" ht="12.75" customHeight="1">
      <c r="A277" s="33"/>
      <c r="B277" s="46"/>
      <c r="D277" s="47"/>
    </row>
    <row r="278" spans="1:4" ht="12.75" customHeight="1">
      <c r="A278" s="33"/>
      <c r="B278" s="46"/>
      <c r="D278" s="47"/>
    </row>
    <row r="279" spans="1:4" ht="12.75" customHeight="1">
      <c r="A279" s="33"/>
      <c r="B279" s="46"/>
      <c r="D279" s="47"/>
    </row>
    <row r="280" spans="1:4" ht="12.75" customHeight="1">
      <c r="A280" s="33"/>
      <c r="B280" s="46"/>
      <c r="D280" s="47"/>
    </row>
    <row r="281" spans="1:4" ht="12.75" customHeight="1">
      <c r="A281" s="33"/>
      <c r="B281" s="46"/>
      <c r="D281" s="47"/>
    </row>
    <row r="282" spans="1:4" ht="12.75" customHeight="1">
      <c r="A282" s="33"/>
      <c r="B282" s="46"/>
      <c r="D282" s="47"/>
    </row>
    <row r="283" spans="1:4" ht="12.75" customHeight="1">
      <c r="A283" s="33"/>
      <c r="B283" s="46"/>
      <c r="D283" s="47"/>
    </row>
    <row r="284" spans="1:4" ht="12.75" customHeight="1">
      <c r="A284" s="33"/>
      <c r="B284" s="46"/>
      <c r="D284" s="47"/>
    </row>
    <row r="285" spans="1:4" ht="12.75" customHeight="1">
      <c r="A285" s="33"/>
      <c r="B285" s="46"/>
      <c r="D285" s="47"/>
    </row>
    <row r="286" spans="1:4" ht="12.75" customHeight="1">
      <c r="A286" s="33"/>
      <c r="B286" s="46"/>
      <c r="D286" s="47"/>
    </row>
    <row r="287" spans="1:4" ht="12.75" customHeight="1">
      <c r="A287" s="33"/>
      <c r="B287" s="46"/>
      <c r="D287" s="47"/>
    </row>
    <row r="288" spans="1:4" ht="12.75" customHeight="1">
      <c r="A288" s="33"/>
      <c r="B288" s="46"/>
      <c r="D288" s="47"/>
    </row>
    <row r="289" spans="1:4" ht="12.75" customHeight="1">
      <c r="A289" s="33"/>
      <c r="B289" s="46"/>
      <c r="D289" s="47"/>
    </row>
    <row r="290" spans="1:4" ht="12.75" customHeight="1">
      <c r="A290" s="33"/>
      <c r="B290" s="46"/>
      <c r="D290" s="47"/>
    </row>
    <row r="291" spans="1:4" ht="12.75" customHeight="1">
      <c r="A291" s="33"/>
      <c r="B291" s="46"/>
      <c r="D291" s="47"/>
    </row>
    <row r="292" spans="1:4" ht="12.75" customHeight="1">
      <c r="A292" s="33"/>
      <c r="B292" s="46"/>
      <c r="D292" s="47"/>
    </row>
    <row r="293" spans="1:4" ht="12.75" customHeight="1">
      <c r="A293" s="33"/>
      <c r="B293" s="46"/>
      <c r="D293" s="47"/>
    </row>
    <row r="294" spans="1:4" ht="12.75" customHeight="1">
      <c r="A294" s="33"/>
      <c r="B294" s="46"/>
      <c r="D294" s="47"/>
    </row>
    <row r="295" spans="1:4" ht="12.75" customHeight="1">
      <c r="A295" s="33"/>
      <c r="B295" s="46"/>
      <c r="D295" s="47"/>
    </row>
    <row r="296" spans="1:4" ht="12.75" customHeight="1">
      <c r="A296" s="33"/>
      <c r="B296" s="46"/>
      <c r="D296" s="47"/>
    </row>
    <row r="297" spans="1:4" ht="12.75" customHeight="1">
      <c r="A297" s="33"/>
      <c r="B297" s="46"/>
      <c r="D297" s="47"/>
    </row>
    <row r="298" spans="1:4" ht="12.75" customHeight="1">
      <c r="A298" s="33"/>
      <c r="B298" s="46"/>
      <c r="D298" s="47"/>
    </row>
    <row r="299" spans="1:4" ht="12.75" customHeight="1">
      <c r="A299" s="33"/>
      <c r="B299" s="46"/>
      <c r="D299" s="47"/>
    </row>
    <row r="300" spans="1:4" ht="12.75" customHeight="1">
      <c r="A300" s="33"/>
      <c r="B300" s="46"/>
      <c r="D300" s="47"/>
    </row>
    <row r="301" spans="1:4" ht="12.75" customHeight="1">
      <c r="A301" s="33"/>
      <c r="B301" s="46"/>
      <c r="D301" s="47"/>
    </row>
    <row r="302" spans="1:4" ht="12.75" customHeight="1">
      <c r="A302" s="33"/>
      <c r="B302" s="46"/>
      <c r="D302" s="47"/>
    </row>
    <row r="303" spans="1:4" ht="12.75" customHeight="1">
      <c r="A303" s="33"/>
      <c r="B303" s="46"/>
      <c r="D303" s="47"/>
    </row>
    <row r="304" spans="1:4" ht="12.75" customHeight="1">
      <c r="A304" s="33"/>
      <c r="B304" s="46"/>
      <c r="D304" s="47"/>
    </row>
    <row r="305" spans="1:4" ht="12.75" customHeight="1">
      <c r="A305" s="33"/>
      <c r="B305" s="46"/>
      <c r="D305" s="47"/>
    </row>
    <row r="306" spans="1:4" ht="12.75" customHeight="1">
      <c r="A306" s="33"/>
      <c r="B306" s="46"/>
      <c r="D306" s="47"/>
    </row>
    <row r="307" spans="1:4" ht="12.75" customHeight="1">
      <c r="A307" s="33"/>
      <c r="B307" s="46"/>
      <c r="D307" s="47"/>
    </row>
    <row r="308" spans="1:4" ht="12.75" customHeight="1">
      <c r="A308" s="33"/>
      <c r="B308" s="46"/>
      <c r="D308" s="47"/>
    </row>
    <row r="309" spans="1:4" ht="12.75" customHeight="1">
      <c r="A309" s="33"/>
      <c r="B309" s="46"/>
      <c r="D309" s="47"/>
    </row>
    <row r="310" spans="1:4" ht="12.75" customHeight="1">
      <c r="A310" s="33"/>
      <c r="B310" s="46"/>
      <c r="D310" s="47"/>
    </row>
    <row r="311" spans="1:4" ht="12.75" customHeight="1">
      <c r="A311" s="33"/>
      <c r="B311" s="46"/>
      <c r="D311" s="47"/>
    </row>
    <row r="312" spans="1:4" ht="12.75" customHeight="1">
      <c r="A312" s="33"/>
      <c r="B312" s="46"/>
      <c r="D312" s="47"/>
    </row>
    <row r="313" spans="1:4" ht="12.75" customHeight="1">
      <c r="A313" s="33"/>
      <c r="B313" s="46"/>
      <c r="D313" s="47"/>
    </row>
    <row r="314" spans="1:4" ht="12.75" customHeight="1">
      <c r="A314" s="33"/>
      <c r="B314" s="46"/>
      <c r="D314" s="47"/>
    </row>
    <row r="315" spans="1:4" ht="12.75" customHeight="1">
      <c r="A315" s="33"/>
      <c r="B315" s="46"/>
      <c r="D315" s="47"/>
    </row>
    <row r="316" spans="1:4" ht="12.75" customHeight="1">
      <c r="A316" s="33"/>
      <c r="B316" s="46"/>
      <c r="D316" s="47"/>
    </row>
    <row r="317" spans="1:4" ht="12.75" customHeight="1">
      <c r="A317" s="33"/>
      <c r="B317" s="46"/>
      <c r="D317" s="47"/>
    </row>
    <row r="318" spans="1:4" ht="12.75" customHeight="1">
      <c r="A318" s="33"/>
      <c r="B318" s="46"/>
      <c r="D318" s="47"/>
    </row>
    <row r="319" spans="1:4" ht="12.75" customHeight="1">
      <c r="A319" s="33"/>
      <c r="B319" s="46"/>
      <c r="D319" s="47"/>
    </row>
    <row r="320" spans="1:4" ht="12.75" customHeight="1">
      <c r="A320" s="33"/>
      <c r="B320" s="46"/>
      <c r="D320" s="47"/>
    </row>
    <row r="321" spans="1:4" ht="12.75" customHeight="1">
      <c r="A321" s="33"/>
      <c r="B321" s="46"/>
      <c r="D321" s="47"/>
    </row>
    <row r="322" spans="1:4" ht="12.75" customHeight="1">
      <c r="A322" s="33"/>
      <c r="B322" s="46"/>
      <c r="D322" s="47"/>
    </row>
    <row r="323" spans="1:4" ht="12.75" customHeight="1">
      <c r="A323" s="33"/>
      <c r="B323" s="46"/>
      <c r="D323" s="47"/>
    </row>
    <row r="324" spans="1:4" ht="12.75" customHeight="1">
      <c r="A324" s="33"/>
      <c r="B324" s="46"/>
      <c r="D324" s="47"/>
    </row>
    <row r="325" spans="1:4" ht="12.75" customHeight="1">
      <c r="A325" s="33"/>
      <c r="B325" s="46"/>
      <c r="D325" s="47"/>
    </row>
    <row r="326" spans="1:4" ht="12.75" customHeight="1">
      <c r="A326" s="33"/>
      <c r="B326" s="46"/>
      <c r="D326" s="47"/>
    </row>
    <row r="327" spans="1:4" ht="12.75" customHeight="1">
      <c r="A327" s="33"/>
      <c r="B327" s="46"/>
      <c r="D327" s="47"/>
    </row>
    <row r="328" spans="1:4" ht="12.75" customHeight="1">
      <c r="A328" s="33"/>
      <c r="B328" s="46"/>
      <c r="D328" s="47"/>
    </row>
    <row r="329" spans="1:4" ht="12.75" customHeight="1">
      <c r="A329" s="33"/>
      <c r="B329" s="46"/>
      <c r="D329" s="47"/>
    </row>
    <row r="330" spans="1:4" ht="12.75" customHeight="1">
      <c r="A330" s="33"/>
      <c r="B330" s="46"/>
      <c r="D330" s="47"/>
    </row>
    <row r="331" spans="1:4" ht="12.75" customHeight="1">
      <c r="A331" s="33"/>
      <c r="B331" s="46"/>
      <c r="D331" s="47"/>
    </row>
    <row r="332" spans="1:4" ht="12.75" customHeight="1">
      <c r="A332" s="33"/>
      <c r="B332" s="46"/>
      <c r="D332" s="47"/>
    </row>
    <row r="333" spans="1:4" ht="12.75" customHeight="1">
      <c r="A333" s="33"/>
      <c r="B333" s="46"/>
      <c r="D333" s="47"/>
    </row>
    <row r="334" spans="1:4" ht="12.75" customHeight="1">
      <c r="A334" s="33"/>
      <c r="B334" s="46"/>
      <c r="D334" s="47"/>
    </row>
    <row r="335" spans="1:4" ht="12.75" customHeight="1">
      <c r="A335" s="33"/>
      <c r="B335" s="46"/>
      <c r="D335" s="47"/>
    </row>
    <row r="336" spans="1:4" ht="12.75" customHeight="1">
      <c r="A336" s="33"/>
      <c r="B336" s="46"/>
      <c r="D336" s="47"/>
    </row>
    <row r="337" spans="1:4" ht="12.75" customHeight="1">
      <c r="A337" s="33"/>
      <c r="B337" s="46"/>
      <c r="D337" s="47"/>
    </row>
    <row r="338" spans="1:4" ht="12.75" customHeight="1">
      <c r="A338" s="33"/>
      <c r="B338" s="46"/>
      <c r="D338" s="47"/>
    </row>
    <row r="339" spans="1:4" ht="12.75" customHeight="1">
      <c r="A339" s="33"/>
      <c r="B339" s="46"/>
      <c r="D339" s="47"/>
    </row>
    <row r="340" spans="1:4" ht="12.75" customHeight="1">
      <c r="A340" s="33"/>
      <c r="B340" s="46"/>
      <c r="D340" s="47"/>
    </row>
    <row r="341" spans="1:4" ht="12.75" customHeight="1">
      <c r="A341" s="33"/>
      <c r="B341" s="46"/>
      <c r="D341" s="47"/>
    </row>
    <row r="342" spans="1:4" ht="12.75" customHeight="1">
      <c r="A342" s="33"/>
      <c r="B342" s="46"/>
      <c r="D342" s="47"/>
    </row>
    <row r="343" spans="1:4" ht="12.75" customHeight="1">
      <c r="A343" s="33"/>
      <c r="B343" s="46"/>
      <c r="D343" s="47"/>
    </row>
    <row r="344" spans="1:4" ht="12.75" customHeight="1">
      <c r="A344" s="33"/>
      <c r="B344" s="46"/>
      <c r="D344" s="47"/>
    </row>
    <row r="345" spans="1:4" ht="12.75" customHeight="1">
      <c r="A345" s="33"/>
      <c r="B345" s="46"/>
      <c r="D345" s="47"/>
    </row>
    <row r="346" spans="1:4" ht="12.75" customHeight="1">
      <c r="A346" s="33"/>
      <c r="B346" s="46"/>
      <c r="D346" s="47"/>
    </row>
    <row r="347" spans="1:4" ht="12.75" customHeight="1">
      <c r="A347" s="33"/>
      <c r="B347" s="46"/>
      <c r="D347" s="47"/>
    </row>
    <row r="348" spans="1:4" ht="12.75" customHeight="1">
      <c r="A348" s="33"/>
      <c r="B348" s="46"/>
      <c r="D348" s="47"/>
    </row>
    <row r="349" spans="1:4" ht="12.75" customHeight="1">
      <c r="A349" s="33"/>
      <c r="B349" s="46"/>
      <c r="D349" s="47"/>
    </row>
    <row r="350" spans="1:4" ht="12.75" customHeight="1">
      <c r="A350" s="33"/>
      <c r="B350" s="46"/>
      <c r="D350" s="47"/>
    </row>
    <row r="351" spans="1:4" ht="12.75" customHeight="1">
      <c r="A351" s="33"/>
      <c r="B351" s="46"/>
      <c r="D351" s="47"/>
    </row>
    <row r="352" spans="1:4" ht="12.75" customHeight="1">
      <c r="A352" s="33"/>
      <c r="B352" s="46"/>
      <c r="D352" s="47"/>
    </row>
    <row r="353" spans="1:4" ht="12.75" customHeight="1">
      <c r="A353" s="33"/>
      <c r="B353" s="46"/>
      <c r="D353" s="47"/>
    </row>
    <row r="354" spans="1:4" ht="12.75" customHeight="1">
      <c r="A354" s="33"/>
      <c r="B354" s="46"/>
      <c r="D354" s="47"/>
    </row>
    <row r="355" spans="1:4" ht="12.75" customHeight="1">
      <c r="A355" s="33"/>
      <c r="B355" s="46"/>
      <c r="D355" s="47"/>
    </row>
    <row r="356" spans="1:4" ht="12.75" customHeight="1">
      <c r="A356" s="33"/>
      <c r="B356" s="46"/>
      <c r="D356" s="47"/>
    </row>
    <row r="357" spans="1:4" ht="12.75" customHeight="1">
      <c r="A357" s="33"/>
      <c r="B357" s="46"/>
      <c r="D357" s="47"/>
    </row>
    <row r="358" spans="1:4" ht="12.75" customHeight="1">
      <c r="A358" s="33"/>
      <c r="B358" s="46"/>
      <c r="D358" s="47"/>
    </row>
    <row r="359" spans="1:4" ht="12.75" customHeight="1">
      <c r="A359" s="33"/>
      <c r="B359" s="46"/>
      <c r="D359" s="47"/>
    </row>
    <row r="360" spans="1:4" ht="12.75" customHeight="1">
      <c r="A360" s="33"/>
      <c r="B360" s="46"/>
      <c r="D360" s="47"/>
    </row>
    <row r="361" spans="1:4" ht="12.75" customHeight="1">
      <c r="A361" s="33"/>
      <c r="B361" s="46"/>
      <c r="D361" s="47"/>
    </row>
    <row r="362" spans="1:4" ht="12.75" customHeight="1">
      <c r="A362" s="33"/>
      <c r="B362" s="46"/>
      <c r="D362" s="47"/>
    </row>
    <row r="363" spans="1:4" ht="12.75" customHeight="1">
      <c r="A363" s="33"/>
      <c r="B363" s="46"/>
      <c r="D363" s="47"/>
    </row>
    <row r="364" spans="1:4" ht="12.75" customHeight="1">
      <c r="A364" s="33"/>
      <c r="B364" s="46"/>
      <c r="D364" s="47"/>
    </row>
    <row r="365" spans="1:4" ht="12.75" customHeight="1">
      <c r="A365" s="33"/>
      <c r="B365" s="46"/>
      <c r="D365" s="47"/>
    </row>
    <row r="366" spans="1:4" ht="12.75" customHeight="1">
      <c r="A366" s="33"/>
      <c r="B366" s="46"/>
      <c r="D366" s="47"/>
    </row>
    <row r="367" spans="1:4" ht="12.75" customHeight="1">
      <c r="A367" s="33"/>
      <c r="B367" s="46"/>
      <c r="D367" s="47"/>
    </row>
    <row r="368" spans="1:4" ht="12.75" customHeight="1">
      <c r="A368" s="33"/>
      <c r="B368" s="46"/>
      <c r="D368" s="47"/>
    </row>
    <row r="369" spans="1:4" ht="12.75" customHeight="1">
      <c r="A369" s="33"/>
      <c r="B369" s="46"/>
      <c r="D369" s="47"/>
    </row>
    <row r="370" spans="1:4" ht="12.75" customHeight="1">
      <c r="A370" s="33"/>
      <c r="B370" s="46"/>
      <c r="D370" s="47"/>
    </row>
    <row r="371" spans="1:4" ht="12.75" customHeight="1">
      <c r="A371" s="33"/>
      <c r="B371" s="46"/>
      <c r="D371" s="47"/>
    </row>
    <row r="372" spans="1:4" ht="12.75" customHeight="1">
      <c r="A372" s="33"/>
      <c r="B372" s="46"/>
      <c r="D372" s="47"/>
    </row>
    <row r="373" spans="1:4" ht="12.75" customHeight="1">
      <c r="A373" s="33"/>
      <c r="B373" s="46"/>
      <c r="D373" s="47"/>
    </row>
    <row r="374" spans="1:4" ht="12.75" customHeight="1">
      <c r="A374" s="33"/>
      <c r="B374" s="46"/>
      <c r="D374" s="47"/>
    </row>
    <row r="375" spans="1:4" ht="12.75" customHeight="1">
      <c r="A375" s="33"/>
      <c r="B375" s="46"/>
      <c r="D375" s="47"/>
    </row>
    <row r="376" spans="1:4" ht="12.75" customHeight="1">
      <c r="A376" s="33"/>
      <c r="B376" s="46"/>
      <c r="D376" s="47"/>
    </row>
    <row r="377" spans="1:4" ht="12.75" customHeight="1">
      <c r="A377" s="33"/>
      <c r="B377" s="46"/>
      <c r="D377" s="47"/>
    </row>
    <row r="378" spans="1:4" ht="12.75" customHeight="1">
      <c r="A378" s="33"/>
      <c r="B378" s="46"/>
      <c r="D378" s="47"/>
    </row>
    <row r="379" spans="1:4" ht="12.75" customHeight="1">
      <c r="A379" s="33"/>
      <c r="B379" s="46"/>
      <c r="D379" s="47"/>
    </row>
    <row r="380" spans="1:4" ht="12.75" customHeight="1">
      <c r="A380" s="33"/>
      <c r="B380" s="46"/>
      <c r="D380" s="47"/>
    </row>
    <row r="381" spans="1:4" ht="12.75" customHeight="1">
      <c r="A381" s="33"/>
      <c r="B381" s="46"/>
      <c r="D381" s="47"/>
    </row>
    <row r="382" spans="1:4" ht="12.75" customHeight="1">
      <c r="A382" s="33"/>
      <c r="B382" s="46"/>
      <c r="D382" s="47"/>
    </row>
    <row r="383" spans="1:4" ht="12.75" customHeight="1">
      <c r="A383" s="33"/>
      <c r="B383" s="46"/>
      <c r="D383" s="47"/>
    </row>
    <row r="384" spans="1:4" ht="12.75" customHeight="1">
      <c r="A384" s="33"/>
      <c r="B384" s="46"/>
      <c r="D384" s="47"/>
    </row>
    <row r="385" spans="1:4" ht="12.75" customHeight="1">
      <c r="A385" s="33"/>
      <c r="B385" s="46"/>
      <c r="D385" s="47"/>
    </row>
    <row r="386" spans="1:4" ht="12.75" customHeight="1">
      <c r="A386" s="33"/>
      <c r="B386" s="46"/>
      <c r="D386" s="47"/>
    </row>
    <row r="387" spans="1:4" ht="12.75" customHeight="1">
      <c r="A387" s="33"/>
      <c r="B387" s="46"/>
      <c r="D387" s="47"/>
    </row>
    <row r="388" spans="1:4" ht="12.75" customHeight="1">
      <c r="A388" s="33"/>
      <c r="B388" s="46"/>
      <c r="D388" s="47"/>
    </row>
    <row r="389" spans="1:4" ht="12.75" customHeight="1">
      <c r="A389" s="33"/>
      <c r="B389" s="46"/>
      <c r="D389" s="47"/>
    </row>
    <row r="390" spans="1:4" ht="12.75" customHeight="1">
      <c r="A390" s="33"/>
      <c r="B390" s="46"/>
      <c r="D390" s="47"/>
    </row>
    <row r="391" spans="1:4" ht="12.75" customHeight="1">
      <c r="A391" s="33"/>
      <c r="B391" s="46"/>
      <c r="D391" s="47"/>
    </row>
    <row r="392" spans="1:4" ht="12.75" customHeight="1">
      <c r="A392" s="33"/>
      <c r="B392" s="46"/>
      <c r="D392" s="47"/>
    </row>
    <row r="393" spans="1:4" ht="12.75" customHeight="1">
      <c r="A393" s="33"/>
      <c r="B393" s="46"/>
      <c r="D393" s="47"/>
    </row>
    <row r="394" spans="1:4" ht="12.75" customHeight="1">
      <c r="A394" s="33"/>
      <c r="B394" s="46"/>
      <c r="D394" s="47"/>
    </row>
    <row r="395" spans="1:4" ht="12.75" customHeight="1">
      <c r="A395" s="33"/>
      <c r="B395" s="46"/>
      <c r="D395" s="47"/>
    </row>
    <row r="396" spans="1:4" ht="12.75" customHeight="1">
      <c r="A396" s="33"/>
      <c r="B396" s="46"/>
      <c r="D396" s="47"/>
    </row>
    <row r="397" spans="1:4" ht="12.75" customHeight="1">
      <c r="A397" s="33"/>
      <c r="B397" s="46"/>
      <c r="D397" s="47"/>
    </row>
    <row r="398" spans="1:4" ht="12.75" customHeight="1">
      <c r="A398" s="33"/>
      <c r="B398" s="46"/>
      <c r="D398" s="47"/>
    </row>
    <row r="399" spans="1:4" ht="12.75" customHeight="1">
      <c r="A399" s="33"/>
      <c r="B399" s="46"/>
      <c r="D399" s="47"/>
    </row>
    <row r="400" spans="1:4" ht="12.75" customHeight="1">
      <c r="A400" s="33"/>
      <c r="B400" s="46"/>
      <c r="D400" s="47"/>
    </row>
    <row r="401" spans="1:4" ht="12.75" customHeight="1">
      <c r="A401" s="33"/>
      <c r="B401" s="46"/>
      <c r="D401" s="47"/>
    </row>
    <row r="402" spans="1:4" ht="12.75" customHeight="1">
      <c r="A402" s="33"/>
      <c r="B402" s="46"/>
      <c r="D402" s="47"/>
    </row>
    <row r="403" spans="1:4" ht="12.75" customHeight="1">
      <c r="A403" s="33"/>
      <c r="B403" s="46"/>
      <c r="D403" s="47"/>
    </row>
    <row r="404" spans="1:4" ht="12.75" customHeight="1">
      <c r="A404" s="33"/>
      <c r="B404" s="46"/>
      <c r="D404" s="47"/>
    </row>
    <row r="405" spans="1:4" ht="12.75" customHeight="1">
      <c r="A405" s="33"/>
      <c r="B405" s="46"/>
      <c r="D405" s="47"/>
    </row>
    <row r="406" spans="1:4" ht="12.75" customHeight="1">
      <c r="A406" s="33"/>
      <c r="B406" s="46"/>
      <c r="D406" s="47"/>
    </row>
    <row r="407" spans="1:4" ht="12.75" customHeight="1">
      <c r="A407" s="33"/>
      <c r="B407" s="46"/>
      <c r="D407" s="47"/>
    </row>
    <row r="408" spans="1:4" ht="12.75" customHeight="1">
      <c r="A408" s="33"/>
      <c r="B408" s="46"/>
      <c r="D408" s="47"/>
    </row>
    <row r="409" spans="1:4" ht="12.75" customHeight="1">
      <c r="A409" s="33"/>
      <c r="B409" s="46"/>
      <c r="D409" s="47"/>
    </row>
    <row r="410" spans="1:4" ht="12.75" customHeight="1">
      <c r="A410" s="33"/>
      <c r="B410" s="46"/>
      <c r="D410" s="47"/>
    </row>
    <row r="411" spans="1:4" ht="12.75" customHeight="1">
      <c r="A411" s="33"/>
      <c r="B411" s="46"/>
      <c r="D411" s="47"/>
    </row>
    <row r="412" spans="1:4" ht="12.75" customHeight="1">
      <c r="A412" s="33"/>
      <c r="B412" s="46"/>
      <c r="D412" s="47"/>
    </row>
    <row r="413" spans="1:4" ht="12.75" customHeight="1">
      <c r="A413" s="33"/>
      <c r="B413" s="46"/>
      <c r="D413" s="47"/>
    </row>
    <row r="414" spans="1:4" ht="12.75" customHeight="1">
      <c r="A414" s="33"/>
      <c r="B414" s="46"/>
      <c r="D414" s="47"/>
    </row>
    <row r="415" spans="1:4" ht="12.75" customHeight="1">
      <c r="A415" s="33"/>
      <c r="B415" s="46"/>
      <c r="D415" s="47"/>
    </row>
    <row r="416" spans="1:4" ht="12.75" customHeight="1">
      <c r="A416" s="33"/>
      <c r="B416" s="46"/>
      <c r="D416" s="47"/>
    </row>
    <row r="417" spans="1:4" ht="12.75" customHeight="1">
      <c r="A417" s="33"/>
      <c r="B417" s="46"/>
      <c r="D417" s="47"/>
    </row>
    <row r="418" spans="1:4" ht="12.75" customHeight="1">
      <c r="A418" s="33"/>
      <c r="B418" s="46"/>
      <c r="D418" s="47"/>
    </row>
    <row r="419" spans="1:4" ht="12.75" customHeight="1">
      <c r="A419" s="33"/>
      <c r="B419" s="46"/>
      <c r="D419" s="47"/>
    </row>
    <row r="420" spans="1:4" ht="12.75" customHeight="1">
      <c r="A420" s="33"/>
      <c r="B420" s="46"/>
      <c r="D420" s="47"/>
    </row>
    <row r="421" spans="1:4" ht="12.75" customHeight="1">
      <c r="A421" s="33"/>
      <c r="B421" s="46"/>
      <c r="D421" s="47"/>
    </row>
    <row r="422" spans="1:4" ht="12.75" customHeight="1">
      <c r="A422" s="33"/>
      <c r="B422" s="46"/>
      <c r="D422" s="47"/>
    </row>
    <row r="423" spans="1:4" ht="12.75" customHeight="1">
      <c r="A423" s="33"/>
      <c r="B423" s="46"/>
      <c r="D423" s="47"/>
    </row>
    <row r="424" spans="1:4" ht="12.75" customHeight="1">
      <c r="A424" s="33"/>
      <c r="B424" s="46"/>
      <c r="D424" s="47"/>
    </row>
    <row r="425" spans="1:4" ht="12.75" customHeight="1">
      <c r="A425" s="33"/>
      <c r="B425" s="46"/>
      <c r="D425" s="47"/>
    </row>
    <row r="426" spans="1:4" ht="12.75" customHeight="1">
      <c r="A426" s="33"/>
      <c r="B426" s="46"/>
      <c r="D426" s="47"/>
    </row>
    <row r="427" spans="1:4" ht="12.75" customHeight="1">
      <c r="A427" s="33"/>
      <c r="B427" s="46"/>
      <c r="D427" s="47"/>
    </row>
    <row r="428" spans="1:4" ht="12.75" customHeight="1">
      <c r="A428" s="33"/>
      <c r="B428" s="46"/>
      <c r="D428" s="47"/>
    </row>
    <row r="429" spans="1:4" ht="12.75" customHeight="1">
      <c r="A429" s="33"/>
      <c r="B429" s="46"/>
      <c r="D429" s="47"/>
    </row>
    <row r="430" spans="1:4" ht="12.75" customHeight="1">
      <c r="A430" s="33"/>
      <c r="B430" s="46"/>
      <c r="D430" s="47"/>
    </row>
    <row r="431" spans="1:4" ht="12.75" customHeight="1">
      <c r="A431" s="33"/>
      <c r="B431" s="46"/>
      <c r="D431" s="47"/>
    </row>
    <row r="432" spans="1:4" ht="12.75" customHeight="1">
      <c r="A432" s="33"/>
      <c r="B432" s="46"/>
      <c r="D432" s="47"/>
    </row>
    <row r="433" spans="1:4" ht="12.75" customHeight="1">
      <c r="A433" s="33"/>
      <c r="B433" s="46"/>
      <c r="D433" s="47"/>
    </row>
    <row r="434" spans="1:4" ht="12.75" customHeight="1">
      <c r="A434" s="33"/>
      <c r="B434" s="46"/>
      <c r="D434" s="47"/>
    </row>
    <row r="435" spans="1:4" ht="12.75" customHeight="1">
      <c r="A435" s="33"/>
      <c r="B435" s="46"/>
      <c r="D435" s="47"/>
    </row>
    <row r="436" spans="1:4" ht="12.75" customHeight="1">
      <c r="A436" s="33"/>
      <c r="B436" s="46"/>
      <c r="D436" s="47"/>
    </row>
    <row r="437" spans="1:4" ht="12.75" customHeight="1">
      <c r="A437" s="33"/>
      <c r="B437" s="46"/>
      <c r="D437" s="47"/>
    </row>
    <row r="438" spans="1:4" ht="12.75" customHeight="1">
      <c r="A438" s="33"/>
      <c r="B438" s="46"/>
      <c r="D438" s="47"/>
    </row>
    <row r="439" spans="1:4" ht="12.75" customHeight="1">
      <c r="A439" s="33"/>
      <c r="B439" s="46"/>
      <c r="D439" s="47"/>
    </row>
    <row r="440" spans="1:4" ht="12.75" customHeight="1">
      <c r="A440" s="33"/>
      <c r="B440" s="46"/>
      <c r="D440" s="47"/>
    </row>
    <row r="441" spans="1:4" ht="12.75" customHeight="1">
      <c r="A441" s="33"/>
      <c r="B441" s="46"/>
      <c r="D441" s="47"/>
    </row>
    <row r="442" spans="1:4" ht="12.75" customHeight="1">
      <c r="A442" s="33"/>
      <c r="B442" s="46"/>
      <c r="D442" s="47"/>
    </row>
    <row r="443" spans="1:4" ht="12.75" customHeight="1">
      <c r="A443" s="33"/>
      <c r="B443" s="46"/>
      <c r="D443" s="47"/>
    </row>
    <row r="444" spans="1:4" ht="12.75" customHeight="1">
      <c r="A444" s="33"/>
      <c r="B444" s="46"/>
      <c r="D444" s="47"/>
    </row>
    <row r="445" spans="1:4" ht="12.75" customHeight="1">
      <c r="A445" s="33"/>
      <c r="B445" s="46"/>
      <c r="D445" s="47"/>
    </row>
    <row r="446" spans="1:4" ht="12.75" customHeight="1">
      <c r="A446" s="33"/>
      <c r="B446" s="46"/>
      <c r="D446" s="47"/>
    </row>
    <row r="447" spans="1:4" ht="12.75" customHeight="1">
      <c r="A447" s="33"/>
      <c r="B447" s="46"/>
      <c r="D447" s="47"/>
    </row>
    <row r="448" spans="1:4" ht="12.75" customHeight="1">
      <c r="A448" s="33"/>
      <c r="B448" s="46"/>
      <c r="D448" s="47"/>
    </row>
    <row r="449" spans="1:4" ht="12.75" customHeight="1">
      <c r="A449" s="33"/>
      <c r="B449" s="46"/>
      <c r="D449" s="47"/>
    </row>
    <row r="450" spans="1:4" ht="12.75" customHeight="1">
      <c r="A450" s="33"/>
      <c r="B450" s="46"/>
      <c r="D450" s="47"/>
    </row>
    <row r="451" spans="1:4" ht="12.75" customHeight="1">
      <c r="A451" s="33"/>
      <c r="B451" s="46"/>
      <c r="D451" s="47"/>
    </row>
    <row r="452" spans="1:4" ht="12.75" customHeight="1">
      <c r="A452" s="33"/>
      <c r="B452" s="46"/>
      <c r="D452" s="47"/>
    </row>
    <row r="453" spans="1:4" ht="12.75" customHeight="1">
      <c r="A453" s="33"/>
      <c r="B453" s="46"/>
      <c r="D453" s="47"/>
    </row>
    <row r="454" spans="1:4" ht="12.75" customHeight="1">
      <c r="A454" s="33"/>
      <c r="B454" s="46"/>
      <c r="D454" s="47"/>
    </row>
    <row r="455" spans="1:4" ht="12.75" customHeight="1">
      <c r="A455" s="33"/>
      <c r="B455" s="46"/>
      <c r="D455" s="47"/>
    </row>
    <row r="456" spans="1:4" ht="12.75" customHeight="1">
      <c r="A456" s="33"/>
      <c r="B456" s="46"/>
      <c r="D456" s="47"/>
    </row>
    <row r="457" spans="1:4" ht="12.75" customHeight="1">
      <c r="A457" s="33"/>
      <c r="B457" s="46"/>
      <c r="D457" s="47"/>
    </row>
    <row r="458" spans="1:4" ht="12.75" customHeight="1">
      <c r="A458" s="33"/>
      <c r="B458" s="46"/>
      <c r="D458" s="47"/>
    </row>
    <row r="459" spans="1:4" ht="12.75" customHeight="1">
      <c r="A459" s="33"/>
      <c r="B459" s="46"/>
      <c r="D459" s="47"/>
    </row>
    <row r="460" spans="1:4" ht="12.75" customHeight="1">
      <c r="A460" s="33"/>
      <c r="B460" s="46"/>
      <c r="D460" s="47"/>
    </row>
    <row r="461" spans="1:4" ht="12.75" customHeight="1">
      <c r="A461" s="33"/>
      <c r="B461" s="46"/>
      <c r="D461" s="47"/>
    </row>
    <row r="462" spans="1:4" ht="12.75" customHeight="1">
      <c r="A462" s="33"/>
      <c r="B462" s="46"/>
      <c r="D462" s="47"/>
    </row>
    <row r="463" spans="1:4" ht="12.75" customHeight="1">
      <c r="A463" s="33"/>
      <c r="B463" s="46"/>
      <c r="D463" s="47"/>
    </row>
    <row r="464" spans="1:4" ht="12.75" customHeight="1">
      <c r="A464" s="33"/>
      <c r="B464" s="46"/>
      <c r="D464" s="47"/>
    </row>
    <row r="465" spans="1:4" ht="12.75" customHeight="1">
      <c r="A465" s="33"/>
      <c r="B465" s="46"/>
      <c r="D465" s="47"/>
    </row>
    <row r="466" spans="1:4" ht="12.75" customHeight="1">
      <c r="A466" s="33"/>
      <c r="B466" s="46"/>
      <c r="D466" s="47"/>
    </row>
    <row r="467" spans="1:4" ht="12.75" customHeight="1">
      <c r="A467" s="33"/>
      <c r="B467" s="46"/>
      <c r="D467" s="47"/>
    </row>
    <row r="468" spans="1:4" ht="12.75" customHeight="1">
      <c r="A468" s="33"/>
      <c r="B468" s="46"/>
      <c r="D468" s="47"/>
    </row>
    <row r="469" spans="1:4" ht="12.75" customHeight="1">
      <c r="A469" s="33"/>
      <c r="B469" s="46"/>
      <c r="D469" s="47"/>
    </row>
    <row r="470" spans="1:4" ht="12.75" customHeight="1">
      <c r="A470" s="33"/>
      <c r="B470" s="46"/>
      <c r="D470" s="47"/>
    </row>
    <row r="471" spans="1:4" ht="12.75" customHeight="1">
      <c r="A471" s="33"/>
      <c r="B471" s="46"/>
      <c r="D471" s="47"/>
    </row>
    <row r="472" spans="1:4" ht="12.75" customHeight="1">
      <c r="A472" s="33"/>
      <c r="B472" s="46"/>
      <c r="D472" s="47"/>
    </row>
    <row r="473" spans="1:4" ht="12.75" customHeight="1">
      <c r="A473" s="33"/>
      <c r="B473" s="46"/>
      <c r="D473" s="47"/>
    </row>
    <row r="474" spans="1:4" ht="12.75" customHeight="1">
      <c r="A474" s="33"/>
      <c r="B474" s="46"/>
      <c r="D474" s="47"/>
    </row>
    <row r="475" spans="1:4" ht="12.75" customHeight="1">
      <c r="A475" s="33"/>
      <c r="B475" s="46"/>
      <c r="D475" s="47"/>
    </row>
    <row r="476" spans="1:4" ht="12.75" customHeight="1">
      <c r="A476" s="33"/>
      <c r="B476" s="46"/>
      <c r="D476" s="47"/>
    </row>
    <row r="477" spans="1:4" ht="12.75" customHeight="1">
      <c r="A477" s="33"/>
      <c r="B477" s="46"/>
      <c r="D477" s="47"/>
    </row>
    <row r="478" spans="1:4" ht="12.75" customHeight="1">
      <c r="A478" s="33"/>
      <c r="B478" s="46"/>
      <c r="D478" s="47"/>
    </row>
    <row r="479" spans="1:4" ht="12.75" customHeight="1">
      <c r="A479" s="33"/>
      <c r="B479" s="46"/>
      <c r="D479" s="47"/>
    </row>
    <row r="480" spans="1:4" ht="12.75" customHeight="1">
      <c r="A480" s="33"/>
      <c r="B480" s="46"/>
      <c r="D480" s="47"/>
    </row>
    <row r="481" spans="1:4" ht="12.75" customHeight="1">
      <c r="A481" s="33"/>
      <c r="B481" s="46"/>
      <c r="D481" s="47"/>
    </row>
    <row r="482" spans="1:4" ht="12.75" customHeight="1">
      <c r="A482" s="33"/>
      <c r="B482" s="46"/>
      <c r="D482" s="47"/>
    </row>
    <row r="483" spans="1:4" ht="12.75" customHeight="1">
      <c r="A483" s="33"/>
      <c r="B483" s="46"/>
      <c r="D483" s="47"/>
    </row>
    <row r="484" spans="1:4" ht="12.75" customHeight="1">
      <c r="A484" s="33"/>
      <c r="B484" s="46"/>
      <c r="D484" s="47"/>
    </row>
    <row r="485" spans="1:4" ht="12.75" customHeight="1">
      <c r="A485" s="33"/>
      <c r="B485" s="46"/>
      <c r="D485" s="47"/>
    </row>
    <row r="486" spans="1:4" ht="12.75" customHeight="1">
      <c r="A486" s="33"/>
      <c r="B486" s="46"/>
      <c r="D486" s="47"/>
    </row>
    <row r="487" spans="1:4" ht="12.75" customHeight="1">
      <c r="A487" s="33"/>
      <c r="B487" s="46"/>
      <c r="D487" s="47"/>
    </row>
    <row r="488" spans="1:4" ht="12.75" customHeight="1">
      <c r="A488" s="33"/>
      <c r="B488" s="46"/>
      <c r="D488" s="47"/>
    </row>
    <row r="489" spans="1:4" ht="12.75" customHeight="1">
      <c r="A489" s="33"/>
      <c r="B489" s="46"/>
      <c r="D489" s="47"/>
    </row>
    <row r="490" spans="1:4" ht="12.75" customHeight="1">
      <c r="A490" s="33"/>
      <c r="B490" s="46"/>
      <c r="D490" s="47"/>
    </row>
    <row r="491" spans="1:4" ht="12.75" customHeight="1">
      <c r="A491" s="33"/>
      <c r="B491" s="46"/>
      <c r="D491" s="47"/>
    </row>
    <row r="492" spans="1:4" ht="12.75" customHeight="1">
      <c r="A492" s="33"/>
      <c r="B492" s="46"/>
      <c r="D492" s="47"/>
    </row>
    <row r="493" spans="1:4" ht="12.75" customHeight="1">
      <c r="A493" s="33"/>
      <c r="B493" s="46"/>
      <c r="D493" s="47"/>
    </row>
    <row r="494" spans="1:4" ht="12.75" customHeight="1">
      <c r="A494" s="33"/>
      <c r="B494" s="46"/>
      <c r="D494" s="47"/>
    </row>
    <row r="495" spans="1:4" ht="12.75" customHeight="1">
      <c r="A495" s="33"/>
      <c r="B495" s="46"/>
      <c r="D495" s="47"/>
    </row>
    <row r="496" spans="1:4" ht="12.75" customHeight="1">
      <c r="A496" s="33"/>
      <c r="B496" s="46"/>
      <c r="D496" s="47"/>
    </row>
    <row r="497" spans="1:4" ht="12.75" customHeight="1">
      <c r="A497" s="33"/>
      <c r="B497" s="46"/>
      <c r="D497" s="47"/>
    </row>
    <row r="498" spans="1:4" ht="12.75" customHeight="1">
      <c r="A498" s="33"/>
      <c r="B498" s="46"/>
      <c r="D498" s="47"/>
    </row>
    <row r="499" spans="1:4" ht="12.75" customHeight="1">
      <c r="A499" s="33"/>
      <c r="B499" s="46"/>
      <c r="D499" s="47"/>
    </row>
    <row r="500" spans="1:4" ht="12.75" customHeight="1">
      <c r="A500" s="33"/>
      <c r="B500" s="46"/>
      <c r="D500" s="47"/>
    </row>
    <row r="501" spans="1:4" ht="12.75" customHeight="1">
      <c r="A501" s="33"/>
      <c r="B501" s="46"/>
      <c r="D501" s="47"/>
    </row>
    <row r="502" spans="1:4" ht="12.75" customHeight="1">
      <c r="A502" s="33"/>
      <c r="B502" s="46"/>
      <c r="D502" s="47"/>
    </row>
    <row r="503" spans="1:4" ht="12.75" customHeight="1">
      <c r="A503" s="33"/>
      <c r="B503" s="46"/>
      <c r="D503" s="47"/>
    </row>
    <row r="504" spans="1:4" ht="12.75" customHeight="1">
      <c r="A504" s="33"/>
      <c r="B504" s="46"/>
      <c r="D504" s="47"/>
    </row>
    <row r="505" spans="1:4" ht="12.75" customHeight="1">
      <c r="A505" s="33"/>
      <c r="B505" s="46"/>
      <c r="D505" s="47"/>
    </row>
    <row r="506" spans="1:4" ht="12.75" customHeight="1">
      <c r="A506" s="33"/>
      <c r="B506" s="46"/>
      <c r="D506" s="47"/>
    </row>
    <row r="507" spans="1:4" ht="12.75" customHeight="1">
      <c r="A507" s="33"/>
      <c r="B507" s="46"/>
      <c r="D507" s="47"/>
    </row>
    <row r="508" spans="1:4" ht="12.75" customHeight="1">
      <c r="A508" s="33"/>
      <c r="B508" s="46"/>
      <c r="D508" s="47"/>
    </row>
    <row r="509" spans="1:4" ht="12.75" customHeight="1">
      <c r="A509" s="33"/>
      <c r="B509" s="46"/>
      <c r="D509" s="47"/>
    </row>
    <row r="510" spans="1:4" ht="12.75" customHeight="1">
      <c r="A510" s="33"/>
      <c r="B510" s="46"/>
      <c r="D510" s="47"/>
    </row>
    <row r="511" spans="1:4" ht="12.75" customHeight="1">
      <c r="A511" s="33"/>
      <c r="B511" s="46"/>
      <c r="D511" s="47"/>
    </row>
    <row r="512" spans="1:4" ht="12.75" customHeight="1">
      <c r="A512" s="33"/>
      <c r="B512" s="46"/>
      <c r="D512" s="47"/>
    </row>
    <row r="513" spans="1:4" ht="12.75" customHeight="1">
      <c r="A513" s="33"/>
      <c r="B513" s="46"/>
      <c r="D513" s="47"/>
    </row>
    <row r="514" spans="1:4" ht="12.75" customHeight="1">
      <c r="A514" s="33"/>
      <c r="B514" s="46"/>
      <c r="D514" s="47"/>
    </row>
    <row r="515" spans="1:4" ht="12.75" customHeight="1">
      <c r="A515" s="33"/>
      <c r="B515" s="46"/>
      <c r="D515" s="47"/>
    </row>
    <row r="516" spans="1:4" ht="12.75" customHeight="1">
      <c r="A516" s="33"/>
      <c r="B516" s="46"/>
      <c r="D516" s="47"/>
    </row>
    <row r="517" spans="1:4" ht="12.75" customHeight="1">
      <c r="A517" s="33"/>
      <c r="B517" s="46"/>
      <c r="D517" s="47"/>
    </row>
    <row r="518" spans="1:4" ht="12.75" customHeight="1">
      <c r="A518" s="33"/>
      <c r="B518" s="46"/>
      <c r="D518" s="47"/>
    </row>
    <row r="519" spans="1:4" ht="12.75" customHeight="1">
      <c r="A519" s="33"/>
      <c r="B519" s="46"/>
      <c r="D519" s="47"/>
    </row>
    <row r="520" spans="1:4" ht="12.75" customHeight="1">
      <c r="A520" s="33"/>
      <c r="B520" s="46"/>
      <c r="D520" s="47"/>
    </row>
    <row r="521" spans="1:4" ht="12.75" customHeight="1">
      <c r="A521" s="33"/>
      <c r="B521" s="46"/>
      <c r="D521" s="47"/>
    </row>
    <row r="522" spans="1:4" ht="12.75" customHeight="1">
      <c r="A522" s="33"/>
      <c r="B522" s="46"/>
      <c r="D522" s="47"/>
    </row>
    <row r="523" spans="1:4" ht="12.75" customHeight="1">
      <c r="A523" s="33"/>
      <c r="B523" s="46"/>
      <c r="D523" s="47"/>
    </row>
    <row r="524" spans="1:4" ht="12.75" customHeight="1">
      <c r="A524" s="33"/>
      <c r="B524" s="46"/>
      <c r="D524" s="47"/>
    </row>
    <row r="525" spans="1:4" ht="12.75" customHeight="1">
      <c r="A525" s="33"/>
      <c r="B525" s="46"/>
      <c r="D525" s="47"/>
    </row>
    <row r="526" spans="1:4" ht="12.75" customHeight="1">
      <c r="A526" s="33"/>
      <c r="B526" s="46"/>
      <c r="D526" s="47"/>
    </row>
    <row r="527" spans="1:4" ht="12.75" customHeight="1">
      <c r="A527" s="33"/>
      <c r="B527" s="46"/>
      <c r="D527" s="47"/>
    </row>
    <row r="528" spans="1:4" ht="12.75" customHeight="1">
      <c r="A528" s="33"/>
      <c r="B528" s="46"/>
      <c r="D528" s="47"/>
    </row>
    <row r="529" spans="1:4" ht="12.75" customHeight="1">
      <c r="A529" s="33"/>
      <c r="B529" s="46"/>
      <c r="D529" s="47"/>
    </row>
    <row r="530" spans="1:4" ht="12.75" customHeight="1">
      <c r="A530" s="33"/>
      <c r="B530" s="46"/>
      <c r="D530" s="47"/>
    </row>
    <row r="531" spans="1:4" ht="12.75" customHeight="1">
      <c r="A531" s="33"/>
      <c r="B531" s="46"/>
      <c r="D531" s="47"/>
    </row>
    <row r="532" spans="1:4" ht="12.75" customHeight="1">
      <c r="A532" s="33"/>
      <c r="B532" s="46"/>
      <c r="D532" s="47"/>
    </row>
    <row r="533" spans="1:4" ht="12.75" customHeight="1">
      <c r="A533" s="33"/>
      <c r="B533" s="46"/>
      <c r="D533" s="47"/>
    </row>
    <row r="534" spans="1:4" ht="12.75" customHeight="1">
      <c r="A534" s="33"/>
      <c r="B534" s="46"/>
      <c r="D534" s="47"/>
    </row>
    <row r="535" spans="1:4" ht="12.75" customHeight="1">
      <c r="A535" s="33"/>
      <c r="B535" s="46"/>
      <c r="D535" s="47"/>
    </row>
    <row r="536" spans="1:4" ht="12.75" customHeight="1">
      <c r="A536" s="33"/>
      <c r="B536" s="46"/>
      <c r="D536" s="47"/>
    </row>
    <row r="537" spans="1:4" ht="12.75" customHeight="1">
      <c r="A537" s="33"/>
      <c r="B537" s="46"/>
      <c r="D537" s="47"/>
    </row>
    <row r="538" spans="1:4" ht="12.75" customHeight="1">
      <c r="A538" s="33"/>
      <c r="B538" s="46"/>
      <c r="D538" s="47"/>
    </row>
    <row r="539" spans="1:4" ht="12.75" customHeight="1">
      <c r="A539" s="33"/>
      <c r="B539" s="46"/>
      <c r="D539" s="47"/>
    </row>
    <row r="540" spans="1:4" ht="12.75" customHeight="1">
      <c r="A540" s="33"/>
      <c r="B540" s="46"/>
      <c r="D540" s="47"/>
    </row>
    <row r="541" spans="1:4" ht="12.75" customHeight="1">
      <c r="A541" s="33"/>
      <c r="B541" s="46"/>
      <c r="D541" s="47"/>
    </row>
    <row r="542" spans="1:4" ht="12.75" customHeight="1">
      <c r="A542" s="33"/>
      <c r="B542" s="46"/>
      <c r="D542" s="47"/>
    </row>
    <row r="543" spans="1:4" ht="12.75" customHeight="1">
      <c r="A543" s="33"/>
      <c r="B543" s="46"/>
      <c r="D543" s="47"/>
    </row>
    <row r="544" spans="1:4" ht="12.75" customHeight="1">
      <c r="A544" s="33"/>
      <c r="B544" s="46"/>
      <c r="D544" s="47"/>
    </row>
    <row r="545" spans="1:4" ht="12.75" customHeight="1">
      <c r="A545" s="33"/>
      <c r="B545" s="46"/>
      <c r="D545" s="47"/>
    </row>
    <row r="546" spans="1:4" ht="12.75" customHeight="1">
      <c r="A546" s="33"/>
      <c r="B546" s="46"/>
      <c r="D546" s="47"/>
    </row>
    <row r="547" spans="1:4" ht="12.75" customHeight="1">
      <c r="A547" s="33"/>
      <c r="B547" s="46"/>
      <c r="D547" s="47"/>
    </row>
    <row r="548" spans="1:4" ht="12.75" customHeight="1">
      <c r="A548" s="33"/>
      <c r="B548" s="46"/>
      <c r="D548" s="47"/>
    </row>
    <row r="549" spans="1:4" ht="12.75" customHeight="1">
      <c r="A549" s="33"/>
      <c r="B549" s="46"/>
      <c r="D549" s="47"/>
    </row>
    <row r="550" spans="1:4" ht="12.75" customHeight="1">
      <c r="A550" s="33"/>
      <c r="B550" s="46"/>
      <c r="D550" s="47"/>
    </row>
    <row r="551" spans="1:4" ht="12.75" customHeight="1">
      <c r="A551" s="33"/>
      <c r="B551" s="46"/>
      <c r="D551" s="47"/>
    </row>
    <row r="552" spans="1:4" ht="12.75" customHeight="1">
      <c r="A552" s="33"/>
      <c r="B552" s="46"/>
      <c r="D552" s="47"/>
    </row>
    <row r="553" spans="1:4" ht="12.75" customHeight="1">
      <c r="A553" s="33"/>
      <c r="B553" s="46"/>
      <c r="D553" s="47"/>
    </row>
    <row r="554" spans="1:4" ht="12.75" customHeight="1">
      <c r="A554" s="33"/>
      <c r="B554" s="46"/>
      <c r="D554" s="47"/>
    </row>
    <row r="555" spans="1:4" ht="12.75" customHeight="1">
      <c r="A555" s="33"/>
      <c r="B555" s="46"/>
      <c r="D555" s="47"/>
    </row>
    <row r="556" spans="1:4" ht="12.75" customHeight="1">
      <c r="A556" s="33"/>
      <c r="B556" s="46"/>
      <c r="D556" s="47"/>
    </row>
    <row r="557" spans="1:4" ht="12.75" customHeight="1">
      <c r="A557" s="33"/>
      <c r="B557" s="46"/>
      <c r="D557" s="47"/>
    </row>
    <row r="558" spans="1:4" ht="12.75" customHeight="1">
      <c r="A558" s="33"/>
      <c r="B558" s="46"/>
      <c r="D558" s="47"/>
    </row>
    <row r="559" spans="1:4" ht="12.75" customHeight="1">
      <c r="A559" s="33"/>
      <c r="B559" s="46"/>
      <c r="D559" s="47"/>
    </row>
    <row r="560" spans="1:4" ht="12.75" customHeight="1">
      <c r="A560" s="33"/>
      <c r="B560" s="46"/>
      <c r="D560" s="47"/>
    </row>
    <row r="561" spans="1:4" ht="12.75" customHeight="1">
      <c r="A561" s="33"/>
      <c r="B561" s="46"/>
      <c r="D561" s="47"/>
    </row>
    <row r="562" spans="1:4" ht="12.75" customHeight="1">
      <c r="A562" s="33"/>
      <c r="B562" s="46"/>
      <c r="D562" s="47"/>
    </row>
    <row r="563" spans="1:4" ht="12.75" customHeight="1">
      <c r="A563" s="33"/>
      <c r="B563" s="46"/>
      <c r="D563" s="47"/>
    </row>
    <row r="564" spans="1:4" ht="12.75" customHeight="1">
      <c r="A564" s="33"/>
      <c r="B564" s="46"/>
      <c r="D564" s="47"/>
    </row>
    <row r="565" spans="1:4" ht="12.75" customHeight="1">
      <c r="A565" s="33"/>
      <c r="B565" s="46"/>
      <c r="D565" s="47"/>
    </row>
    <row r="566" spans="1:4" ht="12.75" customHeight="1">
      <c r="A566" s="33"/>
      <c r="B566" s="46"/>
      <c r="D566" s="47"/>
    </row>
    <row r="567" spans="1:4" ht="12.75" customHeight="1">
      <c r="A567" s="33"/>
      <c r="B567" s="46"/>
      <c r="D567" s="47"/>
    </row>
    <row r="568" spans="1:4" ht="12.75" customHeight="1">
      <c r="A568" s="33"/>
      <c r="B568" s="46"/>
      <c r="D568" s="47"/>
    </row>
    <row r="569" spans="1:4" ht="12.75" customHeight="1">
      <c r="A569" s="33"/>
      <c r="B569" s="46"/>
      <c r="D569" s="47"/>
    </row>
    <row r="570" spans="1:4" ht="12.75" customHeight="1">
      <c r="A570" s="33"/>
      <c r="B570" s="46"/>
      <c r="D570" s="47"/>
    </row>
    <row r="571" spans="1:4" ht="12.75" customHeight="1">
      <c r="A571" s="33"/>
      <c r="B571" s="46"/>
      <c r="D571" s="47"/>
    </row>
    <row r="572" spans="1:4" ht="12.75" customHeight="1">
      <c r="A572" s="33"/>
      <c r="B572" s="46"/>
      <c r="D572" s="47"/>
    </row>
    <row r="573" spans="1:4" ht="12.75" customHeight="1">
      <c r="A573" s="33"/>
      <c r="B573" s="46"/>
      <c r="D573" s="47"/>
    </row>
    <row r="574" spans="1:4" ht="12.75" customHeight="1">
      <c r="A574" s="33"/>
      <c r="B574" s="46"/>
      <c r="D574" s="47"/>
    </row>
    <row r="575" spans="1:4" ht="12.75" customHeight="1">
      <c r="A575" s="33"/>
      <c r="B575" s="46"/>
      <c r="D575" s="47"/>
    </row>
    <row r="576" spans="1:4" ht="12.75" customHeight="1">
      <c r="A576" s="33"/>
      <c r="B576" s="46"/>
      <c r="D576" s="47"/>
    </row>
    <row r="577" spans="1:4" ht="12.75" customHeight="1">
      <c r="A577" s="33"/>
      <c r="B577" s="46"/>
      <c r="D577" s="47"/>
    </row>
    <row r="578" spans="1:4" ht="12.75" customHeight="1">
      <c r="A578" s="33"/>
      <c r="B578" s="46"/>
      <c r="D578" s="47"/>
    </row>
    <row r="579" spans="1:4" ht="12.75" customHeight="1">
      <c r="A579" s="33"/>
      <c r="B579" s="46"/>
      <c r="D579" s="47"/>
    </row>
    <row r="580" spans="1:4" ht="12.75" customHeight="1">
      <c r="A580" s="33"/>
      <c r="B580" s="46"/>
      <c r="D580" s="47"/>
    </row>
    <row r="581" spans="1:4" ht="12.75" customHeight="1">
      <c r="A581" s="33"/>
      <c r="B581" s="46"/>
      <c r="D581" s="47"/>
    </row>
    <row r="582" spans="1:4" ht="12.75" customHeight="1">
      <c r="A582" s="33"/>
      <c r="B582" s="46"/>
      <c r="D582" s="47"/>
    </row>
    <row r="583" spans="1:4" ht="12.75" customHeight="1">
      <c r="A583" s="33"/>
      <c r="B583" s="46"/>
      <c r="D583" s="47"/>
    </row>
    <row r="584" spans="1:4" ht="12.75" customHeight="1">
      <c r="A584" s="33"/>
      <c r="B584" s="46"/>
      <c r="D584" s="47"/>
    </row>
    <row r="585" spans="1:4" ht="12.75" customHeight="1">
      <c r="A585" s="33"/>
      <c r="B585" s="46"/>
      <c r="D585" s="47"/>
    </row>
    <row r="586" spans="1:4" ht="12.75" customHeight="1">
      <c r="A586" s="33"/>
      <c r="B586" s="46"/>
      <c r="D586" s="47"/>
    </row>
    <row r="587" spans="1:4" ht="12.75" customHeight="1">
      <c r="A587" s="33"/>
      <c r="B587" s="46"/>
      <c r="D587" s="47"/>
    </row>
    <row r="588" spans="1:4" ht="12.75" customHeight="1">
      <c r="A588" s="33"/>
      <c r="B588" s="46"/>
      <c r="D588" s="47"/>
    </row>
    <row r="589" spans="1:4" ht="12.75" customHeight="1">
      <c r="A589" s="33"/>
      <c r="B589" s="46"/>
      <c r="D589" s="47"/>
    </row>
    <row r="590" spans="1:4" ht="12.75" customHeight="1">
      <c r="A590" s="33"/>
      <c r="B590" s="46"/>
      <c r="D590" s="47"/>
    </row>
    <row r="591" spans="1:4" ht="12.75" customHeight="1">
      <c r="A591" s="33"/>
      <c r="B591" s="46"/>
      <c r="D591" s="47"/>
    </row>
    <row r="592" spans="1:4" ht="12.75" customHeight="1">
      <c r="A592" s="33"/>
      <c r="B592" s="46"/>
      <c r="D592" s="47"/>
    </row>
    <row r="593" spans="1:4" ht="12.75" customHeight="1">
      <c r="A593" s="33"/>
      <c r="B593" s="46"/>
      <c r="D593" s="47"/>
    </row>
    <row r="594" spans="1:4" ht="12.75" customHeight="1">
      <c r="A594" s="33"/>
      <c r="B594" s="46"/>
      <c r="D594" s="47"/>
    </row>
    <row r="595" spans="1:4" ht="12.75" customHeight="1">
      <c r="A595" s="33"/>
      <c r="B595" s="46"/>
      <c r="D595" s="47"/>
    </row>
    <row r="596" spans="1:4" ht="12.75" customHeight="1">
      <c r="A596" s="33"/>
      <c r="B596" s="46"/>
      <c r="D596" s="47"/>
    </row>
    <row r="597" spans="1:4" ht="12.75" customHeight="1">
      <c r="A597" s="33"/>
      <c r="B597" s="46"/>
      <c r="D597" s="47"/>
    </row>
    <row r="598" spans="1:4" ht="12.75" customHeight="1">
      <c r="A598" s="33"/>
      <c r="B598" s="46"/>
      <c r="D598" s="47"/>
    </row>
    <row r="599" spans="1:4" ht="12.75" customHeight="1">
      <c r="A599" s="33"/>
      <c r="B599" s="46"/>
      <c r="D599" s="47"/>
    </row>
    <row r="600" spans="1:4" ht="12.75" customHeight="1">
      <c r="A600" s="33"/>
      <c r="B600" s="46"/>
      <c r="D600" s="47"/>
    </row>
    <row r="601" spans="1:4" ht="12.75" customHeight="1">
      <c r="A601" s="33"/>
      <c r="B601" s="46"/>
      <c r="D601" s="47"/>
    </row>
    <row r="602" spans="1:4" ht="12.75" customHeight="1">
      <c r="A602" s="33"/>
      <c r="B602" s="46"/>
      <c r="D602" s="47"/>
    </row>
    <row r="603" spans="1:4" ht="12.75" customHeight="1">
      <c r="A603" s="33"/>
      <c r="B603" s="46"/>
      <c r="D603" s="47"/>
    </row>
    <row r="604" spans="1:4" ht="12.75" customHeight="1">
      <c r="A604" s="33"/>
      <c r="B604" s="46"/>
      <c r="D604" s="47"/>
    </row>
    <row r="605" spans="1:4" ht="12.75" customHeight="1">
      <c r="A605" s="33"/>
      <c r="B605" s="46"/>
      <c r="D605" s="47"/>
    </row>
    <row r="606" spans="1:4" ht="12.75" customHeight="1">
      <c r="A606" s="33"/>
      <c r="B606" s="46"/>
      <c r="D606" s="47"/>
    </row>
    <row r="607" spans="1:4" ht="12.75" customHeight="1">
      <c r="A607" s="33"/>
      <c r="B607" s="46"/>
      <c r="D607" s="47"/>
    </row>
    <row r="608" spans="1:4" ht="12.75" customHeight="1">
      <c r="A608" s="33"/>
      <c r="B608" s="46"/>
      <c r="D608" s="47"/>
    </row>
    <row r="609" spans="1:4" ht="12.75" customHeight="1">
      <c r="A609" s="33"/>
      <c r="B609" s="46"/>
      <c r="D609" s="47"/>
    </row>
    <row r="610" spans="1:4" ht="12.75" customHeight="1">
      <c r="A610" s="33"/>
      <c r="B610" s="46"/>
      <c r="D610" s="47"/>
    </row>
    <row r="611" spans="1:4" ht="12.75" customHeight="1">
      <c r="A611" s="33"/>
      <c r="B611" s="46"/>
      <c r="D611" s="47"/>
    </row>
    <row r="612" spans="1:4" ht="12.75" customHeight="1">
      <c r="A612" s="33"/>
      <c r="B612" s="46"/>
      <c r="D612" s="47"/>
    </row>
    <row r="613" spans="1:4" ht="12.75" customHeight="1">
      <c r="A613" s="33"/>
      <c r="B613" s="46"/>
      <c r="D613" s="47"/>
    </row>
    <row r="614" spans="1:4" ht="12.75" customHeight="1">
      <c r="A614" s="33"/>
      <c r="B614" s="46"/>
      <c r="D614" s="47"/>
    </row>
    <row r="615" spans="1:4" ht="12.75" customHeight="1">
      <c r="A615" s="33"/>
      <c r="B615" s="46"/>
      <c r="D615" s="47"/>
    </row>
    <row r="616" spans="1:4" ht="12.75" customHeight="1">
      <c r="A616" s="33"/>
      <c r="B616" s="46"/>
      <c r="D616" s="47"/>
    </row>
    <row r="617" spans="1:4" ht="12.75" customHeight="1">
      <c r="A617" s="33"/>
      <c r="B617" s="46"/>
      <c r="D617" s="47"/>
    </row>
    <row r="618" spans="1:4" ht="12.75" customHeight="1">
      <c r="A618" s="33"/>
      <c r="B618" s="46"/>
      <c r="D618" s="47"/>
    </row>
    <row r="619" spans="1:4" ht="12.75" customHeight="1">
      <c r="A619" s="33"/>
      <c r="B619" s="46"/>
      <c r="D619" s="47"/>
    </row>
    <row r="620" spans="1:4" ht="12.75" customHeight="1">
      <c r="A620" s="33"/>
      <c r="B620" s="46"/>
      <c r="D620" s="47"/>
    </row>
    <row r="621" spans="1:4" ht="12.75" customHeight="1">
      <c r="A621" s="33"/>
      <c r="B621" s="46"/>
      <c r="D621" s="47"/>
    </row>
    <row r="622" spans="1:4" ht="12.75" customHeight="1">
      <c r="A622" s="33"/>
      <c r="B622" s="46"/>
      <c r="D622" s="47"/>
    </row>
    <row r="623" spans="1:4" ht="12.75" customHeight="1">
      <c r="A623" s="33"/>
      <c r="B623" s="46"/>
      <c r="D623" s="47"/>
    </row>
    <row r="624" spans="1:4" ht="12.75" customHeight="1">
      <c r="A624" s="33"/>
      <c r="B624" s="46"/>
      <c r="D624" s="47"/>
    </row>
    <row r="625" spans="1:4" ht="12.75" customHeight="1">
      <c r="A625" s="33"/>
      <c r="B625" s="46"/>
      <c r="D625" s="47"/>
    </row>
    <row r="626" spans="1:4" ht="12.75" customHeight="1">
      <c r="A626" s="33"/>
      <c r="B626" s="46"/>
      <c r="D626" s="47"/>
    </row>
    <row r="627" spans="1:4" ht="12.75" customHeight="1">
      <c r="A627" s="33"/>
      <c r="B627" s="46"/>
      <c r="D627" s="47"/>
    </row>
    <row r="628" spans="1:4" ht="12.75" customHeight="1">
      <c r="A628" s="33"/>
      <c r="B628" s="46"/>
      <c r="D628" s="47"/>
    </row>
    <row r="629" spans="1:4" ht="12.75" customHeight="1">
      <c r="A629" s="33"/>
      <c r="B629" s="46"/>
      <c r="D629" s="47"/>
    </row>
    <row r="630" spans="1:4" ht="12.75" customHeight="1">
      <c r="A630" s="33"/>
      <c r="B630" s="46"/>
      <c r="D630" s="47"/>
    </row>
    <row r="631" spans="1:4" ht="12.75" customHeight="1">
      <c r="A631" s="33"/>
      <c r="B631" s="46"/>
      <c r="D631" s="47"/>
    </row>
    <row r="632" spans="1:4" ht="12.75" customHeight="1">
      <c r="A632" s="33"/>
      <c r="B632" s="46"/>
      <c r="D632" s="47"/>
    </row>
    <row r="633" spans="1:4" ht="12.75" customHeight="1">
      <c r="A633" s="33"/>
      <c r="B633" s="46"/>
      <c r="D633" s="47"/>
    </row>
    <row r="634" spans="1:4" ht="12.75" customHeight="1">
      <c r="A634" s="33"/>
      <c r="B634" s="46"/>
      <c r="D634" s="47"/>
    </row>
    <row r="635" spans="1:4" ht="12.75" customHeight="1">
      <c r="A635" s="33"/>
      <c r="B635" s="46"/>
      <c r="D635" s="47"/>
    </row>
    <row r="636" spans="1:4" ht="12.75" customHeight="1">
      <c r="A636" s="33"/>
      <c r="B636" s="46"/>
      <c r="D636" s="47"/>
    </row>
    <row r="637" spans="1:4" ht="12.75" customHeight="1">
      <c r="A637" s="33"/>
      <c r="B637" s="46"/>
      <c r="D637" s="47"/>
    </row>
    <row r="638" spans="1:4" ht="12.75" customHeight="1">
      <c r="A638" s="33"/>
      <c r="B638" s="46"/>
      <c r="D638" s="47"/>
    </row>
    <row r="639" spans="1:4" ht="12.75" customHeight="1">
      <c r="A639" s="33"/>
      <c r="B639" s="46"/>
      <c r="D639" s="47"/>
    </row>
    <row r="640" spans="1:4" ht="12.75" customHeight="1">
      <c r="A640" s="33"/>
      <c r="B640" s="46"/>
      <c r="D640" s="47"/>
    </row>
    <row r="641" spans="1:4" ht="12.75" customHeight="1">
      <c r="A641" s="33"/>
      <c r="B641" s="46"/>
      <c r="D641" s="47"/>
    </row>
    <row r="642" spans="1:4" ht="12.75" customHeight="1">
      <c r="A642" s="33"/>
      <c r="B642" s="46"/>
      <c r="D642" s="47"/>
    </row>
    <row r="643" spans="1:4" ht="12.75" customHeight="1">
      <c r="A643" s="33"/>
      <c r="B643" s="46"/>
      <c r="D643" s="47"/>
    </row>
    <row r="644" spans="1:4" ht="12.75" customHeight="1">
      <c r="A644" s="33"/>
      <c r="B644" s="46"/>
      <c r="D644" s="47"/>
    </row>
    <row r="645" spans="1:4" ht="12.75" customHeight="1">
      <c r="A645" s="33"/>
      <c r="B645" s="46"/>
      <c r="D645" s="47"/>
    </row>
    <row r="646" spans="1:4" ht="12.75" customHeight="1">
      <c r="A646" s="33"/>
      <c r="B646" s="46"/>
      <c r="D646" s="47"/>
    </row>
    <row r="647" spans="1:4" ht="12.75" customHeight="1">
      <c r="A647" s="33"/>
      <c r="B647" s="46"/>
      <c r="D647" s="47"/>
    </row>
    <row r="648" spans="1:4" ht="12.75" customHeight="1">
      <c r="A648" s="33"/>
      <c r="B648" s="46"/>
      <c r="D648" s="47"/>
    </row>
    <row r="649" spans="1:4" ht="12.75" customHeight="1">
      <c r="A649" s="33"/>
      <c r="B649" s="46"/>
      <c r="D649" s="47"/>
    </row>
    <row r="650" spans="1:4" ht="12.75" customHeight="1">
      <c r="A650" s="33"/>
      <c r="B650" s="46"/>
      <c r="D650" s="47"/>
    </row>
    <row r="651" spans="1:4" ht="12.75" customHeight="1">
      <c r="A651" s="33"/>
      <c r="B651" s="46"/>
      <c r="D651" s="47"/>
    </row>
    <row r="652" spans="1:4" ht="12.75" customHeight="1">
      <c r="A652" s="33"/>
      <c r="B652" s="46"/>
      <c r="D652" s="47"/>
    </row>
    <row r="653" spans="1:4" ht="12.75" customHeight="1">
      <c r="A653" s="33"/>
      <c r="B653" s="46"/>
      <c r="D653" s="47"/>
    </row>
    <row r="654" spans="1:4" ht="12.75" customHeight="1">
      <c r="A654" s="33"/>
      <c r="B654" s="46"/>
      <c r="D654" s="47"/>
    </row>
    <row r="655" spans="1:4" ht="12.75" customHeight="1">
      <c r="A655" s="33"/>
      <c r="B655" s="46"/>
      <c r="D655" s="47"/>
    </row>
    <row r="656" spans="1:4" ht="12.75" customHeight="1">
      <c r="A656" s="33"/>
      <c r="B656" s="46"/>
      <c r="D656" s="47"/>
    </row>
    <row r="657" spans="1:4" ht="12.75" customHeight="1">
      <c r="A657" s="33"/>
      <c r="B657" s="46"/>
      <c r="D657" s="47"/>
    </row>
    <row r="658" spans="1:4" ht="12.75" customHeight="1">
      <c r="A658" s="33"/>
      <c r="B658" s="46"/>
      <c r="D658" s="47"/>
    </row>
    <row r="659" spans="1:4" ht="12.75" customHeight="1">
      <c r="A659" s="33"/>
      <c r="B659" s="46"/>
      <c r="D659" s="47"/>
    </row>
    <row r="660" spans="1:4" ht="12.75" customHeight="1">
      <c r="A660" s="33"/>
      <c r="B660" s="46"/>
      <c r="D660" s="47"/>
    </row>
    <row r="661" spans="1:4" ht="12.75" customHeight="1">
      <c r="A661" s="33"/>
      <c r="B661" s="46"/>
      <c r="D661" s="47"/>
    </row>
    <row r="662" spans="1:4" ht="12.75" customHeight="1">
      <c r="A662" s="33"/>
      <c r="B662" s="46"/>
      <c r="D662" s="47"/>
    </row>
    <row r="663" spans="1:4" ht="12.75" customHeight="1">
      <c r="A663" s="33"/>
      <c r="B663" s="46"/>
      <c r="D663" s="47"/>
    </row>
    <row r="664" spans="1:4" ht="12.75" customHeight="1">
      <c r="A664" s="33"/>
      <c r="B664" s="46"/>
      <c r="D664" s="47"/>
    </row>
    <row r="665" spans="1:4" ht="12.75" customHeight="1">
      <c r="A665" s="33"/>
      <c r="B665" s="46"/>
      <c r="D665" s="47"/>
    </row>
    <row r="666" spans="1:4" ht="12.75" customHeight="1">
      <c r="A666" s="33"/>
      <c r="B666" s="46"/>
      <c r="D666" s="47"/>
    </row>
    <row r="667" spans="1:4" ht="12.75" customHeight="1">
      <c r="A667" s="33"/>
      <c r="B667" s="46"/>
      <c r="D667" s="47"/>
    </row>
    <row r="668" spans="1:4" ht="12.75" customHeight="1">
      <c r="A668" s="33"/>
      <c r="B668" s="46"/>
      <c r="D668" s="47"/>
    </row>
    <row r="669" spans="1:4" ht="12.75" customHeight="1">
      <c r="A669" s="33"/>
      <c r="B669" s="46"/>
      <c r="D669" s="47"/>
    </row>
    <row r="670" spans="1:4" ht="12.75" customHeight="1">
      <c r="A670" s="33"/>
      <c r="B670" s="46"/>
      <c r="D670" s="47"/>
    </row>
    <row r="671" spans="1:4" ht="12.75" customHeight="1">
      <c r="A671" s="33"/>
      <c r="B671" s="46"/>
      <c r="D671" s="47"/>
    </row>
    <row r="672" spans="1:4" ht="12.75" customHeight="1">
      <c r="A672" s="33"/>
      <c r="B672" s="46"/>
      <c r="D672" s="47"/>
    </row>
    <row r="673" spans="1:4" ht="12.75" customHeight="1">
      <c r="A673" s="33"/>
      <c r="B673" s="46"/>
      <c r="D673" s="47"/>
    </row>
    <row r="674" spans="1:4" ht="12.75" customHeight="1">
      <c r="A674" s="33"/>
      <c r="B674" s="46"/>
      <c r="D674" s="47"/>
    </row>
    <row r="675" spans="1:4" ht="12.75" customHeight="1">
      <c r="A675" s="33"/>
      <c r="B675" s="46"/>
      <c r="D675" s="47"/>
    </row>
    <row r="676" spans="1:4" ht="12.75" customHeight="1">
      <c r="A676" s="33"/>
      <c r="B676" s="46"/>
      <c r="D676" s="47"/>
    </row>
    <row r="677" spans="1:4" ht="12.75" customHeight="1">
      <c r="A677" s="33"/>
      <c r="B677" s="46"/>
      <c r="D677" s="47"/>
    </row>
    <row r="678" spans="1:4" ht="12.75" customHeight="1">
      <c r="A678" s="33"/>
      <c r="B678" s="46"/>
      <c r="D678" s="47"/>
    </row>
    <row r="679" spans="1:4" ht="12.75" customHeight="1">
      <c r="A679" s="33"/>
      <c r="B679" s="46"/>
      <c r="D679" s="47"/>
    </row>
    <row r="680" spans="1:4" ht="12.75" customHeight="1">
      <c r="A680" s="33"/>
      <c r="B680" s="46"/>
      <c r="D680" s="47"/>
    </row>
    <row r="681" spans="1:4" ht="12.75" customHeight="1">
      <c r="A681" s="33"/>
      <c r="B681" s="46"/>
      <c r="D681" s="47"/>
    </row>
    <row r="682" spans="1:4" ht="12.75" customHeight="1">
      <c r="A682" s="33"/>
      <c r="B682" s="46"/>
      <c r="D682" s="47"/>
    </row>
    <row r="683" spans="1:4" ht="12.75" customHeight="1">
      <c r="A683" s="33"/>
      <c r="B683" s="46"/>
      <c r="D683" s="47"/>
    </row>
    <row r="684" spans="1:4" ht="12.75" customHeight="1">
      <c r="A684" s="33"/>
      <c r="B684" s="46"/>
      <c r="D684" s="47"/>
    </row>
    <row r="685" spans="1:4" ht="12.75" customHeight="1">
      <c r="A685" s="33"/>
      <c r="B685" s="46"/>
      <c r="D685" s="47"/>
    </row>
    <row r="686" spans="1:4" ht="12.75" customHeight="1">
      <c r="A686" s="33"/>
      <c r="B686" s="46"/>
      <c r="D686" s="47"/>
    </row>
    <row r="687" spans="1:4" ht="12.75" customHeight="1">
      <c r="A687" s="33"/>
      <c r="B687" s="46"/>
      <c r="D687" s="47"/>
    </row>
    <row r="688" spans="1:4" ht="12.75" customHeight="1">
      <c r="A688" s="33"/>
      <c r="B688" s="46"/>
      <c r="D688" s="47"/>
    </row>
    <row r="689" spans="1:4" ht="12.75" customHeight="1">
      <c r="A689" s="33"/>
      <c r="B689" s="46"/>
      <c r="D689" s="47"/>
    </row>
    <row r="690" spans="1:4" ht="12.75" customHeight="1">
      <c r="A690" s="33"/>
      <c r="B690" s="46"/>
      <c r="D690" s="47"/>
    </row>
    <row r="691" spans="1:4" ht="12.75" customHeight="1">
      <c r="A691" s="33"/>
      <c r="B691" s="46"/>
      <c r="D691" s="47"/>
    </row>
    <row r="692" spans="1:4" ht="12.75" customHeight="1">
      <c r="A692" s="33"/>
      <c r="B692" s="46"/>
      <c r="D692" s="47"/>
    </row>
    <row r="693" spans="1:4" ht="12.75" customHeight="1">
      <c r="A693" s="33"/>
      <c r="B693" s="46"/>
      <c r="D693" s="47"/>
    </row>
    <row r="694" spans="1:4" ht="12.75" customHeight="1">
      <c r="A694" s="33"/>
      <c r="B694" s="46"/>
      <c r="D694" s="47"/>
    </row>
    <row r="695" spans="1:4" ht="12.75" customHeight="1">
      <c r="A695" s="33"/>
      <c r="B695" s="46"/>
      <c r="D695" s="47"/>
    </row>
    <row r="696" spans="1:4" ht="12.75" customHeight="1">
      <c r="A696" s="33"/>
      <c r="B696" s="46"/>
      <c r="D696" s="47"/>
    </row>
    <row r="697" spans="1:4" ht="12.75" customHeight="1">
      <c r="A697" s="33"/>
      <c r="B697" s="46"/>
      <c r="D697" s="47"/>
    </row>
    <row r="698" spans="1:4" ht="12.75" customHeight="1">
      <c r="A698" s="33"/>
      <c r="B698" s="46"/>
      <c r="D698" s="47"/>
    </row>
    <row r="699" spans="1:4" ht="12.75" customHeight="1">
      <c r="A699" s="33"/>
      <c r="B699" s="46"/>
      <c r="D699" s="47"/>
    </row>
    <row r="700" spans="1:4" ht="12.75" customHeight="1">
      <c r="A700" s="33"/>
      <c r="B700" s="46"/>
      <c r="D700" s="47"/>
    </row>
    <row r="701" spans="1:4" ht="12.75" customHeight="1">
      <c r="A701" s="33"/>
      <c r="B701" s="46"/>
      <c r="D701" s="47"/>
    </row>
    <row r="702" spans="1:4" ht="12.75" customHeight="1">
      <c r="A702" s="33"/>
      <c r="B702" s="46"/>
      <c r="D702" s="47"/>
    </row>
    <row r="703" spans="1:4" ht="12.75" customHeight="1">
      <c r="A703" s="33"/>
      <c r="B703" s="46"/>
      <c r="D703" s="47"/>
    </row>
    <row r="704" spans="1:4" ht="12.75" customHeight="1">
      <c r="A704" s="33"/>
      <c r="B704" s="46"/>
      <c r="D704" s="47"/>
    </row>
    <row r="705" spans="1:4" ht="12.75" customHeight="1">
      <c r="A705" s="33"/>
      <c r="B705" s="46"/>
      <c r="D705" s="47"/>
    </row>
    <row r="706" spans="1:4" ht="12.75" customHeight="1">
      <c r="A706" s="33"/>
      <c r="B706" s="46"/>
      <c r="D706" s="47"/>
    </row>
    <row r="707" spans="1:4" ht="12.75" customHeight="1">
      <c r="A707" s="33"/>
      <c r="B707" s="46"/>
      <c r="D707" s="47"/>
    </row>
    <row r="708" spans="1:4" ht="12.75" customHeight="1">
      <c r="A708" s="33"/>
      <c r="B708" s="46"/>
      <c r="D708" s="47"/>
    </row>
    <row r="709" spans="1:4" ht="12.75" customHeight="1">
      <c r="A709" s="33"/>
      <c r="B709" s="46"/>
      <c r="D709" s="47"/>
    </row>
    <row r="710" spans="1:4" ht="12.75" customHeight="1">
      <c r="A710" s="33"/>
      <c r="B710" s="46"/>
      <c r="D710" s="47"/>
    </row>
    <row r="711" spans="1:4" ht="12.75" customHeight="1">
      <c r="A711" s="33"/>
      <c r="B711" s="46"/>
      <c r="D711" s="47"/>
    </row>
    <row r="712" spans="1:4" ht="12.75" customHeight="1">
      <c r="A712" s="33"/>
      <c r="B712" s="46"/>
      <c r="D712" s="47"/>
    </row>
    <row r="713" spans="1:4" ht="12.75" customHeight="1">
      <c r="A713" s="33"/>
      <c r="B713" s="46"/>
      <c r="D713" s="47"/>
    </row>
    <row r="714" spans="1:4" ht="12.75" customHeight="1">
      <c r="A714" s="33"/>
      <c r="B714" s="46"/>
      <c r="D714" s="47"/>
    </row>
    <row r="715" spans="1:4" ht="12.75" customHeight="1">
      <c r="A715" s="33"/>
      <c r="B715" s="46"/>
      <c r="D715" s="47"/>
    </row>
    <row r="716" spans="1:4" ht="12.75" customHeight="1">
      <c r="A716" s="33"/>
      <c r="B716" s="46"/>
      <c r="D716" s="47"/>
    </row>
    <row r="717" spans="1:4" ht="12.75" customHeight="1">
      <c r="A717" s="33"/>
      <c r="B717" s="46"/>
      <c r="D717" s="47"/>
    </row>
    <row r="718" spans="1:4" ht="12.75" customHeight="1">
      <c r="A718" s="33"/>
      <c r="B718" s="46"/>
      <c r="D718" s="47"/>
    </row>
    <row r="719" spans="1:4" ht="12.75" customHeight="1">
      <c r="A719" s="33"/>
      <c r="B719" s="46"/>
      <c r="D719" s="47"/>
    </row>
    <row r="720" spans="1:4" ht="12.75" customHeight="1">
      <c r="A720" s="33"/>
      <c r="B720" s="46"/>
      <c r="D720" s="47"/>
    </row>
    <row r="721" spans="1:4" ht="12.75" customHeight="1">
      <c r="A721" s="33"/>
      <c r="B721" s="46"/>
      <c r="D721" s="47"/>
    </row>
    <row r="722" spans="1:4" ht="12.75" customHeight="1">
      <c r="A722" s="33"/>
      <c r="B722" s="46"/>
      <c r="D722" s="47"/>
    </row>
    <row r="723" spans="1:4" ht="12.75" customHeight="1">
      <c r="A723" s="33"/>
      <c r="B723" s="46"/>
      <c r="D723" s="47"/>
    </row>
    <row r="724" spans="1:4" ht="12.75" customHeight="1">
      <c r="A724" s="33"/>
      <c r="B724" s="46"/>
      <c r="D724" s="47"/>
    </row>
    <row r="725" spans="1:4" ht="12.75" customHeight="1">
      <c r="A725" s="33"/>
      <c r="B725" s="46"/>
      <c r="D725" s="47"/>
    </row>
    <row r="726" spans="1:4" ht="12.75" customHeight="1">
      <c r="A726" s="33"/>
      <c r="B726" s="46"/>
      <c r="D726" s="47"/>
    </row>
    <row r="727" spans="1:4" ht="12.75" customHeight="1">
      <c r="A727" s="33"/>
      <c r="B727" s="46"/>
      <c r="D727" s="47"/>
    </row>
    <row r="728" spans="1:4" ht="12.75" customHeight="1">
      <c r="A728" s="33"/>
      <c r="B728" s="46"/>
      <c r="D728" s="47"/>
    </row>
    <row r="729" spans="1:4" ht="12.75" customHeight="1">
      <c r="A729" s="33"/>
      <c r="B729" s="46"/>
      <c r="D729" s="47"/>
    </row>
    <row r="730" spans="1:4" ht="12.75" customHeight="1">
      <c r="A730" s="33"/>
      <c r="B730" s="46"/>
      <c r="D730" s="47"/>
    </row>
    <row r="731" spans="1:4" ht="12.75" customHeight="1">
      <c r="A731" s="33"/>
      <c r="B731" s="46"/>
      <c r="D731" s="47"/>
    </row>
    <row r="732" spans="1:4" ht="12.75" customHeight="1">
      <c r="A732" s="33"/>
      <c r="B732" s="46"/>
      <c r="D732" s="47"/>
    </row>
    <row r="733" spans="1:4" ht="12.75" customHeight="1">
      <c r="A733" s="33"/>
      <c r="B733" s="46"/>
      <c r="D733" s="47"/>
    </row>
    <row r="734" spans="1:4" ht="12.75" customHeight="1">
      <c r="A734" s="33"/>
      <c r="B734" s="46"/>
      <c r="D734" s="47"/>
    </row>
    <row r="735" spans="1:4" ht="12.75" customHeight="1">
      <c r="A735" s="33"/>
      <c r="B735" s="46"/>
      <c r="D735" s="47"/>
    </row>
    <row r="736" spans="1:4" ht="12.75" customHeight="1">
      <c r="A736" s="33"/>
      <c r="B736" s="46"/>
      <c r="D736" s="47"/>
    </row>
    <row r="737" spans="1:4" ht="12.75" customHeight="1">
      <c r="A737" s="33"/>
      <c r="B737" s="46"/>
      <c r="D737" s="47"/>
    </row>
    <row r="738" spans="1:4" ht="12.75" customHeight="1">
      <c r="A738" s="33"/>
      <c r="B738" s="46"/>
      <c r="D738" s="47"/>
    </row>
    <row r="739" spans="1:4" ht="12.75" customHeight="1">
      <c r="A739" s="33"/>
      <c r="B739" s="46"/>
      <c r="D739" s="47"/>
    </row>
    <row r="740" spans="1:4" ht="12.75" customHeight="1">
      <c r="A740" s="33"/>
      <c r="B740" s="46"/>
      <c r="D740" s="47"/>
    </row>
    <row r="741" spans="1:4" ht="12.75" customHeight="1">
      <c r="A741" s="33"/>
      <c r="B741" s="46"/>
      <c r="D741" s="47"/>
    </row>
    <row r="742" spans="1:4" ht="12.75" customHeight="1">
      <c r="A742" s="33"/>
      <c r="B742" s="46"/>
      <c r="D742" s="47"/>
    </row>
    <row r="743" spans="1:4" ht="12.75" customHeight="1">
      <c r="A743" s="33"/>
      <c r="B743" s="46"/>
      <c r="D743" s="47"/>
    </row>
    <row r="744" spans="1:4" ht="12.75" customHeight="1">
      <c r="A744" s="33"/>
      <c r="B744" s="46"/>
      <c r="D744" s="47"/>
    </row>
    <row r="745" spans="1:4" ht="12.75" customHeight="1">
      <c r="A745" s="33"/>
      <c r="B745" s="46"/>
      <c r="D745" s="47"/>
    </row>
    <row r="746" spans="1:4" ht="12.75" customHeight="1">
      <c r="A746" s="33"/>
      <c r="B746" s="46"/>
      <c r="D746" s="47"/>
    </row>
    <row r="747" spans="1:4" ht="12.75" customHeight="1">
      <c r="A747" s="33"/>
      <c r="B747" s="46"/>
      <c r="D747" s="47"/>
    </row>
    <row r="748" spans="1:4" ht="12.75" customHeight="1">
      <c r="A748" s="33"/>
      <c r="B748" s="46"/>
      <c r="D748" s="47"/>
    </row>
    <row r="749" spans="1:4" ht="12.75" customHeight="1">
      <c r="A749" s="33"/>
      <c r="B749" s="46"/>
      <c r="D749" s="47"/>
    </row>
    <row r="750" spans="1:4" ht="12.75" customHeight="1">
      <c r="A750" s="33"/>
      <c r="B750" s="46"/>
      <c r="D750" s="47"/>
    </row>
    <row r="751" spans="1:4" ht="12.75" customHeight="1">
      <c r="A751" s="33"/>
      <c r="B751" s="46"/>
      <c r="D751" s="47"/>
    </row>
    <row r="752" spans="1:4" ht="12.75" customHeight="1">
      <c r="A752" s="33"/>
      <c r="B752" s="46"/>
      <c r="D752" s="47"/>
    </row>
    <row r="753" spans="1:4" ht="12.75" customHeight="1">
      <c r="A753" s="33"/>
      <c r="B753" s="46"/>
      <c r="D753" s="47"/>
    </row>
    <row r="754" spans="1:4" ht="12.75" customHeight="1">
      <c r="A754" s="33"/>
      <c r="B754" s="46"/>
      <c r="D754" s="47"/>
    </row>
    <row r="755" spans="1:4" ht="12.75" customHeight="1">
      <c r="A755" s="33"/>
      <c r="B755" s="46"/>
      <c r="D755" s="47"/>
    </row>
    <row r="756" spans="1:4" ht="12.75" customHeight="1">
      <c r="A756" s="33"/>
      <c r="B756" s="46"/>
      <c r="D756" s="47"/>
    </row>
    <row r="757" spans="1:4" ht="12.75" customHeight="1">
      <c r="A757" s="33"/>
      <c r="B757" s="46"/>
      <c r="D757" s="47"/>
    </row>
    <row r="758" spans="1:4" ht="12.75" customHeight="1">
      <c r="A758" s="33"/>
      <c r="B758" s="46"/>
      <c r="D758" s="47"/>
    </row>
    <row r="759" spans="1:4" ht="12.75" customHeight="1">
      <c r="A759" s="33"/>
      <c r="B759" s="46"/>
      <c r="D759" s="47"/>
    </row>
    <row r="760" spans="1:4" ht="12.75" customHeight="1">
      <c r="A760" s="33"/>
      <c r="B760" s="46"/>
      <c r="D760" s="47"/>
    </row>
    <row r="761" spans="1:4" ht="12.75" customHeight="1">
      <c r="A761" s="33"/>
      <c r="B761" s="46"/>
      <c r="D761" s="47"/>
    </row>
    <row r="762" spans="1:4" ht="12.75" customHeight="1">
      <c r="A762" s="33"/>
      <c r="B762" s="46"/>
      <c r="D762" s="47"/>
    </row>
    <row r="763" spans="1:4" ht="12.75" customHeight="1">
      <c r="A763" s="33"/>
      <c r="B763" s="46"/>
      <c r="D763" s="47"/>
    </row>
    <row r="764" spans="1:4" ht="12.75" customHeight="1">
      <c r="A764" s="33"/>
      <c r="B764" s="46"/>
      <c r="D764" s="47"/>
    </row>
    <row r="765" spans="1:4" ht="12.75" customHeight="1">
      <c r="A765" s="33"/>
      <c r="B765" s="46"/>
      <c r="D765" s="47"/>
    </row>
    <row r="766" spans="1:4" ht="12.75" customHeight="1">
      <c r="A766" s="33"/>
      <c r="B766" s="46"/>
      <c r="D766" s="47"/>
    </row>
    <row r="767" spans="1:4" ht="12.75" customHeight="1">
      <c r="A767" s="33"/>
      <c r="B767" s="46"/>
      <c r="D767" s="47"/>
    </row>
    <row r="768" spans="1:4" ht="12.75" customHeight="1">
      <c r="A768" s="33"/>
      <c r="B768" s="46"/>
      <c r="D768" s="47"/>
    </row>
    <row r="769" spans="1:4" ht="12.75" customHeight="1">
      <c r="A769" s="33"/>
      <c r="B769" s="46"/>
      <c r="D769" s="47"/>
    </row>
    <row r="770" spans="1:4" ht="12.75" customHeight="1">
      <c r="A770" s="33"/>
      <c r="B770" s="46"/>
      <c r="D770" s="47"/>
    </row>
    <row r="771" spans="1:4" ht="12.75" customHeight="1">
      <c r="A771" s="33"/>
      <c r="B771" s="46"/>
      <c r="D771" s="47"/>
    </row>
    <row r="772" spans="1:4" ht="12.75" customHeight="1">
      <c r="A772" s="33"/>
      <c r="B772" s="46"/>
      <c r="D772" s="47"/>
    </row>
    <row r="773" spans="1:4" ht="12.75" customHeight="1">
      <c r="A773" s="33"/>
      <c r="B773" s="46"/>
      <c r="D773" s="47"/>
    </row>
    <row r="774" spans="1:4" ht="12.75" customHeight="1">
      <c r="A774" s="33"/>
      <c r="B774" s="46"/>
      <c r="D774" s="47"/>
    </row>
    <row r="775" spans="1:4" ht="12.75" customHeight="1">
      <c r="A775" s="33"/>
      <c r="B775" s="46"/>
      <c r="D775" s="47"/>
    </row>
    <row r="776" spans="1:4" ht="12.75" customHeight="1">
      <c r="A776" s="33"/>
      <c r="B776" s="46"/>
      <c r="D776" s="47"/>
    </row>
    <row r="777" spans="1:4" ht="12.75" customHeight="1">
      <c r="A777" s="33"/>
      <c r="B777" s="46"/>
      <c r="D777" s="47"/>
    </row>
    <row r="778" spans="1:4" ht="12.75" customHeight="1">
      <c r="A778" s="33"/>
      <c r="B778" s="46"/>
      <c r="D778" s="47"/>
    </row>
    <row r="779" spans="1:4" ht="12.75" customHeight="1">
      <c r="A779" s="33"/>
      <c r="B779" s="46"/>
      <c r="D779" s="47"/>
    </row>
    <row r="780" spans="1:4" ht="12.75" customHeight="1">
      <c r="A780" s="33"/>
      <c r="B780" s="46"/>
      <c r="D780" s="47"/>
    </row>
    <row r="781" spans="1:4" ht="12.75" customHeight="1">
      <c r="A781" s="33"/>
      <c r="B781" s="46"/>
      <c r="D781" s="47"/>
    </row>
    <row r="782" spans="1:4" ht="12.75" customHeight="1">
      <c r="A782" s="33"/>
      <c r="B782" s="46"/>
      <c r="D782" s="47"/>
    </row>
    <row r="783" spans="1:4" ht="12.75" customHeight="1">
      <c r="A783" s="33"/>
      <c r="B783" s="46"/>
      <c r="D783" s="47"/>
    </row>
    <row r="784" spans="1:4" ht="12.75" customHeight="1">
      <c r="A784" s="33"/>
      <c r="B784" s="46"/>
      <c r="D784" s="47"/>
    </row>
    <row r="785" spans="1:4" ht="12.75" customHeight="1">
      <c r="A785" s="33"/>
      <c r="B785" s="46"/>
      <c r="D785" s="47"/>
    </row>
    <row r="786" spans="1:4" ht="12.75" customHeight="1">
      <c r="A786" s="33"/>
      <c r="B786" s="46"/>
      <c r="D786" s="47"/>
    </row>
    <row r="787" spans="1:4" ht="12.75" customHeight="1">
      <c r="A787" s="33"/>
      <c r="B787" s="46"/>
      <c r="D787" s="47"/>
    </row>
    <row r="788" spans="1:4" ht="12.75" customHeight="1">
      <c r="A788" s="33"/>
      <c r="B788" s="46"/>
      <c r="D788" s="47"/>
    </row>
    <row r="789" spans="1:4" ht="12.75" customHeight="1">
      <c r="A789" s="33"/>
      <c r="B789" s="46"/>
      <c r="D789" s="47"/>
    </row>
    <row r="790" spans="1:4" ht="12.75" customHeight="1">
      <c r="A790" s="33"/>
      <c r="B790" s="46"/>
      <c r="D790" s="47"/>
    </row>
    <row r="791" spans="1:4" ht="12.75" customHeight="1">
      <c r="A791" s="33"/>
      <c r="B791" s="46"/>
      <c r="D791" s="47"/>
    </row>
    <row r="792" spans="1:4" ht="12.75" customHeight="1">
      <c r="A792" s="33"/>
      <c r="B792" s="46"/>
      <c r="D792" s="47"/>
    </row>
    <row r="793" spans="1:4" ht="12.75" customHeight="1">
      <c r="A793" s="33"/>
      <c r="B793" s="46"/>
      <c r="D793" s="47"/>
    </row>
    <row r="794" spans="1:4" ht="12.75" customHeight="1">
      <c r="A794" s="33"/>
      <c r="B794" s="46"/>
      <c r="D794" s="47"/>
    </row>
    <row r="795" spans="1:4" ht="12.75" customHeight="1">
      <c r="A795" s="33"/>
      <c r="B795" s="46"/>
      <c r="D795" s="47"/>
    </row>
    <row r="796" spans="1:4" ht="12.75" customHeight="1">
      <c r="A796" s="33"/>
      <c r="B796" s="46"/>
      <c r="D796" s="47"/>
    </row>
    <row r="797" spans="1:4" ht="12.75" customHeight="1">
      <c r="A797" s="33"/>
      <c r="B797" s="46"/>
      <c r="D797" s="47"/>
    </row>
    <row r="798" spans="1:4" ht="12.75" customHeight="1">
      <c r="A798" s="33"/>
      <c r="B798" s="46"/>
      <c r="D798" s="47"/>
    </row>
    <row r="799" spans="1:4" ht="12.75" customHeight="1">
      <c r="A799" s="33"/>
      <c r="B799" s="46"/>
      <c r="D799" s="47"/>
    </row>
    <row r="800" spans="1:4" ht="12.75" customHeight="1">
      <c r="A800" s="33"/>
      <c r="B800" s="46"/>
      <c r="D800" s="47"/>
    </row>
    <row r="801" spans="1:4" ht="12.75" customHeight="1">
      <c r="A801" s="33"/>
      <c r="B801" s="46"/>
      <c r="D801" s="47"/>
    </row>
    <row r="802" spans="1:4" ht="12.75" customHeight="1">
      <c r="A802" s="33"/>
      <c r="B802" s="46"/>
      <c r="D802" s="47"/>
    </row>
    <row r="803" spans="1:4" ht="12.75" customHeight="1">
      <c r="A803" s="33"/>
      <c r="B803" s="46"/>
      <c r="D803" s="47"/>
    </row>
    <row r="804" spans="1:4" ht="12.75" customHeight="1">
      <c r="A804" s="33"/>
      <c r="B804" s="46"/>
      <c r="D804" s="47"/>
    </row>
    <row r="805" spans="1:4" ht="12.75" customHeight="1">
      <c r="A805" s="33"/>
      <c r="B805" s="46"/>
      <c r="D805" s="47"/>
    </row>
    <row r="806" spans="1:4" ht="12.75" customHeight="1">
      <c r="A806" s="33"/>
      <c r="B806" s="46"/>
      <c r="D806" s="47"/>
    </row>
    <row r="807" spans="1:4" ht="12.75" customHeight="1">
      <c r="A807" s="33"/>
      <c r="B807" s="46"/>
      <c r="D807" s="47"/>
    </row>
    <row r="808" spans="1:4" ht="12.75" customHeight="1">
      <c r="A808" s="33"/>
      <c r="B808" s="46"/>
      <c r="D808" s="47"/>
    </row>
    <row r="809" spans="1:4" ht="12.75" customHeight="1">
      <c r="A809" s="33"/>
      <c r="B809" s="46"/>
      <c r="D809" s="47"/>
    </row>
    <row r="810" spans="1:4" ht="12.75" customHeight="1">
      <c r="A810" s="33"/>
      <c r="B810" s="46"/>
      <c r="D810" s="47"/>
    </row>
    <row r="811" spans="1:4" ht="12.75" customHeight="1">
      <c r="A811" s="33"/>
      <c r="B811" s="46"/>
      <c r="D811" s="47"/>
    </row>
    <row r="812" spans="1:4" ht="12.75" customHeight="1">
      <c r="A812" s="33"/>
      <c r="B812" s="46"/>
      <c r="D812" s="47"/>
    </row>
    <row r="813" spans="1:4" ht="12.75" customHeight="1">
      <c r="A813" s="33"/>
      <c r="B813" s="46"/>
      <c r="D813" s="47"/>
    </row>
    <row r="814" spans="1:4" ht="12.75" customHeight="1">
      <c r="A814" s="33"/>
      <c r="B814" s="46"/>
      <c r="D814" s="47"/>
    </row>
    <row r="815" spans="1:4" ht="12.75" customHeight="1">
      <c r="A815" s="33"/>
      <c r="B815" s="46"/>
      <c r="D815" s="47"/>
    </row>
    <row r="816" spans="1:4" ht="12.75" customHeight="1">
      <c r="A816" s="33"/>
      <c r="B816" s="46"/>
      <c r="D816" s="47"/>
    </row>
    <row r="817" spans="1:4" ht="12.75" customHeight="1">
      <c r="A817" s="33"/>
      <c r="B817" s="46"/>
      <c r="D817" s="47"/>
    </row>
    <row r="818" spans="1:4" ht="12.75" customHeight="1">
      <c r="A818" s="33"/>
      <c r="B818" s="46"/>
      <c r="D818" s="47"/>
    </row>
    <row r="819" spans="1:4" ht="12.75" customHeight="1">
      <c r="A819" s="33"/>
      <c r="B819" s="46"/>
      <c r="D819" s="47"/>
    </row>
    <row r="820" spans="1:4" ht="12.75" customHeight="1">
      <c r="A820" s="33"/>
      <c r="B820" s="46"/>
      <c r="D820" s="47"/>
    </row>
    <row r="821" spans="1:4" ht="12.75" customHeight="1">
      <c r="A821" s="33"/>
      <c r="B821" s="46"/>
      <c r="D821" s="47"/>
    </row>
    <row r="822" spans="1:4" ht="12.75" customHeight="1">
      <c r="A822" s="33"/>
      <c r="B822" s="46"/>
      <c r="D822" s="47"/>
    </row>
    <row r="823" spans="1:4" ht="12.75" customHeight="1">
      <c r="A823" s="33"/>
      <c r="B823" s="46"/>
      <c r="D823" s="47"/>
    </row>
    <row r="824" spans="1:4" ht="12.75" customHeight="1">
      <c r="A824" s="33"/>
      <c r="B824" s="46"/>
      <c r="D824" s="47"/>
    </row>
    <row r="825" spans="1:4" ht="12.75" customHeight="1">
      <c r="A825" s="33"/>
      <c r="B825" s="46"/>
      <c r="D825" s="47"/>
    </row>
    <row r="826" spans="1:4" ht="12.75" customHeight="1">
      <c r="A826" s="33"/>
      <c r="B826" s="46"/>
      <c r="D826" s="47"/>
    </row>
    <row r="827" spans="1:4" ht="12.75" customHeight="1">
      <c r="A827" s="33"/>
      <c r="B827" s="46"/>
      <c r="D827" s="47"/>
    </row>
    <row r="828" spans="1:4" ht="12.75" customHeight="1">
      <c r="A828" s="33"/>
      <c r="B828" s="46"/>
      <c r="D828" s="47"/>
    </row>
    <row r="829" spans="1:4" ht="12.75" customHeight="1">
      <c r="A829" s="33"/>
      <c r="B829" s="46"/>
      <c r="D829" s="47"/>
    </row>
    <row r="830" spans="1:4" ht="12.75" customHeight="1">
      <c r="A830" s="33"/>
      <c r="B830" s="46"/>
      <c r="D830" s="47"/>
    </row>
    <row r="831" spans="1:4" ht="12.75" customHeight="1">
      <c r="A831" s="33"/>
      <c r="B831" s="46"/>
      <c r="D831" s="47"/>
    </row>
    <row r="832" spans="1:4" ht="12.75" customHeight="1">
      <c r="A832" s="33"/>
      <c r="B832" s="46"/>
      <c r="D832" s="47"/>
    </row>
    <row r="833" spans="1:4" ht="12.75" customHeight="1">
      <c r="A833" s="33"/>
      <c r="B833" s="46"/>
      <c r="D833" s="47"/>
    </row>
    <row r="834" spans="1:4" ht="12.75" customHeight="1">
      <c r="A834" s="33"/>
      <c r="B834" s="46"/>
      <c r="D834" s="47"/>
    </row>
    <row r="835" spans="1:4" ht="12.75" customHeight="1">
      <c r="A835" s="33"/>
      <c r="B835" s="46"/>
      <c r="D835" s="47"/>
    </row>
    <row r="836" spans="1:4" ht="12.75" customHeight="1">
      <c r="A836" s="33"/>
      <c r="B836" s="46"/>
      <c r="D836" s="47"/>
    </row>
    <row r="837" spans="1:4" ht="12.75" customHeight="1">
      <c r="A837" s="33"/>
      <c r="B837" s="46"/>
      <c r="D837" s="47"/>
    </row>
    <row r="838" spans="1:4" ht="12.75" customHeight="1">
      <c r="A838" s="33"/>
      <c r="B838" s="46"/>
      <c r="D838" s="47"/>
    </row>
    <row r="839" spans="1:4" ht="12.75" customHeight="1">
      <c r="A839" s="33"/>
      <c r="B839" s="46"/>
      <c r="D839" s="47"/>
    </row>
    <row r="840" spans="1:4" ht="12.75" customHeight="1">
      <c r="A840" s="33"/>
      <c r="B840" s="46"/>
      <c r="D840" s="47"/>
    </row>
    <row r="841" spans="1:4" ht="12.75" customHeight="1">
      <c r="A841" s="33"/>
      <c r="B841" s="46"/>
      <c r="D841" s="47"/>
    </row>
    <row r="842" spans="1:4" ht="12.75" customHeight="1">
      <c r="A842" s="33"/>
      <c r="B842" s="46"/>
      <c r="D842" s="47"/>
    </row>
    <row r="843" spans="1:4" ht="12.75" customHeight="1">
      <c r="A843" s="33"/>
      <c r="B843" s="46"/>
      <c r="D843" s="47"/>
    </row>
    <row r="844" spans="1:4" ht="12.75" customHeight="1">
      <c r="A844" s="33"/>
      <c r="B844" s="46"/>
      <c r="D844" s="47"/>
    </row>
    <row r="845" spans="1:4" ht="12.75" customHeight="1">
      <c r="A845" s="33"/>
      <c r="B845" s="46"/>
      <c r="D845" s="47"/>
    </row>
    <row r="846" spans="1:4" ht="12.75" customHeight="1">
      <c r="A846" s="33"/>
      <c r="B846" s="46"/>
      <c r="D846" s="47"/>
    </row>
    <row r="847" spans="1:4" ht="12.75" customHeight="1">
      <c r="A847" s="33"/>
      <c r="B847" s="46"/>
      <c r="D847" s="47"/>
    </row>
    <row r="848" spans="1:4" ht="12.75" customHeight="1">
      <c r="A848" s="33"/>
      <c r="B848" s="46"/>
      <c r="D848" s="47"/>
    </row>
    <row r="849" spans="1:4" ht="12.75" customHeight="1">
      <c r="A849" s="33"/>
      <c r="B849" s="46"/>
      <c r="D849" s="47"/>
    </row>
    <row r="850" spans="1:4" ht="12.75" customHeight="1">
      <c r="A850" s="33"/>
      <c r="B850" s="46"/>
      <c r="D850" s="47"/>
    </row>
    <row r="851" spans="1:4" ht="12.75" customHeight="1">
      <c r="A851" s="33"/>
      <c r="B851" s="46"/>
      <c r="D851" s="47"/>
    </row>
    <row r="852" spans="1:4" ht="12.75" customHeight="1">
      <c r="A852" s="33"/>
      <c r="B852" s="46"/>
      <c r="D852" s="47"/>
    </row>
    <row r="853" spans="1:4" ht="12.75" customHeight="1">
      <c r="A853" s="33"/>
      <c r="B853" s="46"/>
      <c r="D853" s="47"/>
    </row>
    <row r="854" spans="1:4" ht="12.75" customHeight="1">
      <c r="A854" s="33"/>
      <c r="B854" s="46"/>
      <c r="D854" s="47"/>
    </row>
    <row r="855" spans="1:4" ht="12.75" customHeight="1">
      <c r="A855" s="33"/>
      <c r="B855" s="46"/>
      <c r="D855" s="47"/>
    </row>
    <row r="856" spans="1:4" ht="12.75" customHeight="1">
      <c r="A856" s="33"/>
      <c r="B856" s="46"/>
      <c r="D856" s="47"/>
    </row>
    <row r="857" spans="1:4" ht="12.75" customHeight="1">
      <c r="A857" s="33"/>
      <c r="B857" s="46"/>
      <c r="D857" s="47"/>
    </row>
    <row r="858" spans="1:4" ht="12.75" customHeight="1">
      <c r="A858" s="33"/>
      <c r="B858" s="46"/>
      <c r="D858" s="47"/>
    </row>
    <row r="859" spans="1:4" ht="12.75" customHeight="1">
      <c r="A859" s="33"/>
      <c r="B859" s="46"/>
      <c r="D859" s="47"/>
    </row>
    <row r="860" spans="1:4" ht="12.75" customHeight="1">
      <c r="A860" s="33"/>
      <c r="B860" s="46"/>
      <c r="D860" s="47"/>
    </row>
    <row r="861" spans="1:4" ht="12.75" customHeight="1">
      <c r="A861" s="33"/>
      <c r="B861" s="46"/>
      <c r="D861" s="47"/>
    </row>
    <row r="862" spans="1:4" ht="12.75" customHeight="1">
      <c r="A862" s="33"/>
      <c r="B862" s="46"/>
      <c r="D862" s="47"/>
    </row>
    <row r="863" spans="1:4" ht="12.75" customHeight="1">
      <c r="A863" s="33"/>
      <c r="B863" s="46"/>
      <c r="D863" s="47"/>
    </row>
    <row r="864" spans="1:4" ht="12.75" customHeight="1">
      <c r="A864" s="33"/>
      <c r="B864" s="46"/>
      <c r="D864" s="47"/>
    </row>
    <row r="865" spans="1:4" ht="12.75" customHeight="1">
      <c r="A865" s="33"/>
      <c r="B865" s="46"/>
      <c r="D865" s="47"/>
    </row>
    <row r="866" spans="1:4" ht="12.75" customHeight="1">
      <c r="A866" s="33"/>
      <c r="B866" s="46"/>
      <c r="D866" s="47"/>
    </row>
    <row r="867" spans="1:4" ht="12.75" customHeight="1">
      <c r="A867" s="33"/>
      <c r="B867" s="46"/>
      <c r="D867" s="47"/>
    </row>
    <row r="868" spans="1:4" ht="12.75" customHeight="1">
      <c r="A868" s="33"/>
      <c r="B868" s="46"/>
      <c r="D868" s="47"/>
    </row>
    <row r="869" spans="1:4" ht="12.75" customHeight="1">
      <c r="A869" s="33"/>
      <c r="B869" s="46"/>
      <c r="D869" s="47"/>
    </row>
    <row r="870" spans="1:4" ht="12.75" customHeight="1">
      <c r="A870" s="33"/>
      <c r="B870" s="46"/>
      <c r="D870" s="47"/>
    </row>
    <row r="871" spans="1:4" ht="12.75" customHeight="1">
      <c r="A871" s="33"/>
      <c r="B871" s="46"/>
      <c r="D871" s="47"/>
    </row>
    <row r="872" spans="1:4" ht="12.75" customHeight="1">
      <c r="A872" s="33"/>
      <c r="B872" s="46"/>
      <c r="D872" s="47"/>
    </row>
    <row r="873" spans="1:4" ht="12.75" customHeight="1">
      <c r="A873" s="33"/>
      <c r="B873" s="46"/>
      <c r="D873" s="47"/>
    </row>
    <row r="874" spans="1:4" ht="12.75" customHeight="1">
      <c r="A874" s="33"/>
      <c r="B874" s="46"/>
      <c r="D874" s="47"/>
    </row>
    <row r="875" spans="1:4" ht="12.75" customHeight="1">
      <c r="A875" s="33"/>
      <c r="B875" s="46"/>
      <c r="D875" s="47"/>
    </row>
    <row r="876" spans="1:4" ht="12.75" customHeight="1">
      <c r="A876" s="33"/>
      <c r="B876" s="46"/>
      <c r="D876" s="47"/>
    </row>
    <row r="877" spans="1:4" ht="12.75" customHeight="1">
      <c r="A877" s="33"/>
      <c r="B877" s="46"/>
      <c r="D877" s="47"/>
    </row>
    <row r="878" spans="1:4" ht="12.75" customHeight="1">
      <c r="A878" s="33"/>
      <c r="B878" s="46"/>
      <c r="D878" s="47"/>
    </row>
    <row r="879" spans="1:4" ht="12.75" customHeight="1">
      <c r="A879" s="33"/>
      <c r="B879" s="46"/>
      <c r="D879" s="47"/>
    </row>
    <row r="880" spans="1:4" ht="12.75" customHeight="1">
      <c r="A880" s="33"/>
      <c r="B880" s="46"/>
      <c r="D880" s="47"/>
    </row>
    <row r="881" spans="1:4" ht="12.75" customHeight="1">
      <c r="A881" s="33"/>
      <c r="B881" s="46"/>
      <c r="D881" s="47"/>
    </row>
    <row r="882" spans="1:4" ht="12.75" customHeight="1">
      <c r="A882" s="33"/>
      <c r="B882" s="46"/>
      <c r="D882" s="47"/>
    </row>
    <row r="883" spans="1:4" ht="12.75" customHeight="1">
      <c r="A883" s="33"/>
      <c r="B883" s="46"/>
      <c r="D883" s="47"/>
    </row>
    <row r="884" spans="1:4" ht="12.75" customHeight="1">
      <c r="A884" s="33"/>
      <c r="B884" s="46"/>
      <c r="D884" s="47"/>
    </row>
    <row r="885" spans="1:4" ht="12.75" customHeight="1">
      <c r="A885" s="33"/>
      <c r="B885" s="46"/>
      <c r="D885" s="47"/>
    </row>
    <row r="886" spans="1:4" ht="12.75" customHeight="1">
      <c r="A886" s="33"/>
      <c r="B886" s="46"/>
      <c r="D886" s="47"/>
    </row>
    <row r="887" spans="1:4" ht="12.75" customHeight="1">
      <c r="A887" s="33"/>
      <c r="B887" s="46"/>
      <c r="D887" s="47"/>
    </row>
    <row r="888" spans="1:4" ht="12.75" customHeight="1">
      <c r="A888" s="33"/>
      <c r="B888" s="46"/>
      <c r="D888" s="47"/>
    </row>
    <row r="889" spans="1:4" ht="12.75" customHeight="1">
      <c r="A889" s="33"/>
      <c r="B889" s="46"/>
      <c r="D889" s="47"/>
    </row>
    <row r="890" spans="1:4" ht="12.75" customHeight="1">
      <c r="A890" s="33"/>
      <c r="B890" s="46"/>
      <c r="D890" s="47"/>
    </row>
    <row r="891" spans="1:4" ht="12.75" customHeight="1">
      <c r="A891" s="33"/>
      <c r="B891" s="46"/>
      <c r="D891" s="47"/>
    </row>
    <row r="892" spans="1:4" ht="12.75" customHeight="1">
      <c r="A892" s="33"/>
      <c r="B892" s="46"/>
      <c r="D892" s="47"/>
    </row>
    <row r="893" spans="1:4" ht="12.75" customHeight="1">
      <c r="A893" s="33"/>
      <c r="B893" s="46"/>
      <c r="D893" s="47"/>
    </row>
    <row r="894" spans="1:4" ht="12.75" customHeight="1">
      <c r="A894" s="33"/>
      <c r="B894" s="46"/>
      <c r="D894" s="47"/>
    </row>
    <row r="895" spans="1:4" ht="12.75" customHeight="1">
      <c r="A895" s="33"/>
      <c r="B895" s="46"/>
      <c r="D895" s="47"/>
    </row>
    <row r="896" spans="1:4" ht="12.75" customHeight="1">
      <c r="A896" s="33"/>
      <c r="B896" s="46"/>
      <c r="D896" s="47"/>
    </row>
    <row r="897" spans="1:4" ht="12.75" customHeight="1">
      <c r="A897" s="33"/>
      <c r="B897" s="46"/>
      <c r="D897" s="47"/>
    </row>
    <row r="898" spans="1:4" ht="12.75" customHeight="1">
      <c r="A898" s="33"/>
      <c r="B898" s="46"/>
      <c r="D898" s="47"/>
    </row>
    <row r="899" spans="1:4" ht="12.75" customHeight="1">
      <c r="A899" s="33"/>
      <c r="B899" s="46"/>
      <c r="D899" s="47"/>
    </row>
    <row r="900" spans="1:4" ht="12.75" customHeight="1">
      <c r="A900" s="33"/>
      <c r="B900" s="46"/>
      <c r="D900" s="47"/>
    </row>
    <row r="901" spans="1:4" ht="12.75" customHeight="1">
      <c r="A901" s="33"/>
      <c r="B901" s="46"/>
      <c r="D901" s="47"/>
    </row>
    <row r="902" spans="1:4" ht="12.75" customHeight="1">
      <c r="A902" s="33"/>
      <c r="B902" s="46"/>
      <c r="D902" s="47"/>
    </row>
    <row r="903" spans="1:4" ht="12.75" customHeight="1">
      <c r="A903" s="33"/>
      <c r="B903" s="46"/>
      <c r="D903" s="47"/>
    </row>
    <row r="904" spans="1:4" ht="12.75" customHeight="1">
      <c r="A904" s="33"/>
      <c r="B904" s="46"/>
      <c r="D904" s="47"/>
    </row>
    <row r="905" spans="1:4" ht="12.75" customHeight="1">
      <c r="A905" s="33"/>
      <c r="B905" s="46"/>
      <c r="D905" s="47"/>
    </row>
    <row r="906" spans="1:4" ht="12.75" customHeight="1">
      <c r="A906" s="33"/>
      <c r="B906" s="46"/>
      <c r="D906" s="47"/>
    </row>
    <row r="907" spans="1:4" ht="12.75" customHeight="1">
      <c r="A907" s="33"/>
      <c r="B907" s="46"/>
      <c r="D907" s="47"/>
    </row>
    <row r="908" spans="1:4" ht="12.75" customHeight="1">
      <c r="A908" s="33"/>
      <c r="B908" s="46"/>
      <c r="D908" s="47"/>
    </row>
    <row r="909" spans="1:4" ht="12.75" customHeight="1">
      <c r="A909" s="33"/>
      <c r="B909" s="46"/>
      <c r="D909" s="47"/>
    </row>
    <row r="910" spans="1:4" ht="12.75" customHeight="1">
      <c r="A910" s="33"/>
      <c r="B910" s="46"/>
      <c r="D910" s="47"/>
    </row>
    <row r="911" spans="1:4" ht="12.75" customHeight="1">
      <c r="A911" s="33"/>
      <c r="B911" s="46"/>
      <c r="D911" s="47"/>
    </row>
    <row r="912" spans="1:4" ht="12.75" customHeight="1">
      <c r="A912" s="33"/>
      <c r="B912" s="46"/>
      <c r="D912" s="47"/>
    </row>
    <row r="913" spans="1:4" ht="12.75" customHeight="1">
      <c r="A913" s="33"/>
      <c r="B913" s="46"/>
      <c r="D913" s="47"/>
    </row>
    <row r="914" spans="1:4" ht="12.75" customHeight="1">
      <c r="A914" s="33"/>
      <c r="B914" s="46"/>
      <c r="D914" s="47"/>
    </row>
    <row r="915" spans="1:4" ht="12.75" customHeight="1">
      <c r="A915" s="33"/>
      <c r="B915" s="46"/>
      <c r="D915" s="47"/>
    </row>
    <row r="916" spans="1:4" ht="12.75" customHeight="1">
      <c r="A916" s="33"/>
      <c r="B916" s="46"/>
      <c r="D916" s="47"/>
    </row>
    <row r="917" spans="1:4" ht="12.75" customHeight="1">
      <c r="A917" s="33"/>
      <c r="B917" s="46"/>
      <c r="D917" s="47"/>
    </row>
    <row r="918" spans="1:4" ht="12.75" customHeight="1">
      <c r="A918" s="33"/>
      <c r="B918" s="46"/>
      <c r="D918" s="47"/>
    </row>
    <row r="919" spans="1:4" ht="12.75" customHeight="1">
      <c r="A919" s="33"/>
      <c r="B919" s="46"/>
      <c r="D919" s="47"/>
    </row>
    <row r="920" spans="1:4" ht="12.75" customHeight="1">
      <c r="A920" s="33"/>
      <c r="B920" s="46"/>
      <c r="D920" s="47"/>
    </row>
    <row r="921" spans="1:4" ht="12.75" customHeight="1">
      <c r="A921" s="33"/>
      <c r="B921" s="46"/>
      <c r="D921" s="47"/>
    </row>
    <row r="922" spans="1:4" ht="12.75" customHeight="1">
      <c r="A922" s="33"/>
      <c r="B922" s="46"/>
      <c r="D922" s="47"/>
    </row>
    <row r="923" spans="1:4" ht="12.75" customHeight="1">
      <c r="A923" s="33"/>
      <c r="B923" s="46"/>
      <c r="D923" s="47"/>
    </row>
    <row r="924" spans="1:4" ht="12.75" customHeight="1">
      <c r="A924" s="33"/>
      <c r="B924" s="46"/>
      <c r="D924" s="47"/>
    </row>
    <row r="925" spans="1:4" ht="12.75" customHeight="1">
      <c r="A925" s="33"/>
      <c r="B925" s="46"/>
      <c r="D925" s="47"/>
    </row>
    <row r="926" spans="1:4" ht="12.75" customHeight="1">
      <c r="A926" s="33"/>
      <c r="B926" s="46"/>
      <c r="D926" s="47"/>
    </row>
    <row r="927" spans="1:4" ht="12.75" customHeight="1">
      <c r="A927" s="33"/>
      <c r="B927" s="46"/>
      <c r="D927" s="47"/>
    </row>
    <row r="928" spans="1:4" ht="12.75" customHeight="1">
      <c r="A928" s="33"/>
      <c r="B928" s="46"/>
      <c r="D928" s="47"/>
    </row>
    <row r="929" spans="1:4" ht="12.75" customHeight="1">
      <c r="A929" s="33"/>
      <c r="B929" s="46"/>
      <c r="D929" s="47"/>
    </row>
    <row r="930" spans="1:4" ht="12.75" customHeight="1">
      <c r="A930" s="33"/>
      <c r="B930" s="46"/>
      <c r="D930" s="47"/>
    </row>
    <row r="931" spans="1:4" ht="12.75" customHeight="1">
      <c r="A931" s="33"/>
      <c r="B931" s="46"/>
      <c r="D931" s="47"/>
    </row>
    <row r="932" spans="1:4" ht="12.75" customHeight="1">
      <c r="A932" s="33"/>
      <c r="B932" s="46"/>
      <c r="D932" s="47"/>
    </row>
    <row r="933" spans="1:4" ht="12.75" customHeight="1">
      <c r="A933" s="33"/>
      <c r="B933" s="46"/>
      <c r="D933" s="47"/>
    </row>
    <row r="934" spans="1:4" ht="12.75" customHeight="1">
      <c r="A934" s="33"/>
      <c r="B934" s="46"/>
      <c r="D934" s="47"/>
    </row>
    <row r="935" spans="1:4" ht="12.75" customHeight="1">
      <c r="A935" s="33"/>
      <c r="B935" s="46"/>
      <c r="D935" s="47"/>
    </row>
    <row r="936" spans="1:4" ht="12.75" customHeight="1">
      <c r="A936" s="33"/>
      <c r="B936" s="46"/>
      <c r="D936" s="47"/>
    </row>
    <row r="937" spans="1:4" ht="12.75" customHeight="1">
      <c r="A937" s="33"/>
      <c r="B937" s="46"/>
      <c r="D937" s="47"/>
    </row>
    <row r="938" spans="1:4" ht="12.75" customHeight="1">
      <c r="A938" s="33"/>
      <c r="B938" s="46"/>
      <c r="D938" s="47"/>
    </row>
    <row r="939" spans="1:4" ht="12.75" customHeight="1">
      <c r="A939" s="33"/>
      <c r="B939" s="46"/>
      <c r="D939" s="47"/>
    </row>
    <row r="940" spans="1:4" ht="12.75" customHeight="1">
      <c r="A940" s="33"/>
      <c r="B940" s="46"/>
      <c r="D940" s="47"/>
    </row>
    <row r="941" spans="1:4" ht="12.75" customHeight="1">
      <c r="A941" s="33"/>
      <c r="B941" s="46"/>
      <c r="D941" s="47"/>
    </row>
    <row r="942" spans="1:4" ht="12.75" customHeight="1">
      <c r="A942" s="33"/>
      <c r="B942" s="46"/>
      <c r="D942" s="47"/>
    </row>
    <row r="943" spans="1:4" ht="12.75" customHeight="1">
      <c r="A943" s="33"/>
      <c r="B943" s="46"/>
      <c r="D943" s="47"/>
    </row>
    <row r="944" spans="1:4" ht="12.75" customHeight="1">
      <c r="A944" s="33"/>
      <c r="B944" s="46"/>
      <c r="D944" s="47"/>
    </row>
    <row r="945" spans="1:4" ht="12.75" customHeight="1">
      <c r="A945" s="33"/>
      <c r="B945" s="46"/>
      <c r="D945" s="47"/>
    </row>
    <row r="946" spans="1:4" ht="12.75" customHeight="1">
      <c r="A946" s="33"/>
      <c r="B946" s="46"/>
      <c r="D946" s="47"/>
    </row>
    <row r="947" spans="1:4" ht="12.75" customHeight="1">
      <c r="A947" s="33"/>
      <c r="B947" s="46"/>
      <c r="D947" s="47"/>
    </row>
    <row r="948" spans="1:4" ht="12.75" customHeight="1">
      <c r="A948" s="33"/>
      <c r="B948" s="46"/>
      <c r="D948" s="47"/>
    </row>
    <row r="949" spans="1:4" ht="12.75" customHeight="1">
      <c r="A949" s="33"/>
      <c r="B949" s="46"/>
      <c r="D949" s="47"/>
    </row>
    <row r="950" spans="1:4" ht="12.75" customHeight="1">
      <c r="A950" s="33"/>
      <c r="B950" s="46"/>
      <c r="D950" s="47"/>
    </row>
    <row r="951" spans="1:4" ht="12.75" customHeight="1">
      <c r="A951" s="33"/>
      <c r="B951" s="46"/>
      <c r="D951" s="47"/>
    </row>
    <row r="952" spans="1:4" ht="12.75" customHeight="1">
      <c r="A952" s="33"/>
      <c r="B952" s="46"/>
      <c r="D952" s="47"/>
    </row>
    <row r="953" spans="1:4" ht="12.75" customHeight="1">
      <c r="A953" s="33"/>
      <c r="B953" s="46"/>
      <c r="D953" s="47"/>
    </row>
    <row r="954" spans="1:4" ht="12.75" customHeight="1">
      <c r="A954" s="33"/>
      <c r="B954" s="46"/>
      <c r="D954" s="47"/>
    </row>
    <row r="955" spans="1:4" ht="12.75" customHeight="1">
      <c r="A955" s="33"/>
      <c r="B955" s="46"/>
      <c r="D955" s="47"/>
    </row>
    <row r="956" spans="1:4" ht="12.75" customHeight="1">
      <c r="A956" s="33"/>
      <c r="B956" s="46"/>
      <c r="D956" s="47"/>
    </row>
    <row r="957" spans="1:4" ht="12.75" customHeight="1">
      <c r="A957" s="33"/>
      <c r="B957" s="46"/>
      <c r="D957" s="47"/>
    </row>
    <row r="958" spans="1:4" ht="12.75" customHeight="1">
      <c r="A958" s="33"/>
      <c r="B958" s="46"/>
      <c r="D958" s="47"/>
    </row>
    <row r="959" spans="1:4" ht="12.75" customHeight="1">
      <c r="A959" s="33"/>
      <c r="B959" s="46"/>
      <c r="D959" s="47"/>
    </row>
    <row r="960" spans="1:4" ht="12.75" customHeight="1">
      <c r="A960" s="33"/>
      <c r="B960" s="46"/>
      <c r="D960" s="47"/>
    </row>
    <row r="961" spans="1:4" ht="12.75" customHeight="1">
      <c r="A961" s="33"/>
      <c r="B961" s="46"/>
      <c r="D961" s="47"/>
    </row>
    <row r="962" spans="1:4" ht="12.75" customHeight="1">
      <c r="A962" s="33"/>
      <c r="B962" s="46"/>
      <c r="D962" s="47"/>
    </row>
    <row r="963" spans="1:4" ht="12.75" customHeight="1">
      <c r="A963" s="33"/>
      <c r="B963" s="46"/>
      <c r="D963" s="47"/>
    </row>
    <row r="964" spans="1:4" ht="12.75" customHeight="1">
      <c r="A964" s="33"/>
      <c r="B964" s="46"/>
      <c r="D964" s="47"/>
    </row>
    <row r="965" spans="1:4" ht="12.75" customHeight="1">
      <c r="A965" s="33"/>
      <c r="B965" s="46"/>
      <c r="D965" s="47"/>
    </row>
    <row r="966" spans="1:4" ht="12.75" customHeight="1">
      <c r="A966" s="33"/>
      <c r="B966" s="46"/>
      <c r="D966" s="47"/>
    </row>
    <row r="967" spans="1:4" ht="12.75" customHeight="1">
      <c r="A967" s="33"/>
      <c r="B967" s="46"/>
      <c r="D967" s="47"/>
    </row>
    <row r="968" spans="1:4" ht="12.75" customHeight="1">
      <c r="A968" s="33"/>
      <c r="B968" s="46"/>
      <c r="D968" s="47"/>
    </row>
    <row r="969" spans="1:4" ht="12.75" customHeight="1">
      <c r="A969" s="33"/>
      <c r="B969" s="46"/>
      <c r="D969" s="47"/>
    </row>
    <row r="970" spans="1:4" ht="12.75" customHeight="1">
      <c r="A970" s="33"/>
      <c r="B970" s="46"/>
      <c r="D970" s="47"/>
    </row>
    <row r="971" spans="1:4" ht="12.75" customHeight="1">
      <c r="A971" s="33"/>
      <c r="B971" s="46"/>
      <c r="D971" s="47"/>
    </row>
    <row r="972" spans="1:4" ht="12.75" customHeight="1">
      <c r="A972" s="33"/>
      <c r="B972" s="46"/>
      <c r="D972" s="47"/>
    </row>
    <row r="973" spans="1:4" ht="12.75" customHeight="1">
      <c r="A973" s="33"/>
      <c r="B973" s="46"/>
      <c r="D973" s="47"/>
    </row>
    <row r="974" spans="1:4" ht="12.75" customHeight="1">
      <c r="A974" s="33"/>
      <c r="B974" s="46"/>
      <c r="D974" s="47"/>
    </row>
    <row r="975" spans="1:4" ht="12.75" customHeight="1">
      <c r="A975" s="33"/>
      <c r="B975" s="46"/>
      <c r="D975" s="47"/>
    </row>
    <row r="976" spans="1:4" ht="12.75" customHeight="1">
      <c r="A976" s="33"/>
      <c r="B976" s="46"/>
      <c r="D976" s="47"/>
    </row>
    <row r="977" spans="1:4" ht="12.75" customHeight="1">
      <c r="A977" s="33"/>
      <c r="B977" s="46"/>
      <c r="D977" s="47"/>
    </row>
    <row r="978" spans="1:4" ht="12.75" customHeight="1">
      <c r="A978" s="33"/>
      <c r="B978" s="46"/>
      <c r="D978" s="47"/>
    </row>
    <row r="979" spans="1:4" ht="12.75" customHeight="1">
      <c r="A979" s="33"/>
      <c r="B979" s="46"/>
      <c r="D979" s="47"/>
    </row>
    <row r="980" spans="1:4" ht="12.75" customHeight="1">
      <c r="A980" s="33"/>
      <c r="B980" s="46"/>
      <c r="D980" s="47"/>
    </row>
    <row r="981" spans="1:4" ht="12.75" customHeight="1">
      <c r="A981" s="33"/>
      <c r="B981" s="46"/>
      <c r="D981" s="47"/>
    </row>
    <row r="982" spans="1:4" ht="12.75" customHeight="1">
      <c r="A982" s="33"/>
      <c r="B982" s="46"/>
      <c r="D982" s="47"/>
    </row>
    <row r="983" spans="1:4" ht="12.75" customHeight="1">
      <c r="A983" s="33"/>
      <c r="B983" s="46"/>
      <c r="D983" s="47"/>
    </row>
    <row r="984" spans="1:4" ht="12.75" customHeight="1">
      <c r="A984" s="33"/>
      <c r="B984" s="46"/>
      <c r="D984" s="47"/>
    </row>
    <row r="985" spans="1:4" ht="12.75" customHeight="1">
      <c r="A985" s="33"/>
      <c r="B985" s="46"/>
      <c r="D985" s="47"/>
    </row>
    <row r="986" spans="1:4" ht="12.75" customHeight="1">
      <c r="A986" s="33"/>
      <c r="B986" s="46"/>
      <c r="D986" s="47"/>
    </row>
    <row r="987" spans="1:4" ht="12.75" customHeight="1">
      <c r="A987" s="33"/>
      <c r="B987" s="46"/>
      <c r="D987" s="47"/>
    </row>
    <row r="988" spans="1:4" ht="12.75" customHeight="1">
      <c r="A988" s="33"/>
      <c r="B988" s="46"/>
      <c r="D988" s="47"/>
    </row>
    <row r="989" spans="1:4" ht="12.75" customHeight="1">
      <c r="A989" s="33"/>
      <c r="B989" s="46"/>
      <c r="D989" s="47"/>
    </row>
    <row r="990" spans="1:4" ht="12.75" customHeight="1">
      <c r="A990" s="33"/>
      <c r="B990" s="46"/>
      <c r="D990" s="47"/>
    </row>
    <row r="991" spans="1:4" ht="12.75" customHeight="1">
      <c r="A991" s="33"/>
      <c r="B991" s="46"/>
      <c r="D991" s="47"/>
    </row>
    <row r="992" spans="1:4" ht="12.75" customHeight="1">
      <c r="A992" s="33"/>
      <c r="B992" s="46"/>
      <c r="D992" s="47"/>
    </row>
    <row r="993" spans="1:4" ht="12.75" customHeight="1">
      <c r="A993" s="33"/>
      <c r="B993" s="46"/>
      <c r="D993" s="47"/>
    </row>
    <row r="994" spans="1:4" ht="12.75" customHeight="1">
      <c r="A994" s="33"/>
      <c r="B994" s="46"/>
      <c r="D994" s="47"/>
    </row>
    <row r="995" spans="1:4" ht="12.75" customHeight="1">
      <c r="A995" s="33"/>
      <c r="B995" s="46"/>
      <c r="D995" s="47"/>
    </row>
    <row r="996" spans="1:4" ht="12.75" customHeight="1">
      <c r="A996" s="33"/>
      <c r="B996" s="46"/>
      <c r="D996" s="47"/>
    </row>
    <row r="997" spans="1:4" ht="12.75" customHeight="1">
      <c r="A997" s="33"/>
      <c r="B997" s="46"/>
      <c r="D997" s="47"/>
    </row>
    <row r="998" spans="1:4" ht="12.75" customHeight="1">
      <c r="A998" s="33"/>
      <c r="B998" s="46"/>
      <c r="D998" s="47"/>
    </row>
    <row r="999" spans="1:4" ht="12.75" customHeight="1">
      <c r="A999" s="33"/>
      <c r="B999" s="46"/>
      <c r="D999" s="47"/>
    </row>
    <row r="1000" spans="1:4" ht="12.75" customHeight="1">
      <c r="A1000" s="33"/>
      <c r="B1000" s="46"/>
      <c r="D1000" s="47"/>
    </row>
    <row r="1001" spans="1:4" ht="12.75" customHeight="1">
      <c r="A1001" s="33"/>
      <c r="B1001" s="46"/>
      <c r="D1001" s="47"/>
    </row>
    <row r="1002" spans="1:4" ht="12.75" customHeight="1">
      <c r="A1002" s="33"/>
      <c r="B1002" s="46"/>
      <c r="D1002" s="47"/>
    </row>
    <row r="1003" spans="1:4" ht="12.75" customHeight="1">
      <c r="A1003" s="33"/>
      <c r="B1003" s="46"/>
      <c r="D1003" s="47"/>
    </row>
    <row r="1004" spans="1:4" ht="12.75" customHeight="1">
      <c r="A1004" s="33"/>
      <c r="B1004" s="46"/>
      <c r="D1004" s="47"/>
    </row>
    <row r="1005" spans="1:4" ht="12.75" customHeight="1">
      <c r="A1005" s="33"/>
      <c r="B1005" s="46"/>
      <c r="D1005" s="47"/>
    </row>
    <row r="1006" spans="1:4" ht="12.75" customHeight="1">
      <c r="A1006" s="33"/>
      <c r="B1006" s="46"/>
      <c r="D1006" s="47"/>
    </row>
    <row r="1007" spans="1:4" ht="12.75" customHeight="1">
      <c r="A1007" s="33"/>
      <c r="B1007" s="46"/>
      <c r="D1007" s="47"/>
    </row>
    <row r="1008" spans="1:4" ht="12.75" customHeight="1">
      <c r="A1008" s="33"/>
      <c r="B1008" s="46"/>
      <c r="D1008" s="47"/>
    </row>
    <row r="1009" spans="1:4" ht="12.75" customHeight="1">
      <c r="A1009" s="33"/>
      <c r="B1009" s="46"/>
      <c r="D1009" s="47"/>
    </row>
    <row r="1010" spans="1:4" ht="12.75" customHeight="1">
      <c r="A1010" s="33"/>
      <c r="B1010" s="46"/>
      <c r="D1010" s="47"/>
    </row>
    <row r="1011" spans="1:4" ht="12.75" customHeight="1">
      <c r="A1011" s="33"/>
      <c r="B1011" s="46"/>
      <c r="D1011" s="47"/>
    </row>
    <row r="1012" spans="1:4" ht="12.75" customHeight="1">
      <c r="A1012" s="33"/>
      <c r="B1012" s="46"/>
      <c r="D1012" s="47"/>
    </row>
    <row r="1013" spans="1:4" ht="12.75" customHeight="1">
      <c r="A1013" s="33"/>
      <c r="B1013" s="46"/>
      <c r="D1013" s="47"/>
    </row>
    <row r="1014" spans="1:4" ht="12.75" customHeight="1">
      <c r="A1014" s="33"/>
      <c r="B1014" s="46"/>
      <c r="D1014" s="47"/>
    </row>
    <row r="1015" spans="1:4" ht="12.75" customHeight="1">
      <c r="A1015" s="33"/>
      <c r="B1015" s="46"/>
      <c r="D1015" s="47"/>
    </row>
    <row r="1016" spans="1:4" ht="12.75" customHeight="1">
      <c r="A1016" s="33"/>
      <c r="B1016" s="46"/>
      <c r="D1016" s="47"/>
    </row>
    <row r="1017" spans="1:4" ht="12.75" customHeight="1">
      <c r="A1017" s="33"/>
      <c r="B1017" s="46"/>
      <c r="D1017" s="47"/>
    </row>
    <row r="1018" spans="1:4" ht="12.75" customHeight="1">
      <c r="A1018" s="33"/>
      <c r="B1018" s="46"/>
      <c r="D1018" s="47"/>
    </row>
    <row r="1019" spans="1:4" ht="12.75" customHeight="1">
      <c r="A1019" s="33"/>
      <c r="B1019" s="46"/>
      <c r="D1019" s="47"/>
    </row>
    <row r="1020" spans="1:4" ht="12.75" customHeight="1">
      <c r="A1020" s="33"/>
      <c r="B1020" s="46"/>
      <c r="D1020" s="47"/>
    </row>
    <row r="1021" spans="1:4" ht="12.75" customHeight="1">
      <c r="A1021" s="33"/>
      <c r="B1021" s="46"/>
      <c r="D1021" s="47"/>
    </row>
    <row r="1022" spans="1:4" ht="12.75" customHeight="1">
      <c r="A1022" s="33"/>
      <c r="B1022" s="46"/>
      <c r="D1022" s="47"/>
    </row>
    <row r="1023" spans="1:4" ht="12.75" customHeight="1">
      <c r="A1023" s="33"/>
      <c r="B1023" s="46"/>
      <c r="D1023" s="47"/>
    </row>
  </sheetData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CA5BB6-96A7-4E97-8E48-0C22999FED40}">
  <dimension ref="A1:T34"/>
  <sheetViews>
    <sheetView tabSelected="1" workbookViewId="0">
      <selection activeCell="H30" sqref="H30"/>
    </sheetView>
  </sheetViews>
  <sheetFormatPr defaultColWidth="10.7109375" defaultRowHeight="12.95"/>
  <cols>
    <col min="2" max="2" width="11.85546875" bestFit="1" customWidth="1"/>
    <col min="3" max="3" width="10.28515625" bestFit="1" customWidth="1"/>
    <col min="4" max="4" width="16.85546875" bestFit="1" customWidth="1"/>
    <col min="7" max="7" width="13" bestFit="1" customWidth="1"/>
    <col min="8" max="8" width="13.42578125" customWidth="1"/>
    <col min="9" max="9" width="11.42578125" bestFit="1" customWidth="1"/>
    <col min="12" max="12" width="11.42578125" bestFit="1" customWidth="1"/>
    <col min="13" max="13" width="13" bestFit="1" customWidth="1"/>
    <col min="15" max="15" width="13" bestFit="1" customWidth="1"/>
    <col min="16" max="16" width="11.85546875" bestFit="1" customWidth="1"/>
    <col min="18" max="18" width="14.85546875" bestFit="1" customWidth="1"/>
  </cols>
  <sheetData>
    <row r="1" spans="1:19" ht="27.95">
      <c r="A1" s="48" t="s">
        <v>1352</v>
      </c>
      <c r="B1" s="48" t="s">
        <v>1356</v>
      </c>
      <c r="C1" s="48" t="s">
        <v>1411</v>
      </c>
      <c r="D1" s="49" t="s">
        <v>1412</v>
      </c>
      <c r="E1" s="95"/>
      <c r="F1" s="48" t="s">
        <v>1352</v>
      </c>
      <c r="G1" s="48" t="s">
        <v>1413</v>
      </c>
      <c r="H1" s="150" t="s">
        <v>1414</v>
      </c>
      <c r="I1" s="96" t="s">
        <v>1415</v>
      </c>
      <c r="J1" s="85" t="s">
        <v>1416</v>
      </c>
      <c r="K1" s="85" t="s">
        <v>571</v>
      </c>
      <c r="L1" s="85" t="s">
        <v>1417</v>
      </c>
      <c r="M1" s="48" t="s">
        <v>1418</v>
      </c>
    </row>
    <row r="2" spans="1:19">
      <c r="A2" s="65">
        <v>45839</v>
      </c>
      <c r="B2" s="82">
        <f>+GETPIVOTDATA("GANANCIA",Ventas!$G$1,"FECHA",DATE(2026,7,1))</f>
        <v>16600</v>
      </c>
      <c r="C2" s="82"/>
      <c r="D2" s="82">
        <f>+B2-C2+'P&amp;G JUNIO'!H31</f>
        <v>42124</v>
      </c>
      <c r="F2" s="65">
        <v>45839</v>
      </c>
      <c r="G2" s="82"/>
      <c r="H2" s="151">
        <f>+D2-3500-35000-5000</f>
        <v>-1376</v>
      </c>
      <c r="I2" s="82">
        <v>0</v>
      </c>
      <c r="J2" s="82"/>
      <c r="K2" s="82"/>
      <c r="L2" s="82"/>
      <c r="M2" s="82">
        <f>+G2-H2-I2-J2-K2-L2</f>
        <v>1376</v>
      </c>
      <c r="O2" s="104"/>
    </row>
    <row r="3" spans="1:19">
      <c r="A3" s="65">
        <v>45840</v>
      </c>
      <c r="B3" s="82">
        <v>0</v>
      </c>
      <c r="C3" s="82"/>
      <c r="D3" s="82">
        <f t="shared" ref="D3:D32" si="0">+B3-C3</f>
        <v>0</v>
      </c>
      <c r="F3" s="65">
        <v>45840</v>
      </c>
      <c r="G3" s="82">
        <v>0</v>
      </c>
      <c r="H3" s="151">
        <f>+D3+H2-36000-7500-4200-3500</f>
        <v>-52576</v>
      </c>
      <c r="I3" s="82">
        <v>0</v>
      </c>
      <c r="J3" s="82"/>
      <c r="K3" s="82"/>
      <c r="L3" s="82"/>
      <c r="M3" s="82">
        <f t="shared" ref="M3:M32" si="1">+G3-H3-I3-J3-K3-L3</f>
        <v>52576</v>
      </c>
    </row>
    <row r="4" spans="1:19">
      <c r="A4" s="65">
        <v>45841</v>
      </c>
      <c r="B4" s="82">
        <f>+GETPIVOTDATA("GANANCIA",Ventas!$G$1,"FECHA",DATE(2026,7,3))</f>
        <v>17400</v>
      </c>
      <c r="C4" s="82"/>
      <c r="D4" s="82">
        <f t="shared" si="0"/>
        <v>17400</v>
      </c>
      <c r="F4" s="65">
        <v>45841</v>
      </c>
      <c r="G4" s="82">
        <v>0</v>
      </c>
      <c r="H4" s="151">
        <f>+D4+H3+80000-41000</f>
        <v>3824</v>
      </c>
      <c r="I4" s="82">
        <v>0</v>
      </c>
      <c r="J4" s="82"/>
      <c r="K4" s="82"/>
      <c r="L4" s="82"/>
      <c r="M4" s="82">
        <f t="shared" si="1"/>
        <v>-3824</v>
      </c>
    </row>
    <row r="5" spans="1:19">
      <c r="A5" s="65">
        <v>45842</v>
      </c>
      <c r="B5" s="82">
        <v>0</v>
      </c>
      <c r="C5" s="82"/>
      <c r="D5" s="82">
        <f t="shared" si="0"/>
        <v>0</v>
      </c>
      <c r="F5" s="65">
        <v>45842</v>
      </c>
      <c r="G5" s="82">
        <v>0</v>
      </c>
      <c r="H5" s="151">
        <f>+D5+H4+50000</f>
        <v>53824</v>
      </c>
      <c r="I5" s="82">
        <v>0</v>
      </c>
      <c r="J5" s="82"/>
      <c r="K5" s="82"/>
      <c r="L5" s="82"/>
      <c r="M5" s="82">
        <f t="shared" si="1"/>
        <v>-53824</v>
      </c>
      <c r="O5" s="104"/>
    </row>
    <row r="6" spans="1:19">
      <c r="A6" s="65">
        <v>45843</v>
      </c>
      <c r="B6" s="82">
        <v>0</v>
      </c>
      <c r="C6" s="82"/>
      <c r="D6" s="82">
        <f t="shared" si="0"/>
        <v>0</v>
      </c>
      <c r="F6" s="65">
        <v>45843</v>
      </c>
      <c r="G6" s="82">
        <v>0</v>
      </c>
      <c r="H6" s="151">
        <f>+D6+H5-5300+13500-5241-7000</f>
        <v>49783</v>
      </c>
      <c r="I6" s="82">
        <v>0</v>
      </c>
      <c r="J6" s="82"/>
      <c r="K6" s="82"/>
      <c r="L6" s="82"/>
      <c r="M6" s="82">
        <f t="shared" si="1"/>
        <v>-49783</v>
      </c>
      <c r="O6" s="104"/>
    </row>
    <row r="7" spans="1:19">
      <c r="A7" s="65">
        <v>45844</v>
      </c>
      <c r="B7" s="82">
        <f>+GETPIVOTDATA("GANANCIA",Ventas!$G$1,"FECHA",DATE(2026,7,6))</f>
        <v>4000</v>
      </c>
      <c r="C7" s="82"/>
      <c r="D7" s="82">
        <f t="shared" si="0"/>
        <v>4000</v>
      </c>
      <c r="F7" s="65">
        <v>45844</v>
      </c>
      <c r="G7" s="82">
        <v>0</v>
      </c>
      <c r="H7" s="151">
        <f>+D7+H6+30000-10500-9957-3000-14000</f>
        <v>46326</v>
      </c>
      <c r="I7" s="82">
        <v>0</v>
      </c>
      <c r="J7" s="82"/>
      <c r="K7" s="82"/>
      <c r="L7" s="82"/>
      <c r="M7" s="82">
        <f t="shared" si="1"/>
        <v>-46326</v>
      </c>
    </row>
    <row r="8" spans="1:19">
      <c r="A8" s="65">
        <v>45845</v>
      </c>
      <c r="B8" s="82">
        <v>0</v>
      </c>
      <c r="C8" s="82"/>
      <c r="D8" s="82">
        <f t="shared" si="0"/>
        <v>0</v>
      </c>
      <c r="F8" s="65">
        <v>45845</v>
      </c>
      <c r="G8" s="82">
        <v>0</v>
      </c>
      <c r="H8" s="151">
        <f>+D8+H7-5000-4600-34880</f>
        <v>1846</v>
      </c>
      <c r="I8" s="82">
        <v>0</v>
      </c>
      <c r="J8" s="82"/>
      <c r="K8" s="82"/>
      <c r="L8" s="82"/>
      <c r="M8" s="82">
        <f t="shared" si="1"/>
        <v>-1846</v>
      </c>
      <c r="O8" s="104"/>
    </row>
    <row r="9" spans="1:19">
      <c r="A9" s="65">
        <v>45846</v>
      </c>
      <c r="B9" s="82">
        <f>+GETPIVOTDATA("GANANCIA",Ventas!$G$1,"FECHA",DATE(2026,7,8))</f>
        <v>6000</v>
      </c>
      <c r="C9" s="82"/>
      <c r="D9" s="82">
        <f t="shared" si="0"/>
        <v>6000</v>
      </c>
      <c r="F9" s="65">
        <v>45846</v>
      </c>
      <c r="G9" s="82">
        <v>0</v>
      </c>
      <c r="H9" s="151">
        <f>+D9+H8-4900-3500</f>
        <v>-554</v>
      </c>
      <c r="I9" s="82">
        <v>0</v>
      </c>
      <c r="J9" s="82"/>
      <c r="K9" s="82"/>
      <c r="L9" s="82"/>
      <c r="M9" s="82">
        <f t="shared" si="1"/>
        <v>554</v>
      </c>
      <c r="O9" s="104"/>
    </row>
    <row r="10" spans="1:19">
      <c r="A10" s="65">
        <v>45847</v>
      </c>
      <c r="B10" s="82">
        <f>+GETPIVOTDATA("GANANCIA",Ventas!$G$1,"FECHA",DATE(2026,7,9))</f>
        <v>33700</v>
      </c>
      <c r="C10" s="82"/>
      <c r="D10" s="82">
        <f t="shared" si="0"/>
        <v>33700</v>
      </c>
      <c r="F10" s="65">
        <v>45847</v>
      </c>
      <c r="G10" s="82">
        <v>0</v>
      </c>
      <c r="H10" s="151">
        <f>+D10+H9-1000-3500-7200</f>
        <v>21446</v>
      </c>
      <c r="I10" s="82">
        <v>0</v>
      </c>
      <c r="J10" s="82"/>
      <c r="K10" s="82"/>
      <c r="L10" s="82"/>
      <c r="M10" s="82">
        <f t="shared" si="1"/>
        <v>-21446</v>
      </c>
    </row>
    <row r="11" spans="1:19">
      <c r="A11" s="65">
        <v>45848</v>
      </c>
      <c r="B11" s="82">
        <f>+GETPIVOTDATA("GANANCIA",Ventas!$G$1,"FECHA",DATE(2026,7,10))</f>
        <v>6000</v>
      </c>
      <c r="C11" s="82"/>
      <c r="D11" s="82">
        <f t="shared" si="0"/>
        <v>6000</v>
      </c>
      <c r="F11" s="65">
        <v>45848</v>
      </c>
      <c r="G11" s="82">
        <v>0</v>
      </c>
      <c r="H11" s="151">
        <f>+D11+H10-4500-11000-5800</f>
        <v>6146</v>
      </c>
      <c r="I11" s="82">
        <v>0</v>
      </c>
      <c r="J11" s="82"/>
      <c r="K11" s="82"/>
      <c r="L11" s="82"/>
      <c r="M11" s="82">
        <f t="shared" si="1"/>
        <v>-6146</v>
      </c>
      <c r="O11" s="104"/>
    </row>
    <row r="12" spans="1:19">
      <c r="A12" s="65">
        <v>45849</v>
      </c>
      <c r="B12" s="82">
        <v>0</v>
      </c>
      <c r="C12" s="82"/>
      <c r="D12" s="82">
        <f t="shared" si="0"/>
        <v>0</v>
      </c>
      <c r="F12" s="65">
        <v>45849</v>
      </c>
      <c r="G12" s="82">
        <v>0</v>
      </c>
      <c r="H12" s="151">
        <f>+D12+H11</f>
        <v>6146</v>
      </c>
      <c r="I12" s="82">
        <v>0</v>
      </c>
      <c r="J12" s="82"/>
      <c r="K12" s="82"/>
      <c r="L12" s="82"/>
      <c r="M12" s="82">
        <f t="shared" si="1"/>
        <v>-6146</v>
      </c>
      <c r="O12" s="104"/>
      <c r="P12" s="104"/>
      <c r="Q12" s="104"/>
      <c r="R12" s="104"/>
    </row>
    <row r="13" spans="1:19">
      <c r="A13" s="65">
        <v>45850</v>
      </c>
      <c r="B13" s="82">
        <v>0</v>
      </c>
      <c r="C13" s="82"/>
      <c r="D13" s="82">
        <f t="shared" si="0"/>
        <v>0</v>
      </c>
      <c r="F13" s="65">
        <v>45850</v>
      </c>
      <c r="G13" s="82">
        <v>0</v>
      </c>
      <c r="H13" s="151">
        <f>+D13+H12-6900</f>
        <v>-754</v>
      </c>
      <c r="I13" s="82">
        <v>0</v>
      </c>
      <c r="J13" s="82"/>
      <c r="K13" s="82"/>
      <c r="L13" s="82"/>
      <c r="M13" s="82">
        <f t="shared" si="1"/>
        <v>754</v>
      </c>
      <c r="O13" s="104"/>
      <c r="P13" s="104"/>
      <c r="Q13" s="104"/>
      <c r="R13" s="104"/>
    </row>
    <row r="14" spans="1:19">
      <c r="A14" s="65">
        <v>45851</v>
      </c>
      <c r="B14" s="82">
        <v>0</v>
      </c>
      <c r="C14" s="82"/>
      <c r="D14" s="82">
        <f t="shared" si="0"/>
        <v>0</v>
      </c>
      <c r="F14" s="65">
        <v>45851</v>
      </c>
      <c r="G14" s="82">
        <v>0</v>
      </c>
      <c r="H14" s="151">
        <f>+D14+H13-2900</f>
        <v>-3654</v>
      </c>
      <c r="I14" s="82">
        <v>0</v>
      </c>
      <c r="J14" s="82"/>
      <c r="K14" s="82"/>
      <c r="L14" s="82"/>
      <c r="M14" s="82">
        <f t="shared" si="1"/>
        <v>3654</v>
      </c>
      <c r="O14" s="104"/>
      <c r="P14" s="104"/>
      <c r="Q14" s="104"/>
      <c r="R14" s="104"/>
    </row>
    <row r="15" spans="1:19">
      <c r="A15" s="65">
        <v>45852</v>
      </c>
      <c r="B15" s="82">
        <f>+GETPIVOTDATA("GANANCIA",Ventas!$G$1,"FECHA",DATE(2026,7,14))</f>
        <v>3000</v>
      </c>
      <c r="C15" s="82"/>
      <c r="D15" s="82">
        <f t="shared" si="0"/>
        <v>3000</v>
      </c>
      <c r="F15" s="65">
        <v>45852</v>
      </c>
      <c r="G15" s="82">
        <v>0</v>
      </c>
      <c r="H15" s="151">
        <f>+D15+H14</f>
        <v>-654</v>
      </c>
      <c r="I15" s="82">
        <v>0</v>
      </c>
      <c r="J15" s="82"/>
      <c r="K15" s="82"/>
      <c r="L15" s="82"/>
      <c r="M15" s="82">
        <f t="shared" si="1"/>
        <v>654</v>
      </c>
      <c r="O15" s="104"/>
      <c r="P15" s="104"/>
      <c r="Q15" s="104"/>
      <c r="R15" s="104"/>
    </row>
    <row r="16" spans="1:19">
      <c r="A16" s="65">
        <v>45853</v>
      </c>
      <c r="B16" s="82">
        <f>+GETPIVOTDATA("GANANCIA",Ventas!$G$1,"FECHA",DATE(2026,7,15))</f>
        <v>18100</v>
      </c>
      <c r="C16" s="82"/>
      <c r="D16" s="82">
        <f t="shared" si="0"/>
        <v>18100</v>
      </c>
      <c r="F16" s="65">
        <v>45853</v>
      </c>
      <c r="G16" s="82">
        <v>0</v>
      </c>
      <c r="H16" s="151">
        <f>+D16+H15-6500+12800</f>
        <v>23746</v>
      </c>
      <c r="I16" s="82">
        <v>0</v>
      </c>
      <c r="J16" s="82"/>
      <c r="K16" s="82"/>
      <c r="L16" s="82"/>
      <c r="M16" s="82">
        <f t="shared" si="1"/>
        <v>-23746</v>
      </c>
      <c r="S16" s="104"/>
    </row>
    <row r="17" spans="1:20">
      <c r="A17" s="65">
        <v>45854</v>
      </c>
      <c r="B17" s="82">
        <f>+Ventas!H163</f>
        <v>10900</v>
      </c>
      <c r="C17" s="82"/>
      <c r="D17" s="82">
        <f t="shared" si="0"/>
        <v>10900</v>
      </c>
      <c r="F17" s="65">
        <v>45854</v>
      </c>
      <c r="G17" s="82">
        <v>0</v>
      </c>
      <c r="H17" s="151">
        <f>+D17+15000</f>
        <v>25900</v>
      </c>
      <c r="I17" s="82">
        <v>0</v>
      </c>
      <c r="J17" s="82"/>
      <c r="K17" s="82"/>
      <c r="L17" s="82"/>
      <c r="M17" s="82">
        <f>+G17-H17-I17-J17-K17-L17</f>
        <v>-25900</v>
      </c>
      <c r="O17" s="104"/>
      <c r="P17" s="104"/>
      <c r="R17" s="104"/>
      <c r="S17" s="104"/>
      <c r="T17" s="104"/>
    </row>
    <row r="18" spans="1:20">
      <c r="A18" s="65">
        <v>45855</v>
      </c>
      <c r="B18" s="82">
        <f>+Ventas!H164</f>
        <v>6100</v>
      </c>
      <c r="C18" s="82"/>
      <c r="D18" s="82">
        <f t="shared" si="0"/>
        <v>6100</v>
      </c>
      <c r="F18" s="65">
        <v>45855</v>
      </c>
      <c r="G18" s="82">
        <v>0</v>
      </c>
      <c r="H18" s="151">
        <f t="shared" ref="H18:H32" si="2">+D18+H17</f>
        <v>32000</v>
      </c>
      <c r="I18" s="82">
        <v>0</v>
      </c>
      <c r="J18" s="82"/>
      <c r="K18" s="82"/>
      <c r="L18" s="82"/>
      <c r="M18" s="82">
        <f t="shared" si="1"/>
        <v>-32000</v>
      </c>
      <c r="O18" s="104"/>
      <c r="P18" s="104"/>
      <c r="Q18" s="104"/>
      <c r="R18" s="104"/>
    </row>
    <row r="19" spans="1:20">
      <c r="A19" s="65">
        <v>45856</v>
      </c>
      <c r="B19" s="82">
        <f>+Ventas!H165</f>
        <v>4000</v>
      </c>
      <c r="C19" s="82"/>
      <c r="D19" s="82">
        <f t="shared" si="0"/>
        <v>4000</v>
      </c>
      <c r="F19" s="65">
        <v>45856</v>
      </c>
      <c r="G19" s="82">
        <v>0</v>
      </c>
      <c r="H19" s="151">
        <f>+D19+H18+20000+4000</f>
        <v>60000</v>
      </c>
      <c r="I19" s="82">
        <v>0</v>
      </c>
      <c r="J19" s="82"/>
      <c r="K19" s="82"/>
      <c r="L19" s="82">
        <v>0</v>
      </c>
      <c r="M19" s="82">
        <f>+G19-H19-I19-J19-K19-L19</f>
        <v>-60000</v>
      </c>
      <c r="O19" s="104"/>
      <c r="P19" s="104"/>
      <c r="R19" s="104"/>
      <c r="S19" s="104"/>
    </row>
    <row r="20" spans="1:20">
      <c r="A20" s="65">
        <v>45857</v>
      </c>
      <c r="B20" s="82">
        <f>+Ventas!H166</f>
        <v>14600</v>
      </c>
      <c r="C20" s="82"/>
      <c r="D20" s="82">
        <f t="shared" si="0"/>
        <v>14600</v>
      </c>
      <c r="F20" s="65">
        <v>45857</v>
      </c>
      <c r="G20" s="82">
        <v>0</v>
      </c>
      <c r="H20" s="151">
        <f>+D20+H19-33000</f>
        <v>41600</v>
      </c>
      <c r="I20" s="82">
        <v>0</v>
      </c>
      <c r="J20" s="82"/>
      <c r="K20" s="82"/>
      <c r="L20" s="82"/>
      <c r="M20" s="82">
        <f t="shared" si="1"/>
        <v>-41600</v>
      </c>
      <c r="O20" s="104"/>
      <c r="P20" s="104"/>
    </row>
    <row r="21" spans="1:20">
      <c r="A21" s="65">
        <v>45858</v>
      </c>
      <c r="B21" s="82"/>
      <c r="C21" s="82"/>
      <c r="D21" s="82">
        <f t="shared" si="0"/>
        <v>0</v>
      </c>
      <c r="F21" s="65">
        <v>45858</v>
      </c>
      <c r="G21" s="82">
        <v>0</v>
      </c>
      <c r="H21" s="151">
        <f>+D21+H20-10000</f>
        <v>31600</v>
      </c>
      <c r="I21" s="82">
        <v>0</v>
      </c>
      <c r="J21" s="82"/>
      <c r="K21" s="82"/>
      <c r="L21" s="82"/>
      <c r="M21" s="82">
        <f t="shared" si="1"/>
        <v>-31600</v>
      </c>
      <c r="P21" s="104"/>
      <c r="S21" s="104"/>
      <c r="T21" s="104"/>
    </row>
    <row r="22" spans="1:20">
      <c r="A22" s="65">
        <v>45859</v>
      </c>
      <c r="B22" s="82">
        <f>+Ventas!H167</f>
        <v>28000</v>
      </c>
      <c r="C22" s="82"/>
      <c r="D22" s="82">
        <f t="shared" si="0"/>
        <v>28000</v>
      </c>
      <c r="F22" s="65">
        <v>45859</v>
      </c>
      <c r="G22" s="82">
        <v>0</v>
      </c>
      <c r="H22" s="151">
        <f>+D22+H21-8400-15000</f>
        <v>36200</v>
      </c>
      <c r="I22" s="82">
        <v>0</v>
      </c>
      <c r="J22" s="82"/>
      <c r="K22" s="82"/>
      <c r="L22" s="82"/>
      <c r="M22" s="82">
        <f t="shared" si="1"/>
        <v>-36200</v>
      </c>
    </row>
    <row r="23" spans="1:20">
      <c r="A23" s="65">
        <v>45860</v>
      </c>
      <c r="B23" s="82">
        <f>+Ventas!H168</f>
        <v>14500</v>
      </c>
      <c r="C23" s="82"/>
      <c r="D23" s="82">
        <f t="shared" si="0"/>
        <v>14500</v>
      </c>
      <c r="F23" s="65">
        <v>45860</v>
      </c>
      <c r="G23" s="82">
        <v>0</v>
      </c>
      <c r="H23" s="151">
        <f>+D23+H22-27000</f>
        <v>23700</v>
      </c>
      <c r="I23" s="82">
        <v>0</v>
      </c>
      <c r="J23" s="82"/>
      <c r="K23" s="82"/>
      <c r="L23" s="82"/>
      <c r="M23" s="82">
        <f t="shared" si="1"/>
        <v>-23700</v>
      </c>
      <c r="P23" s="104"/>
      <c r="S23" s="104"/>
    </row>
    <row r="24" spans="1:20">
      <c r="A24" s="65">
        <v>45861</v>
      </c>
      <c r="B24" s="82">
        <f>+GETPIVOTDATA("GANANCIA",Ventas!$G$1,"FECHA",DATE(2026,7,23))</f>
        <v>4000</v>
      </c>
      <c r="C24" s="82"/>
      <c r="D24" s="82">
        <f t="shared" si="0"/>
        <v>4000</v>
      </c>
      <c r="F24" s="65">
        <v>45861</v>
      </c>
      <c r="G24" s="82">
        <v>0</v>
      </c>
      <c r="H24" s="151">
        <f t="shared" si="2"/>
        <v>27700</v>
      </c>
      <c r="I24" s="82">
        <v>0</v>
      </c>
      <c r="J24" s="82"/>
      <c r="K24" s="82"/>
      <c r="L24" s="82"/>
      <c r="M24" s="82">
        <f t="shared" si="1"/>
        <v>-27700</v>
      </c>
      <c r="O24" s="104"/>
      <c r="P24" s="104"/>
    </row>
    <row r="25" spans="1:20">
      <c r="A25" s="65">
        <v>45862</v>
      </c>
      <c r="B25" s="82">
        <f>+GETPIVOTDATA("GANANCIA",Ventas!$G$1,"FECHA",DATE(2026,7,24))</f>
        <v>8500</v>
      </c>
      <c r="C25" s="82"/>
      <c r="D25" s="82">
        <f t="shared" si="0"/>
        <v>8500</v>
      </c>
      <c r="F25" s="65">
        <v>45862</v>
      </c>
      <c r="G25" s="82">
        <v>0</v>
      </c>
      <c r="H25" s="151">
        <f>+D25+H24-30000</f>
        <v>6200</v>
      </c>
      <c r="I25" s="82">
        <v>0</v>
      </c>
      <c r="J25" s="82"/>
      <c r="K25" s="82"/>
      <c r="L25" s="82"/>
      <c r="M25" s="82">
        <f t="shared" si="1"/>
        <v>-6200</v>
      </c>
      <c r="O25" s="104"/>
      <c r="P25" s="104"/>
      <c r="S25" s="104"/>
    </row>
    <row r="26" spans="1:20">
      <c r="A26" s="65">
        <v>45863</v>
      </c>
      <c r="B26" s="82">
        <f>+GETPIVOTDATA("GANANCIA",Ventas!$G$1,"FECHA",DATE(2026,7,25))</f>
        <v>4000</v>
      </c>
      <c r="C26" s="82"/>
      <c r="D26" s="82">
        <f t="shared" si="0"/>
        <v>4000</v>
      </c>
      <c r="F26" s="65">
        <v>45863</v>
      </c>
      <c r="G26" s="82">
        <v>0</v>
      </c>
      <c r="H26" s="151">
        <f t="shared" si="2"/>
        <v>10200</v>
      </c>
      <c r="I26" s="82">
        <v>0</v>
      </c>
      <c r="J26" s="82"/>
      <c r="K26" s="82"/>
      <c r="L26" s="82"/>
      <c r="M26" s="82">
        <f t="shared" si="1"/>
        <v>-10200</v>
      </c>
      <c r="O26" s="104"/>
      <c r="P26" s="104"/>
      <c r="S26" s="104"/>
    </row>
    <row r="27" spans="1:20">
      <c r="A27" s="65">
        <v>45864</v>
      </c>
      <c r="B27" s="82">
        <f>+GETPIVOTDATA("GANANCIA",Ventas!$G$1,"FECHA",DATE(2026,7,26))</f>
        <v>12000</v>
      </c>
      <c r="C27" s="82"/>
      <c r="D27" s="82">
        <f t="shared" si="0"/>
        <v>12000</v>
      </c>
      <c r="F27" s="65">
        <v>45864</v>
      </c>
      <c r="G27" s="82">
        <v>0</v>
      </c>
      <c r="H27" s="151">
        <f t="shared" si="2"/>
        <v>22200</v>
      </c>
      <c r="I27" s="82">
        <v>0</v>
      </c>
      <c r="J27" s="82"/>
      <c r="K27" s="82"/>
      <c r="L27" s="82"/>
      <c r="M27" s="82">
        <f t="shared" si="1"/>
        <v>-22200</v>
      </c>
      <c r="P27" s="104"/>
      <c r="S27" s="104"/>
    </row>
    <row r="28" spans="1:20">
      <c r="A28" s="65">
        <v>45865</v>
      </c>
      <c r="B28" s="82">
        <f>+GETPIVOTDATA("GANANCIA",Ventas!$G$1,"FECHA",DATE(2026,7,27))</f>
        <v>20500</v>
      </c>
      <c r="C28" s="82"/>
      <c r="D28" s="82">
        <f t="shared" si="0"/>
        <v>20500</v>
      </c>
      <c r="F28" s="65">
        <v>45865</v>
      </c>
      <c r="G28" s="82">
        <v>0</v>
      </c>
      <c r="H28" s="151">
        <f t="shared" si="2"/>
        <v>42700</v>
      </c>
      <c r="I28" s="82">
        <v>0</v>
      </c>
      <c r="J28" s="82"/>
      <c r="K28" s="82"/>
      <c r="L28" s="82"/>
      <c r="M28" s="82">
        <f t="shared" si="1"/>
        <v>-42700</v>
      </c>
    </row>
    <row r="29" spans="1:20">
      <c r="A29" s="65">
        <v>45866</v>
      </c>
      <c r="B29" s="82">
        <f>+Ventas!H174</f>
        <v>23000</v>
      </c>
      <c r="C29" s="82"/>
      <c r="D29" s="82">
        <f t="shared" si="0"/>
        <v>23000</v>
      </c>
      <c r="F29" s="65">
        <v>45866</v>
      </c>
      <c r="G29" s="82">
        <v>0</v>
      </c>
      <c r="H29" s="151">
        <f>+D29+H28-14000</f>
        <v>51700</v>
      </c>
      <c r="I29" s="82">
        <v>0</v>
      </c>
      <c r="J29" s="82"/>
      <c r="K29" s="82"/>
      <c r="L29" s="82"/>
      <c r="M29" s="82">
        <f t="shared" si="1"/>
        <v>-51700</v>
      </c>
    </row>
    <row r="30" spans="1:20">
      <c r="A30" s="65">
        <v>45867</v>
      </c>
      <c r="B30" s="82">
        <v>0</v>
      </c>
      <c r="C30" s="82"/>
      <c r="D30" s="82">
        <f t="shared" si="0"/>
        <v>0</v>
      </c>
      <c r="F30" s="65">
        <v>45867</v>
      </c>
      <c r="G30" s="82">
        <v>0</v>
      </c>
      <c r="H30" s="151">
        <f t="shared" si="2"/>
        <v>51700</v>
      </c>
      <c r="I30" s="82">
        <v>0</v>
      </c>
      <c r="J30" s="82"/>
      <c r="K30" s="82"/>
      <c r="L30" s="82"/>
      <c r="M30" s="82">
        <f t="shared" si="1"/>
        <v>-51700</v>
      </c>
    </row>
    <row r="31" spans="1:20">
      <c r="A31" s="65">
        <v>45868</v>
      </c>
      <c r="B31" s="82">
        <v>0</v>
      </c>
      <c r="C31" s="82"/>
      <c r="D31" s="82">
        <f t="shared" si="0"/>
        <v>0</v>
      </c>
      <c r="F31" s="65">
        <v>45868</v>
      </c>
      <c r="G31" s="82">
        <v>0</v>
      </c>
      <c r="H31" s="151">
        <f t="shared" si="2"/>
        <v>51700</v>
      </c>
      <c r="I31" s="82">
        <v>0</v>
      </c>
      <c r="J31" s="82"/>
      <c r="K31" s="82"/>
      <c r="L31" s="82"/>
      <c r="M31" s="82">
        <f t="shared" si="1"/>
        <v>-51700</v>
      </c>
    </row>
    <row r="32" spans="1:20">
      <c r="A32" s="65">
        <v>45869</v>
      </c>
      <c r="B32" s="82">
        <v>0</v>
      </c>
      <c r="C32" s="82"/>
      <c r="D32" s="82">
        <f t="shared" si="0"/>
        <v>0</v>
      </c>
      <c r="F32" s="65">
        <v>45869</v>
      </c>
      <c r="G32" s="82">
        <v>0</v>
      </c>
      <c r="H32" s="151">
        <f t="shared" si="2"/>
        <v>51700</v>
      </c>
      <c r="I32" s="82">
        <v>0</v>
      </c>
      <c r="J32" s="82"/>
      <c r="K32" s="82"/>
      <c r="L32" s="82"/>
      <c r="M32" s="82">
        <f t="shared" si="1"/>
        <v>-51700</v>
      </c>
    </row>
    <row r="33" spans="1:7">
      <c r="A33" s="65"/>
      <c r="B33" s="82"/>
      <c r="C33" s="104"/>
      <c r="D33" s="104">
        <f>+D2+D3+D4+D5+D6+D7+D8+D9+D10+D11+D12+D13+D14+D15+D16+D17+D18+D19+D20+D21+D22+D23+D24+D25+D26+D27+D28+D29+D30+D31+D32</f>
        <v>280424</v>
      </c>
      <c r="G33" s="82">
        <v>0</v>
      </c>
    </row>
    <row r="34" spans="1:7">
      <c r="B34" s="8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53BF5E-9A92-4DFA-A420-E55320CB6FBD}">
  <dimension ref="A1:J49"/>
  <sheetViews>
    <sheetView topLeftCell="A4" zoomScale="115" zoomScaleNormal="120" workbookViewId="0">
      <selection activeCell="B19" sqref="B19"/>
    </sheetView>
  </sheetViews>
  <sheetFormatPr defaultColWidth="10.7109375" defaultRowHeight="12.95"/>
  <cols>
    <col min="1" max="1" width="35.42578125" bestFit="1" customWidth="1"/>
    <col min="2" max="2" width="15.28515625" customWidth="1"/>
    <col min="3" max="3" width="16.7109375" customWidth="1"/>
    <col min="4" max="4" width="14.85546875" bestFit="1" customWidth="1"/>
    <col min="5" max="5" width="31.42578125" bestFit="1" customWidth="1"/>
    <col min="6" max="6" width="17.7109375" bestFit="1" customWidth="1"/>
    <col min="7" max="7" width="17.28515625" bestFit="1" customWidth="1"/>
    <col min="8" max="8" width="24.85546875" bestFit="1" customWidth="1"/>
  </cols>
  <sheetData>
    <row r="1" spans="1:10" ht="15.95">
      <c r="A1" s="97" t="s">
        <v>4</v>
      </c>
      <c r="B1" s="97" t="s">
        <v>1419</v>
      </c>
      <c r="C1" s="97" t="s">
        <v>1420</v>
      </c>
      <c r="D1" s="97" t="s">
        <v>1421</v>
      </c>
      <c r="E1" s="97" t="s">
        <v>1422</v>
      </c>
      <c r="F1" s="97" t="s">
        <v>1423</v>
      </c>
      <c r="G1" s="97" t="s">
        <v>1424</v>
      </c>
      <c r="H1" s="97" t="s">
        <v>1425</v>
      </c>
    </row>
    <row r="2" spans="1:10">
      <c r="A2" s="108" t="s">
        <v>1426</v>
      </c>
      <c r="B2" s="53" t="s">
        <v>1427</v>
      </c>
      <c r="C2" s="152" t="s">
        <v>1428</v>
      </c>
      <c r="D2" s="53" t="s">
        <v>15</v>
      </c>
      <c r="E2" s="53" t="s">
        <v>39</v>
      </c>
      <c r="F2" s="53"/>
      <c r="G2" s="53" t="s">
        <v>1429</v>
      </c>
      <c r="H2" s="98">
        <v>45645</v>
      </c>
    </row>
    <row r="3" spans="1:10">
      <c r="A3" s="108" t="s">
        <v>1430</v>
      </c>
      <c r="B3" s="53" t="s">
        <v>1431</v>
      </c>
      <c r="C3" s="53" t="s">
        <v>28</v>
      </c>
      <c r="D3" s="53" t="s">
        <v>510</v>
      </c>
      <c r="E3" s="53" t="s">
        <v>420</v>
      </c>
      <c r="F3" s="128" t="s">
        <v>1432</v>
      </c>
      <c r="G3" s="53" t="s">
        <v>493</v>
      </c>
      <c r="H3" s="98">
        <v>45647</v>
      </c>
    </row>
    <row r="4" spans="1:10">
      <c r="A4" s="51" t="s">
        <v>1433</v>
      </c>
      <c r="B4" s="53" t="s">
        <v>1434</v>
      </c>
      <c r="C4" s="53" t="s">
        <v>457</v>
      </c>
      <c r="D4" s="53" t="s">
        <v>1435</v>
      </c>
      <c r="E4" s="53" t="s">
        <v>470</v>
      </c>
      <c r="F4" s="53" t="s">
        <v>312</v>
      </c>
      <c r="G4" s="53" t="s">
        <v>20</v>
      </c>
      <c r="H4" s="98">
        <v>45654</v>
      </c>
    </row>
    <row r="5" spans="1:10">
      <c r="A5" s="108" t="s">
        <v>563</v>
      </c>
      <c r="B5" s="143" t="s">
        <v>1436</v>
      </c>
      <c r="C5" s="53" t="s">
        <v>72</v>
      </c>
      <c r="D5" s="152" t="s">
        <v>124</v>
      </c>
      <c r="E5" s="53" t="s">
        <v>102</v>
      </c>
      <c r="F5" s="53" t="s">
        <v>407</v>
      </c>
      <c r="G5" s="53" t="s">
        <v>524</v>
      </c>
      <c r="H5" s="98">
        <v>45656</v>
      </c>
    </row>
    <row r="6" spans="1:10">
      <c r="A6" s="51" t="s">
        <v>185</v>
      </c>
      <c r="B6" s="53" t="s">
        <v>1436</v>
      </c>
      <c r="C6" s="128" t="s">
        <v>75</v>
      </c>
      <c r="D6" s="143" t="s">
        <v>402</v>
      </c>
      <c r="E6" s="53" t="s">
        <v>128</v>
      </c>
      <c r="F6" s="53" t="s">
        <v>402</v>
      </c>
      <c r="G6" s="53" t="s">
        <v>70</v>
      </c>
      <c r="H6" s="98">
        <v>45661</v>
      </c>
    </row>
    <row r="7" spans="1:10">
      <c r="A7" s="51" t="s">
        <v>195</v>
      </c>
      <c r="B7" s="53" t="s">
        <v>1437</v>
      </c>
      <c r="C7" s="53" t="s">
        <v>266</v>
      </c>
      <c r="D7" s="143" t="s">
        <v>524</v>
      </c>
      <c r="E7" s="53" t="s">
        <v>367</v>
      </c>
      <c r="F7" s="143" t="s">
        <v>518</v>
      </c>
      <c r="G7" s="152" t="s">
        <v>50</v>
      </c>
      <c r="H7" s="98">
        <v>45665</v>
      </c>
      <c r="J7" t="s">
        <v>1438</v>
      </c>
    </row>
    <row r="8" spans="1:10">
      <c r="A8" s="108" t="s">
        <v>1439</v>
      </c>
      <c r="B8" s="53" t="s">
        <v>1440</v>
      </c>
      <c r="C8" s="53" t="s">
        <v>228</v>
      </c>
      <c r="D8" s="53" t="s">
        <v>504</v>
      </c>
      <c r="E8" t="s">
        <v>68</v>
      </c>
      <c r="F8" s="128" t="s">
        <v>48</v>
      </c>
      <c r="G8" s="53" t="s">
        <v>383</v>
      </c>
      <c r="H8" s="98">
        <v>46022</v>
      </c>
    </row>
    <row r="9" spans="1:10">
      <c r="A9" s="108" t="s">
        <v>1441</v>
      </c>
      <c r="B9" s="53" t="s">
        <v>1442</v>
      </c>
      <c r="C9" s="143" t="s">
        <v>1443</v>
      </c>
      <c r="D9" s="143" t="s">
        <v>317</v>
      </c>
      <c r="E9" s="152" t="s">
        <v>66</v>
      </c>
      <c r="F9" s="53" t="s">
        <v>520</v>
      </c>
      <c r="G9" s="53" t="s">
        <v>63</v>
      </c>
      <c r="H9" s="99">
        <v>46022</v>
      </c>
    </row>
    <row r="10" spans="1:10">
      <c r="A10" s="108" t="s">
        <v>1444</v>
      </c>
      <c r="B10" s="143" t="s">
        <v>1445</v>
      </c>
      <c r="C10" t="s">
        <v>1446</v>
      </c>
      <c r="D10" s="143" t="s">
        <v>1447</v>
      </c>
      <c r="E10" s="53" t="s">
        <v>480</v>
      </c>
      <c r="F10" s="53" t="s">
        <v>506</v>
      </c>
      <c r="G10" s="53" t="s">
        <v>92</v>
      </c>
      <c r="H10" s="53"/>
    </row>
    <row r="11" spans="1:10">
      <c r="A11" s="108" t="s">
        <v>1448</v>
      </c>
      <c r="B11" s="143" t="s">
        <v>1449</v>
      </c>
      <c r="F11" s="53"/>
      <c r="H11" s="95"/>
    </row>
    <row r="12" spans="1:10">
      <c r="A12" s="51" t="s">
        <v>1450</v>
      </c>
      <c r="B12" s="53" t="s">
        <v>1451</v>
      </c>
      <c r="C12" s="128" t="s">
        <v>28</v>
      </c>
      <c r="D12" s="53" t="s">
        <v>485</v>
      </c>
      <c r="E12" s="53" t="s">
        <v>502</v>
      </c>
      <c r="F12" s="53" t="s">
        <v>1452</v>
      </c>
      <c r="G12" s="143" t="s">
        <v>134</v>
      </c>
      <c r="H12" s="95"/>
      <c r="I12" s="143"/>
      <c r="J12" s="143" t="s">
        <v>1438</v>
      </c>
    </row>
    <row r="13" spans="1:10">
      <c r="A13" s="108" t="s">
        <v>1453</v>
      </c>
      <c r="B13" s="53" t="s">
        <v>1454</v>
      </c>
      <c r="C13" s="53"/>
      <c r="D13" s="53"/>
      <c r="E13" s="143" t="s">
        <v>447</v>
      </c>
      <c r="F13" s="143"/>
      <c r="H13" s="95"/>
      <c r="J13" t="s">
        <v>1438</v>
      </c>
    </row>
    <row r="14" spans="1:10">
      <c r="I14">
        <v>40000</v>
      </c>
    </row>
    <row r="17" spans="1:9">
      <c r="C17" s="53" t="s">
        <v>1455</v>
      </c>
      <c r="D17" s="53" t="s">
        <v>1456</v>
      </c>
      <c r="E17" s="53" t="s">
        <v>1457</v>
      </c>
      <c r="F17" s="143" t="s">
        <v>1303</v>
      </c>
      <c r="G17" s="143" t="s">
        <v>1458</v>
      </c>
    </row>
    <row r="18" spans="1:9">
      <c r="A18" t="s">
        <v>1459</v>
      </c>
    </row>
    <row r="19" spans="1:9" ht="12.75">
      <c r="A19" s="114" t="s">
        <v>1460</v>
      </c>
      <c r="B19" s="145" t="s">
        <v>1461</v>
      </c>
      <c r="C19" s="53" t="s">
        <v>102</v>
      </c>
      <c r="D19" t="s">
        <v>1462</v>
      </c>
      <c r="E19" s="146" t="s">
        <v>1463</v>
      </c>
      <c r="F19" s="53" t="s">
        <v>122</v>
      </c>
      <c r="G19" s="145" t="s">
        <v>134</v>
      </c>
      <c r="H19" s="145"/>
      <c r="I19" s="165"/>
    </row>
    <row r="20" spans="1:9">
      <c r="A20" s="114"/>
      <c r="B20" s="81"/>
      <c r="H20" s="146"/>
      <c r="I20" s="165"/>
    </row>
    <row r="21" spans="1:9" ht="14.1">
      <c r="A21" s="140" t="s">
        <v>279</v>
      </c>
      <c r="B21" s="145" t="s">
        <v>127</v>
      </c>
      <c r="C21" s="143" t="s">
        <v>1464</v>
      </c>
      <c r="D21" s="143" t="s">
        <v>128</v>
      </c>
      <c r="E21" s="53" t="s">
        <v>96</v>
      </c>
      <c r="F21" s="53" t="s">
        <v>1465</v>
      </c>
      <c r="G21" s="53" t="s">
        <v>1466</v>
      </c>
      <c r="H21" s="146"/>
      <c r="I21" s="165"/>
    </row>
    <row r="22" spans="1:9">
      <c r="A22" s="114" t="s">
        <v>1467</v>
      </c>
      <c r="B22" s="145" t="s">
        <v>1468</v>
      </c>
      <c r="C22" s="147" t="s">
        <v>28</v>
      </c>
      <c r="D22" s="53" t="s">
        <v>124</v>
      </c>
      <c r="E22" s="53" t="s">
        <v>92</v>
      </c>
      <c r="F22" s="145" t="s">
        <v>56</v>
      </c>
      <c r="G22" s="143" t="s">
        <v>1469</v>
      </c>
      <c r="H22" s="145"/>
    </row>
    <row r="23" spans="1:9" ht="12.75">
      <c r="A23" s="170" t="s">
        <v>1470</v>
      </c>
      <c r="B23" s="145" t="s">
        <v>127</v>
      </c>
      <c r="C23" s="146" t="s">
        <v>100</v>
      </c>
      <c r="D23" s="53" t="s">
        <v>50</v>
      </c>
      <c r="E23" s="146" t="s">
        <v>72</v>
      </c>
      <c r="F23" s="95" t="s">
        <v>1471</v>
      </c>
      <c r="G23" s="53" t="s">
        <v>130</v>
      </c>
      <c r="H23" s="145"/>
      <c r="I23" s="165"/>
    </row>
    <row r="24" spans="1:9">
      <c r="A24" s="114" t="s">
        <v>1472</v>
      </c>
      <c r="B24" t="s">
        <v>127</v>
      </c>
      <c r="C24" s="95" t="s">
        <v>116</v>
      </c>
      <c r="D24" s="53" t="s">
        <v>1473</v>
      </c>
      <c r="E24" s="143" t="s">
        <v>134</v>
      </c>
      <c r="F24" s="146" t="s">
        <v>86</v>
      </c>
      <c r="G24" s="95" t="s">
        <v>1474</v>
      </c>
      <c r="H24" s="145"/>
    </row>
    <row r="25" spans="1:9">
      <c r="H25" s="95"/>
    </row>
    <row r="28" spans="1:9">
      <c r="I28" s="65"/>
    </row>
    <row r="29" spans="1:9">
      <c r="A29" s="81"/>
      <c r="B29" s="145"/>
      <c r="C29" s="147"/>
      <c r="D29" s="146"/>
      <c r="E29" s="143"/>
      <c r="F29" s="95"/>
      <c r="G29" s="53"/>
    </row>
    <row r="30" spans="1:9">
      <c r="C30" s="53"/>
      <c r="D30" s="53"/>
      <c r="E30" s="53"/>
      <c r="F30" s="53"/>
      <c r="G30" s="53"/>
    </row>
    <row r="32" spans="1:9">
      <c r="A32" s="81"/>
    </row>
    <row r="33" spans="1:8">
      <c r="C33" s="95"/>
      <c r="D33" s="95"/>
      <c r="F33" s="146"/>
      <c r="G33" s="146"/>
    </row>
    <row r="42" spans="1:8" ht="15">
      <c r="C42" s="156"/>
    </row>
    <row r="45" spans="1:8">
      <c r="A45" s="81"/>
      <c r="B45" s="143"/>
      <c r="H45" s="65"/>
    </row>
    <row r="46" spans="1:8">
      <c r="A46" s="108"/>
      <c r="B46" s="53"/>
      <c r="C46" s="95"/>
      <c r="D46" s="95"/>
      <c r="E46" s="95"/>
      <c r="F46" s="95"/>
      <c r="G46" s="95"/>
      <c r="H46" s="98"/>
    </row>
    <row r="47" spans="1:8">
      <c r="A47" s="81"/>
      <c r="C47" s="95"/>
      <c r="D47" s="95"/>
      <c r="E47" s="95"/>
      <c r="G47" s="95"/>
      <c r="H47" s="98"/>
    </row>
    <row r="48" spans="1:8">
      <c r="A48" s="114"/>
      <c r="B48" s="143"/>
      <c r="C48" s="95"/>
      <c r="D48" s="95"/>
      <c r="E48" s="95"/>
      <c r="F48" s="95"/>
      <c r="G48" s="95"/>
      <c r="H48" s="65"/>
    </row>
    <row r="49" spans="1:8">
      <c r="A49" s="81"/>
      <c r="B49" s="143"/>
      <c r="C49" s="95"/>
      <c r="D49" s="95"/>
      <c r="G49" s="95"/>
      <c r="H49" s="65"/>
    </row>
  </sheetData>
  <phoneticPr fontId="21" type="noConversion"/>
  <hyperlinks>
    <hyperlink ref="A5" r:id="rId1" xr:uid="{EAE17931-31A1-4AF1-86C7-47E3B7EFA87F}"/>
    <hyperlink ref="A9" r:id="rId2" xr:uid="{4C1BDB20-F004-46E7-8894-BCABA6447C24}"/>
    <hyperlink ref="A3" r:id="rId3" xr:uid="{FE27DD84-C2E0-4D68-8A5D-0266D4CCC855}"/>
    <hyperlink ref="A8" r:id="rId4" xr:uid="{CCB58219-FE27-4D52-B019-626658085BDF}"/>
    <hyperlink ref="A2" r:id="rId5" xr:uid="{725B436E-2C0D-4986-ABC5-68D522ED567F}"/>
    <hyperlink ref="A4" r:id="rId6" xr:uid="{E669743A-2005-4F06-BC31-F0C106FE2193}"/>
    <hyperlink ref="A10" r:id="rId7" xr:uid="{9DBCAC23-83FE-42C6-8071-3779AA9B4027}"/>
    <hyperlink ref="A13" r:id="rId8" xr:uid="{888493B5-85E7-4A8D-9A8C-431A4961A367}"/>
    <hyperlink ref="A11" r:id="rId9" xr:uid="{7EAD97B7-0E13-4C66-A1BD-F62A2961DBA1}"/>
    <hyperlink ref="A12" r:id="rId10" xr:uid="{36096D5D-7164-479C-883B-D427EA1CCE5F}"/>
    <hyperlink ref="A7" r:id="rId11" xr:uid="{5CDF5DCE-EAE0-45EF-835B-E49930E065A8}"/>
    <hyperlink ref="A6" r:id="rId12" xr:uid="{DB56D2E1-A7A3-451B-8FF2-33B665B751AE}"/>
    <hyperlink ref="A22" r:id="rId13" xr:uid="{FF5FA880-4578-F04E-BAED-D16D3D8BD40D}"/>
    <hyperlink ref="A21" r:id="rId14" xr:uid="{2FFC40EE-5325-C24F-B7E1-A80CCEBA579D}"/>
    <hyperlink ref="A23" r:id="rId15" xr:uid="{1E7A6015-0768-804A-987C-0C82F171596B}"/>
    <hyperlink ref="A19" r:id="rId16" xr:uid="{15E939DF-85D1-064D-B70D-C07BFDC358D5}"/>
    <hyperlink ref="A24" r:id="rId17" xr:uid="{69A90959-0ED0-9F4A-BC1B-B6243EF7398B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83757B-E62E-4FD0-90FE-710B88F6E58A}">
  <dimension ref="A1:J28"/>
  <sheetViews>
    <sheetView workbookViewId="0">
      <selection activeCell="B2" sqref="B2"/>
    </sheetView>
  </sheetViews>
  <sheetFormatPr defaultColWidth="10.7109375" defaultRowHeight="12.95"/>
  <cols>
    <col min="1" max="1" width="37.42578125" customWidth="1"/>
    <col min="2" max="2" width="14" bestFit="1" customWidth="1"/>
    <col min="3" max="3" width="26.7109375" bestFit="1" customWidth="1"/>
    <col min="4" max="4" width="25.42578125" bestFit="1" customWidth="1"/>
    <col min="5" max="5" width="19.7109375" bestFit="1" customWidth="1"/>
    <col min="6" max="6" width="15.28515625" bestFit="1" customWidth="1"/>
    <col min="7" max="7" width="22.140625" customWidth="1"/>
    <col min="8" max="8" width="14.140625" bestFit="1" customWidth="1"/>
    <col min="9" max="10" width="24.85546875" bestFit="1" customWidth="1"/>
  </cols>
  <sheetData>
    <row r="1" spans="1:10" ht="15.95">
      <c r="A1" s="97" t="s">
        <v>4</v>
      </c>
      <c r="B1" s="97" t="s">
        <v>1419</v>
      </c>
      <c r="C1" s="97" t="s">
        <v>1420</v>
      </c>
      <c r="D1" s="97" t="s">
        <v>1421</v>
      </c>
      <c r="E1" s="97" t="s">
        <v>1422</v>
      </c>
      <c r="F1" s="97" t="s">
        <v>1423</v>
      </c>
      <c r="G1" s="97" t="s">
        <v>1424</v>
      </c>
      <c r="H1" s="97" t="s">
        <v>1475</v>
      </c>
      <c r="I1" s="97" t="s">
        <v>1425</v>
      </c>
    </row>
    <row r="2" spans="1:10" ht="17.25">
      <c r="A2" s="170" t="s">
        <v>1476</v>
      </c>
      <c r="B2" s="176" t="s">
        <v>1477</v>
      </c>
      <c r="C2" s="143" t="s">
        <v>1478</v>
      </c>
      <c r="D2" s="143" t="s">
        <v>1479</v>
      </c>
      <c r="E2" s="143" t="s">
        <v>102</v>
      </c>
      <c r="F2" t="s">
        <v>72</v>
      </c>
      <c r="H2" s="143" t="s">
        <v>48</v>
      </c>
      <c r="I2" s="99">
        <v>45676</v>
      </c>
    </row>
    <row r="3" spans="1:10" ht="14.1">
      <c r="A3" s="81"/>
      <c r="B3" s="135"/>
      <c r="C3" s="143"/>
      <c r="D3" s="143"/>
      <c r="H3" s="143"/>
      <c r="I3" s="99"/>
    </row>
    <row r="4" spans="1:10">
      <c r="A4" s="53"/>
      <c r="B4" s="53"/>
      <c r="C4" s="53"/>
      <c r="D4" s="53"/>
      <c r="E4" s="53"/>
      <c r="F4" s="53"/>
      <c r="G4" s="53"/>
      <c r="H4" s="53"/>
      <c r="I4" s="53"/>
    </row>
    <row r="5" spans="1:10">
      <c r="A5" s="114"/>
      <c r="C5" s="53"/>
      <c r="J5" s="53"/>
    </row>
    <row r="6" spans="1:10">
      <c r="A6" s="53"/>
      <c r="B6" s="53"/>
      <c r="C6" s="53"/>
      <c r="D6" s="53"/>
      <c r="E6" s="53"/>
      <c r="F6" s="53"/>
      <c r="G6" s="53"/>
      <c r="H6" s="53"/>
      <c r="I6" s="53"/>
      <c r="J6" s="53"/>
    </row>
    <row r="7" spans="1:10">
      <c r="A7" s="53"/>
      <c r="B7" s="53"/>
      <c r="C7" s="53"/>
      <c r="D7" s="53"/>
      <c r="E7" s="53"/>
      <c r="F7" s="53"/>
      <c r="G7" s="53"/>
      <c r="H7" s="53"/>
      <c r="I7" s="53"/>
      <c r="J7" s="53"/>
    </row>
    <row r="8" spans="1:10">
      <c r="A8" s="53"/>
      <c r="B8" s="53"/>
      <c r="C8" s="53"/>
      <c r="D8" s="53"/>
      <c r="E8" s="53"/>
      <c r="F8" s="53"/>
      <c r="G8" s="53"/>
      <c r="H8" s="53"/>
      <c r="I8" s="53"/>
      <c r="J8" s="53"/>
    </row>
    <row r="9" spans="1:10">
      <c r="A9" s="53"/>
      <c r="B9" s="53"/>
      <c r="C9" s="53"/>
      <c r="D9" s="53"/>
      <c r="E9" s="53"/>
      <c r="F9" s="53"/>
      <c r="G9" s="53"/>
      <c r="H9" s="53"/>
      <c r="I9" s="53"/>
      <c r="J9" s="53"/>
    </row>
    <row r="10" spans="1:10">
      <c r="A10" s="53"/>
      <c r="B10" s="53"/>
      <c r="C10" s="53"/>
      <c r="D10" s="53"/>
      <c r="E10" s="53"/>
      <c r="F10" s="53"/>
      <c r="G10" s="53"/>
      <c r="H10" s="53"/>
      <c r="I10" s="53"/>
      <c r="J10" s="53"/>
    </row>
    <row r="11" spans="1:10">
      <c r="A11" s="53"/>
      <c r="B11" s="53"/>
      <c r="C11" s="53"/>
      <c r="D11" s="53"/>
      <c r="E11" s="53"/>
      <c r="F11" s="53"/>
      <c r="G11" s="53"/>
      <c r="H11" s="53"/>
      <c r="I11" s="53"/>
      <c r="J11" s="53"/>
    </row>
    <row r="12" spans="1:10">
      <c r="A12" s="53"/>
      <c r="B12" s="53"/>
      <c r="C12" s="53"/>
      <c r="D12" s="53"/>
      <c r="E12" s="53"/>
      <c r="F12" s="53"/>
      <c r="G12" s="53"/>
      <c r="H12" s="53"/>
      <c r="I12" s="53"/>
      <c r="J12" s="53"/>
    </row>
    <row r="13" spans="1:10">
      <c r="A13" s="53"/>
      <c r="B13" s="53"/>
      <c r="C13" s="53"/>
      <c r="D13" s="53"/>
      <c r="E13" s="53"/>
      <c r="F13" s="53"/>
      <c r="G13" s="53"/>
      <c r="H13" s="53"/>
      <c r="I13" s="53"/>
      <c r="J13" s="53"/>
    </row>
    <row r="14" spans="1:10">
      <c r="A14" s="53"/>
      <c r="B14" s="53"/>
      <c r="C14" s="53"/>
      <c r="D14" s="53"/>
      <c r="E14" s="53"/>
      <c r="F14" s="53"/>
      <c r="G14" s="53"/>
      <c r="H14" s="53"/>
      <c r="I14" s="53"/>
      <c r="J14" s="53"/>
    </row>
    <row r="15" spans="1:10">
      <c r="A15" s="53"/>
      <c r="B15" s="53"/>
      <c r="C15" s="53"/>
      <c r="D15" s="53"/>
      <c r="E15" s="53"/>
      <c r="F15" s="53"/>
      <c r="G15" s="53"/>
      <c r="H15" s="53"/>
      <c r="I15" s="53"/>
      <c r="J15" s="53"/>
    </row>
    <row r="16" spans="1:10">
      <c r="A16" s="53"/>
      <c r="B16" s="53"/>
      <c r="C16" s="53"/>
      <c r="D16" s="53"/>
      <c r="E16" s="53"/>
      <c r="F16" s="53"/>
      <c r="G16" s="53"/>
      <c r="H16" s="53"/>
      <c r="I16" s="53"/>
      <c r="J16" s="53"/>
    </row>
    <row r="17" spans="1:10">
      <c r="A17" s="53"/>
      <c r="B17" s="53"/>
      <c r="C17" s="53"/>
      <c r="D17" s="53"/>
      <c r="E17" s="53"/>
      <c r="F17" s="53"/>
      <c r="G17" s="53"/>
      <c r="H17" s="53"/>
      <c r="I17" s="53"/>
      <c r="J17" s="53"/>
    </row>
    <row r="18" spans="1:10">
      <c r="A18" s="53"/>
      <c r="B18" s="53"/>
      <c r="C18" s="53"/>
      <c r="D18" s="53"/>
      <c r="E18" s="53"/>
      <c r="F18" s="53"/>
      <c r="G18" s="53"/>
      <c r="H18" s="53"/>
      <c r="I18" s="53"/>
      <c r="J18" s="53"/>
    </row>
    <row r="19" spans="1:10">
      <c r="A19" s="53"/>
      <c r="B19" s="53"/>
      <c r="C19" s="53"/>
      <c r="D19" s="53"/>
      <c r="E19" s="53"/>
      <c r="F19" s="53"/>
      <c r="G19" s="53"/>
      <c r="H19" s="53"/>
      <c r="I19" s="53"/>
      <c r="J19" s="53"/>
    </row>
    <row r="20" spans="1:10">
      <c r="A20" s="53"/>
      <c r="B20" s="53"/>
      <c r="C20" s="53"/>
      <c r="D20" s="53"/>
      <c r="E20" s="53"/>
      <c r="F20" s="53"/>
      <c r="G20" s="53"/>
      <c r="H20" s="53"/>
      <c r="I20" s="53"/>
      <c r="J20" s="53"/>
    </row>
    <row r="21" spans="1:10">
      <c r="A21" s="53"/>
      <c r="B21" s="53"/>
      <c r="C21" s="53"/>
      <c r="D21" s="53"/>
      <c r="E21" s="53"/>
      <c r="F21" s="53"/>
      <c r="G21" s="53"/>
      <c r="H21" s="53"/>
      <c r="I21" s="53"/>
      <c r="J21" s="53"/>
    </row>
    <row r="22" spans="1:10">
      <c r="A22" s="53"/>
      <c r="B22" s="53"/>
      <c r="C22" s="53"/>
      <c r="D22" s="53"/>
      <c r="E22" s="53"/>
      <c r="F22" s="53"/>
      <c r="G22" s="53"/>
      <c r="H22" s="53"/>
      <c r="I22" s="53"/>
      <c r="J22" s="53"/>
    </row>
    <row r="23" spans="1:10">
      <c r="A23" s="53"/>
      <c r="B23" s="53"/>
      <c r="C23" s="53"/>
      <c r="D23" s="53"/>
      <c r="E23" s="53"/>
      <c r="F23" s="53"/>
      <c r="G23" s="53"/>
      <c r="H23" s="53"/>
      <c r="I23" s="53"/>
      <c r="J23" s="53"/>
    </row>
    <row r="24" spans="1:10">
      <c r="A24" s="53"/>
      <c r="B24" s="53"/>
      <c r="C24" s="53"/>
      <c r="D24" s="53"/>
      <c r="E24" s="53"/>
      <c r="F24" s="53"/>
      <c r="G24" s="53"/>
      <c r="H24" s="53"/>
      <c r="I24" s="53"/>
      <c r="J24" s="53"/>
    </row>
    <row r="25" spans="1:10">
      <c r="A25" s="53"/>
      <c r="B25" s="53"/>
      <c r="C25" s="53"/>
      <c r="D25" s="53"/>
      <c r="E25" s="53"/>
      <c r="F25" s="53"/>
      <c r="G25" s="53"/>
      <c r="H25" s="53"/>
      <c r="I25" s="53"/>
      <c r="J25" s="53"/>
    </row>
    <row r="26" spans="1:10">
      <c r="A26" s="53"/>
      <c r="B26" s="53"/>
      <c r="C26" s="53"/>
      <c r="D26" s="53"/>
      <c r="E26" s="53"/>
      <c r="F26" s="53"/>
      <c r="G26" s="53"/>
      <c r="H26" s="53"/>
      <c r="I26" s="53"/>
      <c r="J26" s="53"/>
    </row>
    <row r="27" spans="1:10">
      <c r="A27" s="53"/>
      <c r="B27" s="53"/>
      <c r="C27" s="53"/>
      <c r="D27" s="53"/>
      <c r="E27" s="53"/>
      <c r="F27" s="53"/>
      <c r="G27" s="53"/>
      <c r="H27" s="53"/>
      <c r="I27" s="53"/>
      <c r="J27" s="53"/>
    </row>
    <row r="28" spans="1:10">
      <c r="A28" s="53"/>
      <c r="B28" s="53"/>
      <c r="C28" s="53"/>
      <c r="D28" s="53"/>
      <c r="E28" s="53"/>
      <c r="F28" s="53"/>
      <c r="G28" s="53"/>
      <c r="H28" s="53"/>
      <c r="I28" s="53"/>
      <c r="J28" s="53"/>
    </row>
  </sheetData>
  <hyperlinks>
    <hyperlink ref="A2" r:id="rId1" xr:uid="{2F283B96-577B-7B46-B812-2BA95A3B1D2B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76B376-1132-456F-9CFB-24C5ACAC50BF}">
  <dimension ref="A1:J24"/>
  <sheetViews>
    <sheetView workbookViewId="0">
      <selection activeCell="G9" sqref="G9"/>
    </sheetView>
  </sheetViews>
  <sheetFormatPr defaultColWidth="10.7109375" defaultRowHeight="12.95"/>
  <cols>
    <col min="1" max="1" width="36.140625" customWidth="1"/>
    <col min="2" max="2" width="14" bestFit="1" customWidth="1"/>
    <col min="3" max="3" width="12.7109375" bestFit="1" customWidth="1"/>
    <col min="4" max="4" width="16.85546875" bestFit="1" customWidth="1"/>
    <col min="5" max="5" width="14.28515625" bestFit="1" customWidth="1"/>
    <col min="6" max="6" width="18.42578125" bestFit="1" customWidth="1"/>
    <col min="7" max="7" width="16.42578125" bestFit="1" customWidth="1"/>
    <col min="8" max="8" width="23.42578125" customWidth="1"/>
    <col min="9" max="9" width="12.28515625" bestFit="1" customWidth="1"/>
    <col min="10" max="10" width="24.85546875" bestFit="1" customWidth="1"/>
  </cols>
  <sheetData>
    <row r="1" spans="1:10" ht="15.95">
      <c r="A1" s="97" t="s">
        <v>4</v>
      </c>
      <c r="B1" s="97" t="s">
        <v>1419</v>
      </c>
      <c r="C1" s="97" t="s">
        <v>1420</v>
      </c>
      <c r="D1" s="97" t="s">
        <v>1421</v>
      </c>
      <c r="E1" s="97" t="s">
        <v>1422</v>
      </c>
      <c r="F1" s="97" t="s">
        <v>1423</v>
      </c>
      <c r="G1" s="97" t="s">
        <v>1424</v>
      </c>
      <c r="H1" s="97" t="s">
        <v>1475</v>
      </c>
      <c r="I1" s="97" t="s">
        <v>1480</v>
      </c>
      <c r="J1" s="97" t="s">
        <v>1425</v>
      </c>
    </row>
    <row r="2" spans="1:10">
      <c r="A2" s="108" t="s">
        <v>1481</v>
      </c>
      <c r="B2" s="143" t="s">
        <v>1482</v>
      </c>
      <c r="C2" s="53"/>
      <c r="D2" s="143"/>
      <c r="E2" s="53" t="s">
        <v>102</v>
      </c>
      <c r="F2" s="143" t="s">
        <v>453</v>
      </c>
      <c r="G2" t="s">
        <v>317</v>
      </c>
      <c r="H2" s="53"/>
      <c r="I2" s="143"/>
      <c r="J2" s="99">
        <v>45668</v>
      </c>
    </row>
    <row r="3" spans="1:10" ht="17.100000000000001">
      <c r="A3" s="81" t="s">
        <v>1483</v>
      </c>
      <c r="B3" s="161" t="s">
        <v>127</v>
      </c>
      <c r="C3" s="143" t="s">
        <v>236</v>
      </c>
      <c r="G3" s="53"/>
      <c r="H3" s="143" t="s">
        <v>1484</v>
      </c>
      <c r="I3" s="143"/>
      <c r="J3" s="99">
        <v>46012</v>
      </c>
    </row>
    <row r="4" spans="1:10">
      <c r="A4" s="51" t="s">
        <v>1485</v>
      </c>
      <c r="B4" s="143" t="s">
        <v>1486</v>
      </c>
      <c r="C4" s="53" t="s">
        <v>300</v>
      </c>
      <c r="D4" s="143" t="s">
        <v>292</v>
      </c>
      <c r="E4" s="53" t="s">
        <v>1478</v>
      </c>
      <c r="F4" s="143" t="s">
        <v>72</v>
      </c>
      <c r="G4" t="s">
        <v>286</v>
      </c>
      <c r="H4" s="145"/>
      <c r="I4" s="53" t="s">
        <v>1487</v>
      </c>
      <c r="J4" s="99"/>
    </row>
    <row r="5" spans="1:10">
      <c r="B5" s="145" t="s">
        <v>1486</v>
      </c>
      <c r="J5" s="99"/>
    </row>
    <row r="6" spans="1:10">
      <c r="A6" s="81"/>
      <c r="B6" s="53"/>
      <c r="D6" s="53"/>
      <c r="E6" s="53"/>
      <c r="F6" s="53"/>
      <c r="G6" s="53"/>
      <c r="H6" s="53"/>
      <c r="I6" s="53"/>
      <c r="J6" s="99"/>
    </row>
    <row r="7" spans="1:10">
      <c r="A7" s="53"/>
      <c r="B7" s="53"/>
      <c r="C7" s="53"/>
      <c r="D7" s="53"/>
      <c r="E7" s="53"/>
      <c r="F7" s="53"/>
      <c r="G7" s="53"/>
      <c r="H7" s="53"/>
      <c r="I7" s="53"/>
      <c r="J7" s="99"/>
    </row>
    <row r="8" spans="1:10">
      <c r="A8" s="53"/>
      <c r="B8" s="53"/>
      <c r="C8" s="53"/>
      <c r="D8" s="53"/>
      <c r="E8" s="53"/>
      <c r="F8" s="53"/>
      <c r="G8" s="53"/>
      <c r="H8" s="53"/>
      <c r="I8" s="53"/>
      <c r="J8" s="99"/>
    </row>
    <row r="9" spans="1:10">
      <c r="A9" s="53"/>
      <c r="B9" s="53"/>
      <c r="C9" s="53"/>
      <c r="D9" s="53"/>
      <c r="E9" s="53"/>
      <c r="F9" s="53"/>
      <c r="G9" s="53"/>
      <c r="H9" s="53"/>
      <c r="I9" s="53"/>
      <c r="J9" s="99"/>
    </row>
    <row r="10" spans="1:10">
      <c r="A10" s="53"/>
      <c r="B10" s="53"/>
      <c r="C10" s="53"/>
      <c r="D10" s="53"/>
      <c r="E10" s="53"/>
      <c r="F10" s="53"/>
      <c r="G10" s="53"/>
      <c r="H10" s="53"/>
      <c r="I10" s="53"/>
      <c r="J10" s="99"/>
    </row>
    <row r="11" spans="1:10">
      <c r="A11" s="53"/>
      <c r="B11" s="53"/>
      <c r="C11" s="53"/>
      <c r="D11" s="53"/>
      <c r="E11" s="53"/>
      <c r="F11" s="53"/>
      <c r="G11" s="53"/>
      <c r="H11" s="53"/>
      <c r="I11" s="53"/>
      <c r="J11" s="99"/>
    </row>
    <row r="12" spans="1:10">
      <c r="A12" s="53"/>
      <c r="B12" s="53"/>
      <c r="C12" s="53"/>
      <c r="D12" s="53"/>
      <c r="E12" s="53"/>
      <c r="F12" s="53"/>
      <c r="G12" s="53"/>
      <c r="H12" s="53"/>
      <c r="I12" s="53"/>
      <c r="J12" s="99"/>
    </row>
    <row r="13" spans="1:10">
      <c r="A13" s="53"/>
      <c r="B13" s="53"/>
      <c r="C13" s="53"/>
      <c r="D13" s="53"/>
      <c r="E13" s="53"/>
      <c r="F13" s="53"/>
      <c r="G13" s="53"/>
      <c r="H13" s="53"/>
      <c r="I13" s="53"/>
      <c r="J13" s="99"/>
    </row>
    <row r="14" spans="1:10">
      <c r="A14" s="53"/>
      <c r="B14" s="53"/>
      <c r="C14" s="53"/>
      <c r="D14" s="53"/>
      <c r="E14" s="53"/>
      <c r="F14" s="53"/>
      <c r="G14" s="53"/>
      <c r="H14" s="53"/>
      <c r="I14" s="53"/>
      <c r="J14" s="99"/>
    </row>
    <row r="15" spans="1:10">
      <c r="A15" s="53"/>
      <c r="B15" s="53"/>
      <c r="C15" s="53"/>
      <c r="D15" s="53"/>
      <c r="E15" s="53"/>
      <c r="F15" s="53"/>
      <c r="G15" s="53"/>
      <c r="H15" s="53"/>
      <c r="I15" s="53"/>
      <c r="J15" s="99"/>
    </row>
    <row r="16" spans="1:10">
      <c r="A16" s="53"/>
      <c r="B16" s="53"/>
      <c r="C16" s="53"/>
      <c r="D16" s="53"/>
      <c r="E16" s="53"/>
      <c r="F16" s="53"/>
      <c r="G16" s="53"/>
      <c r="H16" s="53"/>
      <c r="I16" s="53"/>
      <c r="J16" s="99"/>
    </row>
    <row r="17" spans="1:10">
      <c r="A17" s="53"/>
      <c r="B17" s="53"/>
      <c r="C17" s="53"/>
      <c r="D17" s="53"/>
      <c r="E17" s="53"/>
      <c r="F17" s="53"/>
      <c r="G17" s="53"/>
      <c r="H17" s="53"/>
      <c r="I17" s="53"/>
      <c r="J17" s="99"/>
    </row>
    <row r="18" spans="1:10">
      <c r="A18" s="53"/>
      <c r="B18" s="53"/>
      <c r="C18" s="53"/>
      <c r="D18" s="53"/>
      <c r="E18" s="53"/>
      <c r="F18" s="53"/>
      <c r="G18" s="53"/>
      <c r="H18" s="53"/>
      <c r="I18" s="53"/>
      <c r="J18" s="99"/>
    </row>
    <row r="19" spans="1:10">
      <c r="A19" s="53"/>
      <c r="B19" s="53"/>
      <c r="C19" s="53"/>
      <c r="D19" s="53"/>
      <c r="E19" s="53"/>
      <c r="F19" s="53"/>
      <c r="G19" s="53"/>
      <c r="H19" s="53"/>
      <c r="I19" s="53"/>
      <c r="J19" s="99"/>
    </row>
    <row r="20" spans="1:10">
      <c r="A20" s="53"/>
      <c r="B20" s="53"/>
      <c r="C20" s="53"/>
      <c r="D20" s="53"/>
      <c r="E20" s="53"/>
      <c r="F20" s="53"/>
      <c r="G20" s="53"/>
      <c r="H20" s="53"/>
      <c r="I20" s="53"/>
      <c r="J20" s="99"/>
    </row>
    <row r="21" spans="1:10">
      <c r="A21" s="53"/>
      <c r="B21" s="53"/>
      <c r="C21" s="53"/>
      <c r="D21" s="53"/>
      <c r="E21" s="53"/>
      <c r="F21" s="53"/>
      <c r="G21" s="53"/>
      <c r="H21" s="53"/>
      <c r="I21" s="53"/>
      <c r="J21" s="99"/>
    </row>
    <row r="22" spans="1:10">
      <c r="A22" s="53"/>
      <c r="B22" s="53"/>
      <c r="C22" s="53"/>
      <c r="D22" s="53"/>
      <c r="E22" s="53"/>
      <c r="F22" s="53"/>
      <c r="G22" s="53"/>
      <c r="H22" s="53"/>
      <c r="I22" s="53"/>
      <c r="J22" s="99"/>
    </row>
    <row r="23" spans="1:10">
      <c r="G23" s="53"/>
      <c r="H23" s="53"/>
      <c r="I23" s="53"/>
      <c r="J23" s="99"/>
    </row>
    <row r="24" spans="1:10">
      <c r="G24" s="53"/>
      <c r="H24" s="53"/>
      <c r="I24" s="53"/>
    </row>
  </sheetData>
  <hyperlinks>
    <hyperlink ref="A2" r:id="rId1" xr:uid="{7F3D2801-CA7A-415C-9B54-3F39603AC545}"/>
    <hyperlink ref="A3" r:id="rId2" xr:uid="{274A97CC-2E39-DE40-AEDB-C9BF9A526930}"/>
    <hyperlink ref="A4" r:id="rId3" xr:uid="{84896ABE-B9F8-AD4C-9D38-46EA2FDFF41D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B91E5-A933-4EEC-9530-C6800764C347}">
  <dimension ref="A1:H15"/>
  <sheetViews>
    <sheetView workbookViewId="0">
      <selection activeCell="B3" sqref="B3"/>
    </sheetView>
  </sheetViews>
  <sheetFormatPr defaultColWidth="10.7109375" defaultRowHeight="12.95"/>
  <cols>
    <col min="1" max="1" width="33.7109375" customWidth="1"/>
    <col min="2" max="2" width="14.85546875" customWidth="1"/>
    <col min="3" max="3" width="17.85546875" customWidth="1"/>
    <col min="4" max="4" width="13.85546875" bestFit="1" customWidth="1"/>
    <col min="5" max="5" width="18" customWidth="1"/>
    <col min="6" max="6" width="16.85546875" bestFit="1" customWidth="1"/>
    <col min="8" max="9" width="24.85546875" bestFit="1" customWidth="1"/>
  </cols>
  <sheetData>
    <row r="1" spans="1:8" ht="15.95">
      <c r="A1" s="97" t="s">
        <v>4</v>
      </c>
      <c r="B1" s="97" t="s">
        <v>1419</v>
      </c>
      <c r="C1" s="97" t="s">
        <v>1420</v>
      </c>
      <c r="D1" s="97" t="s">
        <v>1421</v>
      </c>
      <c r="E1" s="97" t="s">
        <v>1422</v>
      </c>
      <c r="F1" s="97" t="s">
        <v>1423</v>
      </c>
      <c r="G1" s="97" t="s">
        <v>1424</v>
      </c>
      <c r="H1" s="97" t="s">
        <v>1425</v>
      </c>
    </row>
    <row r="2" spans="1:8">
      <c r="A2" s="81"/>
      <c r="B2" s="105"/>
      <c r="C2" s="53"/>
      <c r="D2" s="53"/>
      <c r="E2" s="53"/>
      <c r="F2" s="53"/>
      <c r="G2" s="53"/>
    </row>
    <row r="3" spans="1:8" ht="12.75">
      <c r="A3" s="114" t="s">
        <v>1488</v>
      </c>
      <c r="B3" s="145" t="s">
        <v>1489</v>
      </c>
      <c r="C3" s="53" t="s">
        <v>80</v>
      </c>
      <c r="D3" t="s">
        <v>1428</v>
      </c>
      <c r="E3" s="145" t="s">
        <v>134</v>
      </c>
      <c r="F3" s="143" t="s">
        <v>118</v>
      </c>
      <c r="G3" s="143" t="s">
        <v>1490</v>
      </c>
    </row>
    <row r="4" spans="1:8">
      <c r="A4" s="114" t="s">
        <v>1491</v>
      </c>
      <c r="B4" s="145" t="s">
        <v>1492</v>
      </c>
      <c r="C4" s="143" t="s">
        <v>1493</v>
      </c>
      <c r="D4" s="145" t="s">
        <v>1494</v>
      </c>
      <c r="E4" s="143" t="s">
        <v>102</v>
      </c>
      <c r="F4" s="143" t="s">
        <v>28</v>
      </c>
      <c r="G4" s="143" t="s">
        <v>86</v>
      </c>
    </row>
    <row r="5" spans="1:8">
      <c r="A5" s="114"/>
      <c r="B5" s="145"/>
      <c r="C5" s="143"/>
      <c r="D5" s="145"/>
      <c r="E5" s="143"/>
      <c r="F5" s="53"/>
      <c r="G5" s="53"/>
    </row>
    <row r="6" spans="1:8" ht="14.1">
      <c r="A6" s="140"/>
      <c r="B6" s="139"/>
      <c r="C6" s="53"/>
      <c r="D6" s="53"/>
      <c r="F6" s="53"/>
      <c r="G6" s="53"/>
    </row>
    <row r="7" spans="1:8">
      <c r="C7" s="53"/>
      <c r="D7" s="53"/>
      <c r="E7" s="53"/>
      <c r="F7" s="53"/>
      <c r="G7" s="53"/>
    </row>
    <row r="8" spans="1:8">
      <c r="C8" s="53"/>
      <c r="D8" s="53"/>
      <c r="E8" s="53"/>
      <c r="F8" s="53"/>
      <c r="G8" s="53"/>
    </row>
    <row r="9" spans="1:8">
      <c r="C9" s="53"/>
      <c r="D9" s="53"/>
      <c r="E9" s="53"/>
      <c r="F9" s="53"/>
      <c r="G9" s="53"/>
      <c r="H9" s="141"/>
    </row>
    <row r="10" spans="1:8">
      <c r="C10" s="53"/>
      <c r="D10" s="53"/>
      <c r="E10" s="53"/>
      <c r="F10" s="53"/>
      <c r="G10" s="53"/>
    </row>
    <row r="11" spans="1:8">
      <c r="C11" s="53"/>
      <c r="D11" s="53"/>
      <c r="E11" s="53"/>
      <c r="F11" s="53"/>
      <c r="G11" s="53"/>
    </row>
    <row r="12" spans="1:8">
      <c r="C12" s="53"/>
      <c r="D12" s="53"/>
      <c r="E12" s="53"/>
      <c r="F12" s="53"/>
      <c r="G12" s="53"/>
    </row>
    <row r="13" spans="1:8">
      <c r="C13" s="53"/>
      <c r="D13" s="53"/>
      <c r="E13" s="53"/>
      <c r="F13" s="53"/>
      <c r="G13" s="53"/>
    </row>
    <row r="14" spans="1:8">
      <c r="C14" s="53"/>
      <c r="D14" s="53" t="s">
        <v>1495</v>
      </c>
      <c r="E14" s="53"/>
      <c r="F14" s="53"/>
      <c r="G14" s="53"/>
    </row>
    <row r="15" spans="1:8">
      <c r="C15" s="53"/>
      <c r="D15" s="53"/>
      <c r="E15" s="53"/>
      <c r="F15" s="53"/>
      <c r="G15" s="53"/>
    </row>
  </sheetData>
  <hyperlinks>
    <hyperlink ref="A3" r:id="rId1" xr:uid="{340EBDC8-AF49-1943-B4EC-FB618930D4DB}"/>
    <hyperlink ref="A4" r:id="rId2" xr:uid="{84332694-B566-4F8E-AD85-5E06B42051BA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H1000"/>
  <sheetViews>
    <sheetView zoomScale="125" workbookViewId="0">
      <selection activeCell="B5" sqref="B5"/>
    </sheetView>
  </sheetViews>
  <sheetFormatPr defaultColWidth="12.28515625" defaultRowHeight="15" customHeight="1"/>
  <cols>
    <col min="1" max="1" width="10.28515625" customWidth="1"/>
    <col min="2" max="2" width="33.85546875" customWidth="1"/>
    <col min="3" max="3" width="10.28515625" customWidth="1"/>
    <col min="4" max="4" width="16.42578125" customWidth="1"/>
    <col min="5" max="5" width="51" customWidth="1"/>
    <col min="6" max="6" width="16.7109375" bestFit="1" customWidth="1"/>
    <col min="7" max="7" width="14.140625" bestFit="1" customWidth="1"/>
    <col min="8" max="26" width="10.28515625" customWidth="1"/>
  </cols>
  <sheetData>
    <row r="1" spans="1:8" ht="12.75" customHeight="1">
      <c r="A1" s="43" t="s">
        <v>1496</v>
      </c>
      <c r="B1" s="43" t="s">
        <v>4</v>
      </c>
      <c r="C1" s="43" t="s">
        <v>1419</v>
      </c>
      <c r="D1" s="43" t="s">
        <v>1497</v>
      </c>
      <c r="E1" s="43" t="s">
        <v>1498</v>
      </c>
      <c r="G1" s="84"/>
    </row>
    <row r="2" spans="1:8" ht="12.75" customHeight="1">
      <c r="A2" s="22" t="s">
        <v>17</v>
      </c>
      <c r="B2" s="51" t="s">
        <v>1499</v>
      </c>
      <c r="C2" s="22" t="s">
        <v>1500</v>
      </c>
      <c r="D2" s="22" t="s">
        <v>1501</v>
      </c>
      <c r="E2" s="50" t="s">
        <v>1502</v>
      </c>
      <c r="F2" s="22" t="s">
        <v>1503</v>
      </c>
      <c r="G2" s="84" t="s">
        <v>1504</v>
      </c>
    </row>
    <row r="3" spans="1:8" ht="12.75" customHeight="1">
      <c r="A3" s="22" t="s">
        <v>17</v>
      </c>
      <c r="B3" s="108" t="s">
        <v>1505</v>
      </c>
      <c r="C3" s="22"/>
      <c r="D3" s="22"/>
      <c r="E3" s="50" t="s">
        <v>1506</v>
      </c>
      <c r="F3" s="22" t="s">
        <v>1507</v>
      </c>
      <c r="G3" s="84" t="s">
        <v>1504</v>
      </c>
    </row>
    <row r="4" spans="1:8" ht="12.75" customHeight="1">
      <c r="A4" s="22" t="s">
        <v>17</v>
      </c>
      <c r="B4" s="22" t="s">
        <v>102</v>
      </c>
      <c r="C4" s="22"/>
      <c r="D4" s="22"/>
      <c r="E4" s="50" t="s">
        <v>1508</v>
      </c>
      <c r="F4" s="22" t="s">
        <v>1509</v>
      </c>
      <c r="G4" s="83" t="s">
        <v>1510</v>
      </c>
    </row>
    <row r="5" spans="1:8" ht="12.75" customHeight="1">
      <c r="A5" s="22" t="s">
        <v>17</v>
      </c>
      <c r="B5" s="108" t="s">
        <v>1511</v>
      </c>
      <c r="C5" s="22"/>
      <c r="D5" s="22"/>
      <c r="E5" s="50" t="s">
        <v>1508</v>
      </c>
      <c r="F5" s="22" t="s">
        <v>1509</v>
      </c>
      <c r="G5" s="84" t="s">
        <v>1504</v>
      </c>
      <c r="H5">
        <v>1</v>
      </c>
    </row>
    <row r="6" spans="1:8" ht="12.75" customHeight="1">
      <c r="A6" s="22" t="s">
        <v>17</v>
      </c>
      <c r="B6" s="22" t="s">
        <v>1512</v>
      </c>
      <c r="C6" s="22"/>
      <c r="D6" s="22"/>
      <c r="E6" s="50" t="s">
        <v>1513</v>
      </c>
      <c r="G6" s="83"/>
    </row>
    <row r="7" spans="1:8" ht="12.75" customHeight="1">
      <c r="A7" s="22" t="s">
        <v>17</v>
      </c>
      <c r="B7" s="22" t="s">
        <v>1514</v>
      </c>
      <c r="C7" s="22"/>
      <c r="D7" s="22"/>
      <c r="E7" s="50" t="s">
        <v>1515</v>
      </c>
      <c r="F7" s="22" t="s">
        <v>1516</v>
      </c>
      <c r="G7" s="83" t="s">
        <v>1510</v>
      </c>
    </row>
    <row r="8" spans="1:8" ht="12.75" customHeight="1">
      <c r="A8" s="22" t="s">
        <v>17</v>
      </c>
      <c r="B8" s="138" t="s">
        <v>1517</v>
      </c>
      <c r="C8" s="22" t="s">
        <v>1500</v>
      </c>
      <c r="D8" s="22" t="s">
        <v>1501</v>
      </c>
      <c r="E8" s="110" t="s">
        <v>1518</v>
      </c>
      <c r="F8" s="22" t="s">
        <v>1519</v>
      </c>
      <c r="G8" s="83" t="s">
        <v>1510</v>
      </c>
    </row>
    <row r="9" spans="1:8" ht="12.75" customHeight="1">
      <c r="A9" s="22"/>
      <c r="B9" s="57"/>
      <c r="C9" s="22"/>
      <c r="D9" s="22"/>
      <c r="E9" s="111"/>
    </row>
    <row r="10" spans="1:8" ht="12.75" customHeight="1">
      <c r="A10" s="22"/>
      <c r="B10" s="22"/>
      <c r="C10" s="22"/>
      <c r="D10" s="22"/>
    </row>
    <row r="11" spans="1:8" ht="12.75" customHeight="1">
      <c r="A11" s="22"/>
      <c r="B11" s="22"/>
      <c r="C11" s="22"/>
      <c r="D11" s="22"/>
    </row>
    <row r="12" spans="1:8" ht="12.75" customHeight="1">
      <c r="A12" s="22"/>
      <c r="B12" s="22"/>
      <c r="C12" s="22"/>
      <c r="D12" s="22"/>
    </row>
    <row r="13" spans="1:8" ht="12.75" customHeight="1">
      <c r="A13" s="22"/>
      <c r="B13" s="22"/>
      <c r="C13" s="22"/>
      <c r="D13" s="22"/>
    </row>
    <row r="14" spans="1:8" ht="12.75" customHeight="1">
      <c r="A14" s="22"/>
      <c r="B14" s="22"/>
      <c r="C14" s="22"/>
      <c r="D14" s="22"/>
    </row>
    <row r="15" spans="1:8" ht="12.75" customHeight="1">
      <c r="A15" s="22"/>
      <c r="B15" s="22"/>
      <c r="C15" s="22"/>
      <c r="D15" s="22"/>
    </row>
    <row r="16" spans="1:8" ht="12.75" customHeight="1">
      <c r="A16" s="22"/>
      <c r="B16" s="22"/>
      <c r="C16" s="22"/>
      <c r="D16" s="22"/>
    </row>
    <row r="17" spans="1:4" ht="12.75" customHeight="1">
      <c r="A17" s="22"/>
      <c r="B17" s="22"/>
      <c r="C17" s="22"/>
      <c r="D17" s="22"/>
    </row>
    <row r="18" spans="1:4" ht="12.75" customHeight="1">
      <c r="A18" s="22"/>
      <c r="B18" s="22"/>
      <c r="C18" s="22"/>
      <c r="D18" s="22"/>
    </row>
    <row r="19" spans="1:4" ht="12.75" customHeight="1">
      <c r="A19" s="22"/>
      <c r="B19" s="22"/>
      <c r="C19" s="22"/>
      <c r="D19" s="22"/>
    </row>
    <row r="20" spans="1:4" ht="12.75" customHeight="1">
      <c r="A20" s="22"/>
      <c r="B20" s="22"/>
      <c r="C20" s="22"/>
      <c r="D20" s="22"/>
    </row>
    <row r="21" spans="1:4" ht="12.75" customHeight="1">
      <c r="A21" s="22"/>
      <c r="B21" s="22"/>
      <c r="C21" s="22"/>
      <c r="D21" s="22"/>
    </row>
    <row r="22" spans="1:4" ht="12.75" customHeight="1">
      <c r="A22" s="22"/>
      <c r="B22" s="22"/>
      <c r="C22" s="22"/>
      <c r="D22" s="22"/>
    </row>
    <row r="23" spans="1:4" ht="12.75" customHeight="1">
      <c r="A23" s="22"/>
      <c r="B23" s="22"/>
      <c r="C23" s="22"/>
      <c r="D23" s="22"/>
    </row>
    <row r="24" spans="1:4" ht="12.75" customHeight="1">
      <c r="A24" s="22"/>
      <c r="B24" s="22"/>
      <c r="C24" s="22"/>
      <c r="D24" s="22"/>
    </row>
    <row r="25" spans="1:4" ht="12.75" customHeight="1">
      <c r="A25" s="22"/>
      <c r="B25" s="22"/>
      <c r="C25" s="22"/>
      <c r="D25" s="22"/>
    </row>
    <row r="26" spans="1:4" ht="12.75" customHeight="1">
      <c r="A26" s="22"/>
      <c r="B26" s="22"/>
      <c r="C26" s="22"/>
      <c r="D26" s="22"/>
    </row>
    <row r="27" spans="1:4" ht="12.75" customHeight="1">
      <c r="A27" s="22"/>
      <c r="B27" s="22"/>
      <c r="C27" s="22"/>
      <c r="D27" s="22"/>
    </row>
    <row r="28" spans="1:4" ht="12.75" customHeight="1">
      <c r="A28" s="22"/>
      <c r="B28" s="22"/>
      <c r="C28" s="22"/>
      <c r="D28" s="22"/>
    </row>
    <row r="29" spans="1:4" ht="12.75" customHeight="1"/>
    <row r="30" spans="1:4" ht="12.75" customHeight="1"/>
    <row r="31" spans="1:4" ht="12.75" customHeight="1"/>
    <row r="32" spans="1:4" ht="12.75" customHeight="1"/>
    <row r="33" ht="12.75" customHeight="1"/>
    <row r="34" ht="12.75" customHeight="1"/>
    <row r="35" ht="12.75" customHeight="1"/>
    <row r="36" ht="12.75" customHeight="1"/>
    <row r="37" ht="12.75" customHeight="1"/>
    <row r="38" ht="12.75" customHeight="1"/>
    <row r="39" ht="12.75" customHeight="1"/>
    <row r="40" ht="12.75" customHeight="1"/>
    <row r="41" ht="12.75" customHeight="1"/>
    <row r="42" ht="12.75" customHeight="1"/>
    <row r="43" ht="12.75" customHeight="1"/>
    <row r="44" ht="12.75" customHeight="1"/>
    <row r="45" ht="12.75" customHeight="1"/>
    <row r="46" ht="12.75" customHeight="1"/>
    <row r="47" ht="12.75" customHeight="1"/>
    <row r="48" ht="12.75" customHeight="1"/>
    <row r="49" ht="12.75" customHeight="1"/>
    <row r="50" ht="12.75" customHeight="1"/>
    <row r="51" ht="12.75" customHeight="1"/>
    <row r="52" ht="12.75" customHeight="1"/>
    <row r="53" ht="12.75" customHeight="1"/>
    <row r="54" ht="12.75" customHeight="1"/>
    <row r="55" ht="12.75" customHeight="1"/>
    <row r="56" ht="12.75" customHeight="1"/>
    <row r="57" ht="12.75" customHeight="1"/>
    <row r="58" ht="12.75" customHeight="1"/>
    <row r="59" ht="12.75" customHeight="1"/>
    <row r="60" ht="12.75" customHeight="1"/>
    <row r="61" ht="12.75" customHeight="1"/>
    <row r="62" ht="12.75" customHeight="1"/>
    <row r="63" ht="12.75" customHeight="1"/>
    <row r="64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hyperlinks>
    <hyperlink ref="B3" r:id="rId1" xr:uid="{FC853A6E-3EDA-4DFB-BE4F-4CC1FEAF5C76}"/>
    <hyperlink ref="B5" r:id="rId2" xr:uid="{0341A1FA-115D-469F-B5BE-136988081B7B}"/>
    <hyperlink ref="B2" r:id="rId3" xr:uid="{55D12987-C949-4FAC-A823-79A609D2092C}"/>
    <hyperlink ref="B8" r:id="rId4" xr:uid="{48A6AC0E-0EFF-41EC-B5BD-55ABD6490469}"/>
  </hyperlinks>
  <pageMargins left="0.7" right="0.7" top="0.75" bottom="0.75" header="0" footer="0"/>
  <pageSetup orientation="landscape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CECE3-09D0-447A-B713-509765B18A8C}">
  <dimension ref="A1:S33"/>
  <sheetViews>
    <sheetView topLeftCell="C1" workbookViewId="0">
      <selection activeCell="H29" sqref="H29"/>
    </sheetView>
  </sheetViews>
  <sheetFormatPr defaultColWidth="10.7109375" defaultRowHeight="12.95"/>
  <cols>
    <col min="2" max="2" width="11.85546875" bestFit="1" customWidth="1"/>
    <col min="3" max="3" width="10.28515625" bestFit="1" customWidth="1"/>
    <col min="4" max="4" width="16.85546875" bestFit="1" customWidth="1"/>
    <col min="7" max="7" width="11.42578125" bestFit="1" customWidth="1"/>
    <col min="8" max="8" width="13.42578125" customWidth="1"/>
  </cols>
  <sheetData>
    <row r="1" spans="1:19" ht="27.95">
      <c r="A1" s="48" t="s">
        <v>1352</v>
      </c>
      <c r="B1" s="48" t="s">
        <v>1356</v>
      </c>
      <c r="C1" s="48" t="s">
        <v>1411</v>
      </c>
      <c r="D1" s="49" t="s">
        <v>1412</v>
      </c>
      <c r="E1" s="95"/>
      <c r="F1" s="48" t="s">
        <v>1352</v>
      </c>
      <c r="G1" s="48" t="s">
        <v>1413</v>
      </c>
      <c r="H1" s="150" t="s">
        <v>1414</v>
      </c>
      <c r="I1" s="96" t="s">
        <v>1415</v>
      </c>
      <c r="J1" s="85" t="s">
        <v>1520</v>
      </c>
      <c r="K1" s="85" t="s">
        <v>1379</v>
      </c>
      <c r="L1" s="85" t="s">
        <v>1417</v>
      </c>
      <c r="M1" s="48" t="s">
        <v>1418</v>
      </c>
    </row>
    <row r="2" spans="1:19">
      <c r="A2" s="65">
        <v>46023</v>
      </c>
      <c r="B2" s="82">
        <f>+GETPIVOTDATA("GANANCIA",Ventas!$G$1,"FECHA",DATE(2026,1,1))</f>
        <v>7000</v>
      </c>
      <c r="C2" s="82"/>
      <c r="D2" s="82">
        <f t="shared" ref="D2:D32" si="0">+B2-C2</f>
        <v>7000</v>
      </c>
      <c r="F2" s="65">
        <v>45658</v>
      </c>
      <c r="G2" s="82"/>
      <c r="H2" s="151">
        <f>+D2+120007</f>
        <v>127007</v>
      </c>
      <c r="I2" s="82"/>
      <c r="J2" s="82"/>
      <c r="K2" s="82"/>
      <c r="L2" s="82"/>
      <c r="M2" s="82">
        <f>+G2-H2-I2-J2-K2-L2</f>
        <v>-127007</v>
      </c>
    </row>
    <row r="3" spans="1:19">
      <c r="A3" s="65">
        <v>46024</v>
      </c>
      <c r="B3" s="82">
        <f>+GETPIVOTDATA("GANANCIA",Ventas!$G$1,"FECHA",DATE(2025,1,2))</f>
        <v>7510</v>
      </c>
      <c r="C3" s="82"/>
      <c r="D3" s="82">
        <f t="shared" si="0"/>
        <v>7510</v>
      </c>
      <c r="F3" s="65">
        <v>45659</v>
      </c>
      <c r="G3" s="82"/>
      <c r="H3" s="82">
        <f>+D3+H2</f>
        <v>134517</v>
      </c>
      <c r="I3" s="82"/>
      <c r="J3" s="82"/>
      <c r="K3" s="82"/>
      <c r="L3" s="82"/>
      <c r="M3" s="82">
        <f t="shared" ref="M3:M32" si="1">+G3-H3-I3-J3-K3-L3</f>
        <v>-134517</v>
      </c>
      <c r="N3" s="134" t="s">
        <v>1521</v>
      </c>
    </row>
    <row r="4" spans="1:19">
      <c r="A4" s="65">
        <v>46025</v>
      </c>
      <c r="B4" s="82">
        <f>+GETPIVOTDATA("GANANCIA",Ventas!$G$1,"FECHA",DATE(2026,1,3))</f>
        <v>12410</v>
      </c>
      <c r="C4" s="82"/>
      <c r="D4" s="82">
        <f t="shared" si="0"/>
        <v>12410</v>
      </c>
      <c r="F4" s="65">
        <v>45660</v>
      </c>
      <c r="G4" s="82"/>
      <c r="H4" s="82">
        <f>+D4+H3-50000</f>
        <v>96927</v>
      </c>
      <c r="I4" s="82"/>
      <c r="J4" s="82"/>
      <c r="K4" s="82"/>
      <c r="L4" s="82"/>
      <c r="M4" s="82">
        <f t="shared" si="1"/>
        <v>-96927</v>
      </c>
    </row>
    <row r="5" spans="1:19">
      <c r="A5" s="65">
        <v>46026</v>
      </c>
      <c r="B5" s="82">
        <f>+GETPIVOTDATA("GANANCIA",Ventas!$G$1,"FECHA",DATE(2026,1,4))</f>
        <v>30829</v>
      </c>
      <c r="C5" s="82"/>
      <c r="D5" s="82">
        <f t="shared" si="0"/>
        <v>30829</v>
      </c>
      <c r="F5" s="65">
        <v>45661</v>
      </c>
      <c r="G5" s="82">
        <v>859647</v>
      </c>
      <c r="H5" s="82">
        <f>+D5+H4-66105</f>
        <v>61651</v>
      </c>
      <c r="I5" s="82"/>
      <c r="J5" s="82"/>
      <c r="K5" s="82"/>
      <c r="L5" s="82"/>
      <c r="M5" s="82">
        <f t="shared" si="1"/>
        <v>797996</v>
      </c>
    </row>
    <row r="6" spans="1:19">
      <c r="A6" s="65">
        <v>46027</v>
      </c>
      <c r="B6" s="82">
        <f>+Ventas!H8</f>
        <v>8200</v>
      </c>
      <c r="C6" s="82"/>
      <c r="D6" s="82">
        <f t="shared" si="0"/>
        <v>8200</v>
      </c>
      <c r="F6" s="65">
        <v>45662</v>
      </c>
      <c r="G6" s="82"/>
      <c r="H6" s="82">
        <f>+D6+H5-40000</f>
        <v>29851</v>
      </c>
      <c r="I6" s="82"/>
      <c r="J6" s="82"/>
      <c r="K6" s="82"/>
      <c r="L6" s="82"/>
      <c r="M6" s="82">
        <f t="shared" si="1"/>
        <v>-29851</v>
      </c>
    </row>
    <row r="7" spans="1:19">
      <c r="A7" s="65">
        <v>46028</v>
      </c>
      <c r="B7" s="82">
        <f>+Ventas!H7</f>
        <v>30829</v>
      </c>
      <c r="C7" s="82"/>
      <c r="D7" s="82">
        <f t="shared" si="0"/>
        <v>30829</v>
      </c>
      <c r="F7" s="65">
        <v>45663</v>
      </c>
      <c r="G7" s="82"/>
      <c r="H7" s="82">
        <f>+D7+H6-5000</f>
        <v>55680</v>
      </c>
      <c r="I7" s="82"/>
      <c r="J7" s="82"/>
      <c r="K7" s="82"/>
      <c r="L7" s="82"/>
      <c r="M7" s="82">
        <f t="shared" si="1"/>
        <v>-55680</v>
      </c>
    </row>
    <row r="8" spans="1:19">
      <c r="A8" s="65">
        <v>46029</v>
      </c>
      <c r="B8" s="82"/>
      <c r="C8" s="82"/>
      <c r="D8" s="82">
        <f t="shared" si="0"/>
        <v>0</v>
      </c>
      <c r="F8" s="65">
        <v>45664</v>
      </c>
      <c r="G8" s="82"/>
      <c r="H8" s="82">
        <f t="shared" ref="H8:H32" si="2">+D8+H7</f>
        <v>55680</v>
      </c>
      <c r="I8" s="82"/>
      <c r="J8" s="82"/>
      <c r="K8" s="82"/>
      <c r="L8" s="82"/>
      <c r="M8" s="82">
        <f t="shared" si="1"/>
        <v>-55680</v>
      </c>
      <c r="O8" s="104"/>
    </row>
    <row r="9" spans="1:19">
      <c r="A9" s="65">
        <v>46030</v>
      </c>
      <c r="B9" s="82">
        <f>+GETPIVOTDATA("GANANCIA",Ventas!$G$1,"FECHA",DATE(2026,1,8))</f>
        <v>3000</v>
      </c>
      <c r="C9" s="82"/>
      <c r="D9" s="82">
        <f t="shared" si="0"/>
        <v>3000</v>
      </c>
      <c r="F9" s="65">
        <v>45665</v>
      </c>
      <c r="G9" s="82"/>
      <c r="H9" s="82">
        <f>+D9+H8-7100</f>
        <v>51580</v>
      </c>
      <c r="I9" s="82"/>
      <c r="J9" s="82"/>
      <c r="K9" s="82"/>
      <c r="L9" s="82"/>
      <c r="M9" s="82">
        <f t="shared" si="1"/>
        <v>-51580</v>
      </c>
    </row>
    <row r="10" spans="1:19">
      <c r="A10" s="65">
        <v>46031</v>
      </c>
      <c r="B10" s="82">
        <f>+GETPIVOTDATA("GANANCIA",Ventas!$G$1,"FECHA",DATE(2026,1,9))</f>
        <v>22100</v>
      </c>
      <c r="C10" s="82"/>
      <c r="D10" s="82">
        <f t="shared" si="0"/>
        <v>22100</v>
      </c>
      <c r="F10" s="65">
        <v>45666</v>
      </c>
      <c r="G10" s="82"/>
      <c r="H10" s="82">
        <f>+D10+H9-13900</f>
        <v>59780</v>
      </c>
      <c r="I10" s="82"/>
      <c r="J10" s="82"/>
      <c r="K10" s="82"/>
      <c r="L10" s="82"/>
      <c r="M10" s="82">
        <f t="shared" si="1"/>
        <v>-59780</v>
      </c>
    </row>
    <row r="11" spans="1:19">
      <c r="A11" s="65">
        <v>46032</v>
      </c>
      <c r="B11" s="82">
        <f>+Ventas!H11</f>
        <v>22100</v>
      </c>
      <c r="C11" s="82"/>
      <c r="D11" s="82">
        <f t="shared" si="0"/>
        <v>22100</v>
      </c>
      <c r="F11" s="65">
        <v>45667</v>
      </c>
      <c r="G11" s="82"/>
      <c r="H11" s="82">
        <f t="shared" si="2"/>
        <v>81880</v>
      </c>
      <c r="I11" s="82"/>
      <c r="J11" s="82"/>
      <c r="K11" s="82"/>
      <c r="L11" s="82"/>
      <c r="M11" s="82">
        <f t="shared" si="1"/>
        <v>-81880</v>
      </c>
    </row>
    <row r="12" spans="1:19">
      <c r="A12" s="65">
        <v>46033</v>
      </c>
      <c r="B12" s="82">
        <f>+GETPIVOTDATA("GANANCIA",Ventas!$G$1,"FECHA",DATE(2026,1,11))</f>
        <v>8700</v>
      </c>
      <c r="C12" s="82"/>
      <c r="D12" s="82">
        <f t="shared" si="0"/>
        <v>8700</v>
      </c>
      <c r="F12" s="65">
        <v>45668</v>
      </c>
      <c r="G12" s="82"/>
      <c r="H12" s="82">
        <f>+D12+H11-10000-16000-71357</f>
        <v>-6777</v>
      </c>
      <c r="I12" s="82"/>
      <c r="J12" s="82"/>
      <c r="K12" s="82"/>
      <c r="L12" s="82"/>
      <c r="M12" s="82">
        <f t="shared" si="1"/>
        <v>6777</v>
      </c>
    </row>
    <row r="13" spans="1:19">
      <c r="A13" s="65">
        <v>46034</v>
      </c>
      <c r="B13" s="82">
        <f>+Ventas!H13</f>
        <v>8700</v>
      </c>
      <c r="C13" s="82"/>
      <c r="D13" s="82">
        <f t="shared" si="0"/>
        <v>8700</v>
      </c>
      <c r="F13" s="65">
        <v>45669</v>
      </c>
      <c r="G13" s="82"/>
      <c r="H13" s="82">
        <f>+D13+H12+16000</f>
        <v>17923</v>
      </c>
      <c r="I13" s="82"/>
      <c r="J13" s="82"/>
      <c r="K13" s="82"/>
      <c r="L13" s="82"/>
      <c r="M13" s="82">
        <f t="shared" si="1"/>
        <v>-17923</v>
      </c>
    </row>
    <row r="14" spans="1:19">
      <c r="A14" s="65">
        <v>46035</v>
      </c>
      <c r="B14" s="82">
        <f>+GETPIVOTDATA("GANANCIA",Ventas!$G$1,"FECHA",DATE(2026,1,13))</f>
        <v>27710</v>
      </c>
      <c r="C14" s="82"/>
      <c r="D14" s="82">
        <f t="shared" si="0"/>
        <v>27710</v>
      </c>
      <c r="F14" s="65">
        <v>45670</v>
      </c>
      <c r="G14" s="82"/>
      <c r="H14" s="82">
        <f>+D14+H13-4500</f>
        <v>41133</v>
      </c>
      <c r="I14" s="82"/>
      <c r="J14" s="82"/>
      <c r="K14" s="82"/>
      <c r="L14" s="82"/>
      <c r="M14" s="82">
        <f t="shared" si="1"/>
        <v>-41133</v>
      </c>
      <c r="O14" s="104"/>
    </row>
    <row r="15" spans="1:19">
      <c r="A15" s="65">
        <v>46036</v>
      </c>
      <c r="B15" s="82">
        <f>+Ventas!H15</f>
        <v>27710</v>
      </c>
      <c r="C15" s="82"/>
      <c r="D15" s="82">
        <f t="shared" si="0"/>
        <v>27710</v>
      </c>
      <c r="F15" s="65">
        <v>45671</v>
      </c>
      <c r="G15" s="82"/>
      <c r="H15" s="82">
        <f t="shared" si="2"/>
        <v>68843</v>
      </c>
      <c r="I15" s="82"/>
      <c r="J15" s="82"/>
      <c r="K15" s="82"/>
      <c r="L15" s="82"/>
      <c r="M15" s="82">
        <f t="shared" si="1"/>
        <v>-68843</v>
      </c>
      <c r="O15" s="104"/>
    </row>
    <row r="16" spans="1:19">
      <c r="A16" s="65">
        <v>46037</v>
      </c>
      <c r="B16" s="82">
        <f>+Ventas!H16</f>
        <v>29600</v>
      </c>
      <c r="C16" s="82"/>
      <c r="D16" s="82">
        <f t="shared" si="0"/>
        <v>29600</v>
      </c>
      <c r="F16" s="65">
        <v>45672</v>
      </c>
      <c r="G16" s="82"/>
      <c r="H16" s="82">
        <f>+D16+H15-20500-7500</f>
        <v>70443</v>
      </c>
      <c r="I16" s="82"/>
      <c r="J16" s="82"/>
      <c r="K16" s="82"/>
      <c r="L16" s="82"/>
      <c r="M16" s="82">
        <f t="shared" si="1"/>
        <v>-70443</v>
      </c>
      <c r="S16" s="104"/>
    </row>
    <row r="17" spans="1:16">
      <c r="A17" s="65">
        <v>46038</v>
      </c>
      <c r="B17" s="82">
        <f>+Ventas!H17</f>
        <v>2900</v>
      </c>
      <c r="C17" s="82"/>
      <c r="D17" s="82">
        <f t="shared" si="0"/>
        <v>2900</v>
      </c>
      <c r="F17" s="65">
        <v>45673</v>
      </c>
      <c r="G17" s="82"/>
      <c r="H17" s="82">
        <f>+D17+H16-4500</f>
        <v>68843</v>
      </c>
      <c r="I17" s="82"/>
      <c r="J17" s="82"/>
      <c r="K17" s="82"/>
      <c r="L17" s="82"/>
      <c r="M17" s="82">
        <f>+G17-H17-I17-J17-K17-L17</f>
        <v>-68843</v>
      </c>
      <c r="O17" s="104"/>
      <c r="P17" s="104"/>
    </row>
    <row r="18" spans="1:16">
      <c r="A18" s="65">
        <v>46039</v>
      </c>
      <c r="B18" s="82">
        <f>+GETPIVOTDATA("GANANCIA",Ventas!$G$1,"FECHA",DATE(2026,1,17))</f>
        <v>4000</v>
      </c>
      <c r="C18" s="82"/>
      <c r="D18" s="82">
        <f t="shared" si="0"/>
        <v>4000</v>
      </c>
      <c r="F18" s="65">
        <v>45674</v>
      </c>
      <c r="G18" s="82"/>
      <c r="H18" s="82">
        <f>+D18+H17+2500</f>
        <v>75343</v>
      </c>
      <c r="I18" s="82"/>
      <c r="J18" s="82"/>
      <c r="K18" s="82"/>
      <c r="L18" s="82"/>
      <c r="M18" s="82">
        <f t="shared" si="1"/>
        <v>-75343</v>
      </c>
      <c r="O18" s="104"/>
      <c r="P18" s="104"/>
    </row>
    <row r="19" spans="1:16">
      <c r="A19" s="65">
        <v>46040</v>
      </c>
      <c r="B19" s="82">
        <f>+GETPIVOTDATA("GANANCIA",Ventas!$G$1,"FECHA",DATE(2026,1,18))</f>
        <v>10000</v>
      </c>
      <c r="C19" s="82"/>
      <c r="D19" s="82">
        <f t="shared" si="0"/>
        <v>10000</v>
      </c>
      <c r="F19" s="65">
        <v>45675</v>
      </c>
      <c r="G19" s="82"/>
      <c r="H19" s="82">
        <f>+D19+H18-34200</f>
        <v>51143</v>
      </c>
      <c r="I19" s="82">
        <v>0</v>
      </c>
      <c r="J19" s="82">
        <v>0</v>
      </c>
      <c r="K19" s="82">
        <v>0</v>
      </c>
      <c r="L19" s="82">
        <v>0</v>
      </c>
      <c r="M19" s="82">
        <f>+G19-H19-I19-J19-K19-L19</f>
        <v>-51143</v>
      </c>
      <c r="O19" s="104"/>
      <c r="P19" s="104"/>
    </row>
    <row r="20" spans="1:16">
      <c r="A20" s="65">
        <v>46041</v>
      </c>
      <c r="B20" s="82">
        <f>+GETPIVOTDATA("GANANCIA",Ventas!$G$1,"FECHA",DATE(2026,1,19))</f>
        <v>25510</v>
      </c>
      <c r="C20" s="82"/>
      <c r="D20" s="82">
        <f t="shared" si="0"/>
        <v>25510</v>
      </c>
      <c r="F20" s="65">
        <v>45676</v>
      </c>
      <c r="G20" s="82"/>
      <c r="H20" s="82">
        <f>+D20+H19-28000</f>
        <v>48653</v>
      </c>
      <c r="I20" s="82"/>
      <c r="J20" s="82"/>
      <c r="K20" s="82"/>
      <c r="L20" s="82"/>
      <c r="M20" s="82">
        <f t="shared" si="1"/>
        <v>-48653</v>
      </c>
    </row>
    <row r="21" spans="1:16">
      <c r="A21" s="65">
        <v>46042</v>
      </c>
      <c r="B21" s="82">
        <f>+GETPIVOTDATA("GANANCIA",Ventas!$G$1,"FECHA",DATE(2025,1,20))</f>
        <v>9700</v>
      </c>
      <c r="C21" s="82"/>
      <c r="D21" s="82">
        <f t="shared" si="0"/>
        <v>9700</v>
      </c>
      <c r="F21" s="65">
        <v>45677</v>
      </c>
      <c r="G21" s="82"/>
      <c r="H21" s="82">
        <f>+D21+H20-4500</f>
        <v>53853</v>
      </c>
      <c r="I21" s="82"/>
      <c r="J21" s="82"/>
      <c r="K21" s="82"/>
      <c r="L21" s="82"/>
      <c r="M21" s="82">
        <f t="shared" si="1"/>
        <v>-53853</v>
      </c>
    </row>
    <row r="22" spans="1:16">
      <c r="A22" s="65">
        <v>46043</v>
      </c>
      <c r="B22" s="82">
        <f>+GETPIVOTDATA("GANANCIA",Ventas!$G$1,"FECHA",DATE(2026,1,21))</f>
        <v>29010</v>
      </c>
      <c r="C22" s="82"/>
      <c r="D22" s="82">
        <f t="shared" si="0"/>
        <v>29010</v>
      </c>
      <c r="F22" s="65">
        <v>45678</v>
      </c>
      <c r="G22" s="82"/>
      <c r="H22" s="82">
        <f t="shared" si="2"/>
        <v>82863</v>
      </c>
      <c r="I22" s="82"/>
      <c r="J22" s="82"/>
      <c r="K22" s="82"/>
      <c r="L22" s="82"/>
      <c r="M22" s="82">
        <f t="shared" si="1"/>
        <v>-82863</v>
      </c>
    </row>
    <row r="23" spans="1:16">
      <c r="A23" s="65">
        <v>46044</v>
      </c>
      <c r="B23" s="82"/>
      <c r="C23" s="82"/>
      <c r="D23" s="82">
        <f t="shared" si="0"/>
        <v>0</v>
      </c>
      <c r="F23" s="65">
        <v>45679</v>
      </c>
      <c r="G23" s="82"/>
      <c r="H23" s="82">
        <f>+D23+H22-11000</f>
        <v>71863</v>
      </c>
      <c r="I23" s="82"/>
      <c r="J23" s="82"/>
      <c r="K23" s="82"/>
      <c r="L23" s="82"/>
      <c r="M23" s="82">
        <f t="shared" si="1"/>
        <v>-71863</v>
      </c>
    </row>
    <row r="24" spans="1:16">
      <c r="A24" s="65">
        <v>46045</v>
      </c>
      <c r="B24" s="82">
        <f>+Ventas!H23</f>
        <v>9700</v>
      </c>
      <c r="C24" s="82"/>
      <c r="D24" s="82">
        <f t="shared" si="0"/>
        <v>9700</v>
      </c>
      <c r="F24" s="65">
        <v>45680</v>
      </c>
      <c r="G24" s="82"/>
      <c r="H24" s="82">
        <f t="shared" si="2"/>
        <v>81563</v>
      </c>
      <c r="I24" s="82"/>
      <c r="J24" s="82"/>
      <c r="K24" s="82"/>
      <c r="L24" s="82"/>
      <c r="M24" s="82">
        <f t="shared" si="1"/>
        <v>-81563</v>
      </c>
    </row>
    <row r="25" spans="1:16">
      <c r="A25" s="65">
        <v>46046</v>
      </c>
      <c r="B25" s="82">
        <f>+GETPIVOTDATA("GANANCIA",Ventas!$G$1,"FECHA",DATE(2026,1,24))</f>
        <v>12900</v>
      </c>
      <c r="C25" s="82"/>
      <c r="D25" s="82">
        <f t="shared" si="0"/>
        <v>12900</v>
      </c>
      <c r="F25" s="65">
        <v>45681</v>
      </c>
      <c r="G25" s="82"/>
      <c r="H25" s="82">
        <f t="shared" si="2"/>
        <v>94463</v>
      </c>
      <c r="I25" s="82"/>
      <c r="J25" s="82"/>
      <c r="K25" s="82"/>
      <c r="L25" s="82"/>
      <c r="M25" s="82">
        <f t="shared" si="1"/>
        <v>-94463</v>
      </c>
    </row>
    <row r="26" spans="1:16">
      <c r="A26" s="65">
        <v>46047</v>
      </c>
      <c r="B26" s="82">
        <f>+GETPIVOTDATA("GANANCIA",Ventas!$G$1,"FECHA",DATE(2026,1,25))</f>
        <v>16500</v>
      </c>
      <c r="C26" s="82"/>
      <c r="D26" s="82">
        <f t="shared" si="0"/>
        <v>16500</v>
      </c>
      <c r="F26" s="65">
        <v>45682</v>
      </c>
      <c r="G26" s="82"/>
      <c r="H26" s="82">
        <f t="shared" si="2"/>
        <v>110963</v>
      </c>
      <c r="I26" s="82"/>
      <c r="J26" s="82"/>
      <c r="K26" s="82"/>
      <c r="L26" s="82"/>
      <c r="M26" s="82">
        <f t="shared" si="1"/>
        <v>-110963</v>
      </c>
    </row>
    <row r="27" spans="1:16">
      <c r="A27" s="65">
        <v>46048</v>
      </c>
      <c r="B27" s="82">
        <f>+Ventas!H26</f>
        <v>16500</v>
      </c>
      <c r="C27" s="82"/>
      <c r="D27" s="82">
        <f t="shared" si="0"/>
        <v>16500</v>
      </c>
      <c r="F27" s="65">
        <v>45683</v>
      </c>
      <c r="G27" s="82"/>
      <c r="H27" s="82">
        <f t="shared" si="2"/>
        <v>127463</v>
      </c>
      <c r="I27" s="82"/>
      <c r="J27" s="82"/>
      <c r="K27" s="82"/>
      <c r="L27" s="82"/>
      <c r="M27" s="82">
        <f t="shared" si="1"/>
        <v>-127463</v>
      </c>
    </row>
    <row r="28" spans="1:16">
      <c r="A28" s="65">
        <v>46049</v>
      </c>
      <c r="B28" s="82"/>
      <c r="C28" s="82"/>
      <c r="D28" s="82">
        <f t="shared" si="0"/>
        <v>0</v>
      </c>
      <c r="F28" s="65">
        <v>45684</v>
      </c>
      <c r="G28" s="82"/>
      <c r="H28" s="82">
        <f>+D28+H27-18000</f>
        <v>109463</v>
      </c>
      <c r="I28" s="82"/>
      <c r="J28" s="82"/>
      <c r="K28" s="82"/>
      <c r="L28" s="82"/>
      <c r="M28" s="82">
        <f t="shared" si="1"/>
        <v>-109463</v>
      </c>
    </row>
    <row r="29" spans="1:16">
      <c r="A29" s="65">
        <v>46050</v>
      </c>
      <c r="B29" s="82">
        <f>+GETPIVOTDATA("GANANCIA",Ventas!$G$1,"FECHA",DATE(2026,1,28))</f>
        <v>15500</v>
      </c>
      <c r="C29" s="82"/>
      <c r="D29" s="82">
        <f t="shared" si="0"/>
        <v>15500</v>
      </c>
      <c r="F29" s="65">
        <v>45685</v>
      </c>
      <c r="G29" s="82"/>
      <c r="H29" s="82">
        <f>+D29+H28-5000</f>
        <v>119963</v>
      </c>
      <c r="I29" s="82"/>
      <c r="J29" s="82"/>
      <c r="K29" s="82"/>
      <c r="L29" s="82"/>
      <c r="M29" s="82">
        <f t="shared" si="1"/>
        <v>-119963</v>
      </c>
    </row>
    <row r="30" spans="1:16">
      <c r="A30" s="65">
        <v>46051</v>
      </c>
      <c r="B30" s="82">
        <f>+GETPIVOTDATA("GANANCIA",Ventas!$G$1,"FECHA",DATE(2026,1,29))</f>
        <v>52500</v>
      </c>
      <c r="C30" s="82"/>
      <c r="D30" s="82">
        <f t="shared" si="0"/>
        <v>52500</v>
      </c>
      <c r="F30" s="65">
        <v>45686</v>
      </c>
      <c r="G30" s="82"/>
      <c r="H30" s="82">
        <f>+D30+H29-19000</f>
        <v>153463</v>
      </c>
      <c r="I30" s="82"/>
      <c r="J30" s="82"/>
      <c r="K30" s="82"/>
      <c r="L30" s="82"/>
      <c r="M30" s="82">
        <f t="shared" si="1"/>
        <v>-153463</v>
      </c>
    </row>
    <row r="31" spans="1:16">
      <c r="A31" s="65">
        <v>46052</v>
      </c>
      <c r="B31" s="82">
        <f>+GETPIVOTDATA("GANANCIA",Ventas!$G$1,"FECHA",DATE(2026,1,30))</f>
        <v>9800</v>
      </c>
      <c r="C31" s="82"/>
      <c r="D31" s="82">
        <f t="shared" si="0"/>
        <v>9800</v>
      </c>
      <c r="F31" s="65">
        <v>45687</v>
      </c>
      <c r="G31" s="82">
        <v>678614</v>
      </c>
      <c r="H31" s="82">
        <f t="shared" si="2"/>
        <v>163263</v>
      </c>
      <c r="I31" s="82"/>
      <c r="J31" s="82"/>
      <c r="K31" s="82"/>
      <c r="L31" s="82"/>
      <c r="M31" s="82">
        <f t="shared" si="1"/>
        <v>515351</v>
      </c>
    </row>
    <row r="32" spans="1:16">
      <c r="A32" s="65">
        <v>46053</v>
      </c>
      <c r="B32" s="82">
        <f>+GETPIVOTDATA("GANANCIA",Ventas!$G$1,"FECHA",DATE(2026,1,31))</f>
        <v>3000</v>
      </c>
      <c r="C32" s="82"/>
      <c r="D32" s="82">
        <f t="shared" si="0"/>
        <v>3000</v>
      </c>
      <c r="F32" s="65">
        <v>45688</v>
      </c>
      <c r="G32" s="82"/>
      <c r="H32" s="82">
        <f t="shared" si="2"/>
        <v>166263</v>
      </c>
      <c r="I32" s="82"/>
      <c r="J32" s="82"/>
      <c r="K32" s="82"/>
      <c r="L32" s="82"/>
      <c r="M32" s="82">
        <f t="shared" si="1"/>
        <v>-166263</v>
      </c>
    </row>
    <row r="33" spans="2:4">
      <c r="B33" s="104"/>
      <c r="C33" s="104"/>
      <c r="D33" s="82">
        <f>+D2+D3+D4+D5+D6+D7+D8+D9+D10+D11+D12+D13+D14+D15+D16+D17+D18+D19+D20+D21+D22+D23+D24+D25+D26+D27+D28+D29+D30+D31+D32</f>
        <v>463918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2C1244-4B5F-48CD-97BE-AF9DE5E795E5}">
  <dimension ref="A1:S33"/>
  <sheetViews>
    <sheetView workbookViewId="0">
      <selection activeCell="B30" sqref="B30"/>
    </sheetView>
  </sheetViews>
  <sheetFormatPr defaultColWidth="10.7109375" defaultRowHeight="12.95"/>
  <cols>
    <col min="2" max="2" width="11.85546875" bestFit="1" customWidth="1"/>
    <col min="3" max="3" width="10.28515625" bestFit="1" customWidth="1"/>
    <col min="4" max="4" width="16.85546875" bestFit="1" customWidth="1"/>
    <col min="7" max="7" width="13" bestFit="1" customWidth="1"/>
    <col min="8" max="8" width="13.42578125" customWidth="1"/>
  </cols>
  <sheetData>
    <row r="1" spans="1:19" ht="27.95">
      <c r="A1" s="48" t="s">
        <v>1352</v>
      </c>
      <c r="B1" s="48" t="s">
        <v>1356</v>
      </c>
      <c r="C1" s="48" t="s">
        <v>1411</v>
      </c>
      <c r="D1" s="49" t="s">
        <v>1412</v>
      </c>
      <c r="E1" s="95"/>
      <c r="F1" s="48" t="s">
        <v>1352</v>
      </c>
      <c r="G1" s="48" t="s">
        <v>1413</v>
      </c>
      <c r="H1" s="150" t="s">
        <v>1414</v>
      </c>
      <c r="I1" s="96" t="s">
        <v>1415</v>
      </c>
      <c r="J1" s="85" t="s">
        <v>1520</v>
      </c>
      <c r="K1" s="85" t="s">
        <v>1379</v>
      </c>
      <c r="L1" s="85" t="s">
        <v>1417</v>
      </c>
      <c r="M1" s="48" t="s">
        <v>1418</v>
      </c>
    </row>
    <row r="2" spans="1:19">
      <c r="A2" s="65">
        <v>46054</v>
      </c>
      <c r="B2" s="82">
        <f>+GETPIVOTDATA("GANANCIA",Ventas!$G$1,"FECHA",DATE(2026,2,1))</f>
        <v>19600</v>
      </c>
      <c r="C2" s="82"/>
      <c r="D2" s="82">
        <f>+B2-C2</f>
        <v>19600</v>
      </c>
      <c r="F2" s="65">
        <v>45689</v>
      </c>
      <c r="G2" s="82"/>
      <c r="H2" s="151">
        <f>+'P&amp;G ENERO'!H32+'P&amp;G FEBRERO'!D2</f>
        <v>185863</v>
      </c>
      <c r="I2" s="82"/>
      <c r="J2" s="82"/>
      <c r="K2" s="82"/>
      <c r="L2" s="82"/>
      <c r="M2" s="82">
        <f>+G2-H2-I2-J2-K2-L2</f>
        <v>-185863</v>
      </c>
    </row>
    <row r="3" spans="1:19">
      <c r="A3" s="65">
        <v>46055</v>
      </c>
      <c r="B3" s="82">
        <f>+GETPIVOTDATA("GANANCIA",Ventas!$G$1,"FECHA",DATE(2026,2,2))</f>
        <v>71600</v>
      </c>
      <c r="C3" s="82"/>
      <c r="D3" s="82">
        <f t="shared" ref="D3:D29" si="0">+B3-C3</f>
        <v>71600</v>
      </c>
      <c r="F3" s="65">
        <v>45690</v>
      </c>
      <c r="G3" s="82"/>
      <c r="H3" s="82">
        <f>+H2+D3</f>
        <v>257463</v>
      </c>
      <c r="I3" s="82"/>
      <c r="J3" s="82"/>
      <c r="K3" s="82"/>
      <c r="L3" s="82"/>
      <c r="M3" s="82">
        <f t="shared" ref="M3:M29" si="1">+G3-H3-I3-J3-K3-L3</f>
        <v>-257463</v>
      </c>
    </row>
    <row r="4" spans="1:19">
      <c r="A4" s="65">
        <v>46056</v>
      </c>
      <c r="B4" s="82">
        <f>+GETPIVOTDATA("GANANCIA",Ventas!$G$1,"FECHA",DATE(2026,2,3))</f>
        <v>11700</v>
      </c>
      <c r="C4" s="82"/>
      <c r="D4" s="82">
        <f t="shared" si="0"/>
        <v>11700</v>
      </c>
      <c r="F4" s="65">
        <v>45691</v>
      </c>
      <c r="G4" s="82"/>
      <c r="H4" s="82">
        <f>+H3+D4-8000</f>
        <v>261163</v>
      </c>
      <c r="I4" s="82"/>
      <c r="J4" s="82"/>
      <c r="K4" s="82"/>
      <c r="L4" s="82"/>
      <c r="M4" s="82">
        <f t="shared" si="1"/>
        <v>-261163</v>
      </c>
    </row>
    <row r="5" spans="1:19">
      <c r="A5" s="65">
        <v>46057</v>
      </c>
      <c r="B5" s="82"/>
      <c r="C5" s="82"/>
      <c r="D5" s="82">
        <f t="shared" si="0"/>
        <v>0</v>
      </c>
      <c r="F5" s="65">
        <v>45692</v>
      </c>
      <c r="G5" s="82"/>
      <c r="H5" s="82">
        <f>+H4+D5-6000-3450-44000-20000</f>
        <v>187713</v>
      </c>
      <c r="I5" s="82"/>
      <c r="J5" s="82"/>
      <c r="K5" s="82"/>
      <c r="L5" s="82"/>
      <c r="M5" s="82">
        <f t="shared" si="1"/>
        <v>-187713</v>
      </c>
    </row>
    <row r="6" spans="1:19">
      <c r="A6" s="65">
        <v>46058</v>
      </c>
      <c r="B6" s="82">
        <f>+GETPIVOTDATA("GANANCIA",Ventas!$G$1,"FECHA",DATE(2026,2,5))</f>
        <v>27210</v>
      </c>
      <c r="C6" s="82"/>
      <c r="D6" s="82">
        <f t="shared" si="0"/>
        <v>27210</v>
      </c>
      <c r="F6" s="65">
        <v>45693</v>
      </c>
      <c r="G6" s="82"/>
      <c r="H6" s="82">
        <f>+H5+D6-23000</f>
        <v>191923</v>
      </c>
      <c r="I6" s="82"/>
      <c r="J6" s="82"/>
      <c r="K6" s="82"/>
      <c r="L6" s="82"/>
      <c r="M6" s="82">
        <f t="shared" si="1"/>
        <v>-191923</v>
      </c>
    </row>
    <row r="7" spans="1:19">
      <c r="A7" s="65">
        <v>46059</v>
      </c>
      <c r="B7" s="82">
        <f>+GETPIVOTDATA("GANANCIA",Ventas!$G$1,"FECHA",DATE(2026,2,6))</f>
        <v>6600</v>
      </c>
      <c r="C7" s="82"/>
      <c r="D7" s="82">
        <f t="shared" si="0"/>
        <v>6600</v>
      </c>
      <c r="F7" s="65">
        <v>45694</v>
      </c>
      <c r="G7" s="82"/>
      <c r="H7" s="82">
        <f t="shared" ref="H7:H29" si="2">+H6+D7</f>
        <v>198523</v>
      </c>
      <c r="I7" s="82"/>
      <c r="J7" s="82"/>
      <c r="K7" s="82"/>
      <c r="L7" s="82"/>
      <c r="M7" s="82">
        <f t="shared" si="1"/>
        <v>-198523</v>
      </c>
    </row>
    <row r="8" spans="1:19">
      <c r="A8" s="65">
        <v>46060</v>
      </c>
      <c r="B8" s="82">
        <f>+GETPIVOTDATA("GANANCIA",Ventas!$G$1,"FECHA",DATE(2026,2,7))</f>
        <v>14000</v>
      </c>
      <c r="C8" s="82"/>
      <c r="D8" s="82">
        <f t="shared" si="0"/>
        <v>14000</v>
      </c>
      <c r="F8" s="65">
        <v>45695</v>
      </c>
      <c r="G8" s="82"/>
      <c r="H8" s="82">
        <f>+H7+D8-19900-16800</f>
        <v>175823</v>
      </c>
      <c r="I8" s="82"/>
      <c r="J8" s="82"/>
      <c r="K8" s="82"/>
      <c r="L8" s="82"/>
      <c r="M8" s="82">
        <f t="shared" si="1"/>
        <v>-175823</v>
      </c>
      <c r="O8" s="104"/>
    </row>
    <row r="9" spans="1:19">
      <c r="A9" s="65">
        <v>46061</v>
      </c>
      <c r="B9" s="82">
        <f>+GETPIVOTDATA("GANANCIA",Ventas!$G$1,"FECHA",DATE(2026,2,8))</f>
        <v>3000</v>
      </c>
      <c r="C9" s="82"/>
      <c r="D9" s="82">
        <f t="shared" si="0"/>
        <v>3000</v>
      </c>
      <c r="F9" s="65">
        <v>45696</v>
      </c>
      <c r="G9" s="82"/>
      <c r="H9" s="82">
        <f t="shared" si="2"/>
        <v>178823</v>
      </c>
      <c r="I9" s="82"/>
      <c r="J9" s="82"/>
      <c r="K9" s="82"/>
      <c r="L9" s="82"/>
      <c r="M9" s="82">
        <f t="shared" si="1"/>
        <v>-178823</v>
      </c>
    </row>
    <row r="10" spans="1:19">
      <c r="A10" s="65">
        <v>46062</v>
      </c>
      <c r="B10" s="82">
        <f>+GETPIVOTDATA("GANANCIA",Ventas!$G$1,"FECHA",DATE(2026,2,9))</f>
        <v>25600</v>
      </c>
      <c r="C10" s="82"/>
      <c r="D10" s="82">
        <f t="shared" si="0"/>
        <v>25600</v>
      </c>
      <c r="F10" s="65">
        <v>45697</v>
      </c>
      <c r="G10" s="82"/>
      <c r="H10" s="82">
        <f>+H9+D10-8000+40000-28900</f>
        <v>207523</v>
      </c>
      <c r="I10" s="82"/>
      <c r="J10" s="82"/>
      <c r="K10" s="82"/>
      <c r="L10" s="82"/>
      <c r="M10" s="82">
        <f t="shared" si="1"/>
        <v>-207523</v>
      </c>
    </row>
    <row r="11" spans="1:19">
      <c r="A11" s="65">
        <v>46063</v>
      </c>
      <c r="B11" s="82">
        <f>+GETPIVOTDATA("GANANCIA",Ventas!$G$1,"FECHA",DATE(2026,2,10))</f>
        <v>23200</v>
      </c>
      <c r="C11" s="82"/>
      <c r="D11" s="82">
        <f t="shared" si="0"/>
        <v>23200</v>
      </c>
      <c r="F11" s="65">
        <v>45698</v>
      </c>
      <c r="G11" s="82"/>
      <c r="H11" s="82">
        <f>+H10+D11-3500-7000-7500</f>
        <v>212723</v>
      </c>
      <c r="I11" s="82"/>
      <c r="J11" s="82"/>
      <c r="K11" s="82"/>
      <c r="L11" s="82"/>
      <c r="M11" s="82">
        <f t="shared" si="1"/>
        <v>-212723</v>
      </c>
    </row>
    <row r="12" spans="1:19">
      <c r="A12" s="65">
        <v>46064</v>
      </c>
      <c r="B12" s="82">
        <f>+GETPIVOTDATA("GANANCIA",Ventas!$G$1,"FECHA",DATE(2026,2,11))</f>
        <v>21900</v>
      </c>
      <c r="C12" s="82"/>
      <c r="D12" s="82">
        <f t="shared" si="0"/>
        <v>21900</v>
      </c>
      <c r="F12" s="65">
        <v>45699</v>
      </c>
      <c r="G12" s="82"/>
      <c r="H12" s="82">
        <f>+H11+D12-3500</f>
        <v>231123</v>
      </c>
      <c r="I12" s="82"/>
      <c r="J12" s="82"/>
      <c r="K12" s="82"/>
      <c r="L12" s="82"/>
      <c r="M12" s="82">
        <f t="shared" si="1"/>
        <v>-231123</v>
      </c>
    </row>
    <row r="13" spans="1:19">
      <c r="A13" s="65">
        <v>46065</v>
      </c>
      <c r="B13" s="82">
        <f>+GETPIVOTDATA("GANANCIA",Ventas!$G$1,"FECHA",DATE(2026,2,12))</f>
        <v>8610</v>
      </c>
      <c r="C13" s="82"/>
      <c r="D13" s="82">
        <f t="shared" si="0"/>
        <v>8610</v>
      </c>
      <c r="F13" s="65">
        <v>45700</v>
      </c>
      <c r="G13" s="82"/>
      <c r="H13" s="82">
        <f>+H12+D13-5700-3500-8000</f>
        <v>222533</v>
      </c>
      <c r="I13" s="82"/>
      <c r="J13" s="82"/>
      <c r="K13" s="82"/>
      <c r="L13" s="82"/>
      <c r="M13" s="82">
        <f t="shared" si="1"/>
        <v>-222533</v>
      </c>
    </row>
    <row r="14" spans="1:19">
      <c r="A14" s="65">
        <v>46066</v>
      </c>
      <c r="B14" s="82">
        <f>+GETPIVOTDATA("GANANCIA",Ventas!$G$1,"FECHA",DATE(2026,2,13))</f>
        <v>35500</v>
      </c>
      <c r="C14" s="82"/>
      <c r="D14" s="82">
        <f t="shared" si="0"/>
        <v>35500</v>
      </c>
      <c r="F14" s="65">
        <v>45701</v>
      </c>
      <c r="G14" s="82">
        <v>1082716</v>
      </c>
      <c r="H14" s="82">
        <f>+H13+D14+55000-3700-3500</f>
        <v>305833</v>
      </c>
      <c r="I14" s="82"/>
      <c r="J14" s="82"/>
      <c r="K14" s="82"/>
      <c r="L14" s="82"/>
      <c r="M14" s="82">
        <f t="shared" si="1"/>
        <v>776883</v>
      </c>
      <c r="O14" s="104"/>
    </row>
    <row r="15" spans="1:19">
      <c r="A15" s="65">
        <v>46067</v>
      </c>
      <c r="B15" s="82">
        <f>+GETPIVOTDATA("GANANCIA",Ventas!$G$1,"FECHA",DATE(2026,2,14))</f>
        <v>27100</v>
      </c>
      <c r="C15" s="82"/>
      <c r="D15" s="82">
        <f t="shared" si="0"/>
        <v>27100</v>
      </c>
      <c r="F15" s="65">
        <v>45702</v>
      </c>
      <c r="G15" s="82">
        <v>1132716</v>
      </c>
      <c r="H15" s="82">
        <f>+H14+D15</f>
        <v>332933</v>
      </c>
      <c r="I15" s="82"/>
      <c r="J15" s="82"/>
      <c r="K15" s="82"/>
      <c r="L15" s="82"/>
      <c r="M15" s="82">
        <f t="shared" si="1"/>
        <v>799783</v>
      </c>
      <c r="O15" s="104"/>
    </row>
    <row r="16" spans="1:19">
      <c r="A16" s="65">
        <v>46068</v>
      </c>
      <c r="B16" s="82"/>
      <c r="C16" s="82"/>
      <c r="D16" s="82">
        <f t="shared" si="0"/>
        <v>0</v>
      </c>
      <c r="F16" s="65">
        <v>45703</v>
      </c>
      <c r="G16" s="82"/>
      <c r="H16" s="82">
        <f>+H15+D16-25800-147500</f>
        <v>159633</v>
      </c>
      <c r="I16" s="82"/>
      <c r="J16" s="82"/>
      <c r="K16" s="82"/>
      <c r="L16" s="82"/>
      <c r="M16" s="82">
        <f t="shared" si="1"/>
        <v>-159633</v>
      </c>
      <c r="S16" s="104"/>
    </row>
    <row r="17" spans="1:16">
      <c r="A17" s="65">
        <v>46069</v>
      </c>
      <c r="B17" s="82">
        <f>+GETPIVOTDATA("GANANCIA",Ventas!$G$1,"FECHA",DATE(2026,2,16))</f>
        <v>12700</v>
      </c>
      <c r="C17" s="82"/>
      <c r="D17" s="82">
        <f t="shared" si="0"/>
        <v>12700</v>
      </c>
      <c r="F17" s="65">
        <v>45704</v>
      </c>
      <c r="G17" s="82">
        <v>1083336</v>
      </c>
      <c r="H17" s="82">
        <f>+H16+D17-9706+96000</f>
        <v>258627</v>
      </c>
      <c r="I17" s="82"/>
      <c r="J17" s="82"/>
      <c r="K17" s="82"/>
      <c r="L17" s="82"/>
      <c r="M17" s="82">
        <f>+G17-H17-I17-J17-K17-L17</f>
        <v>824709</v>
      </c>
      <c r="O17" s="104"/>
      <c r="P17" s="104"/>
    </row>
    <row r="18" spans="1:16">
      <c r="A18" s="65">
        <v>46070</v>
      </c>
      <c r="B18" s="82">
        <f>+Ventas!H45</f>
        <v>12700</v>
      </c>
      <c r="C18" s="82"/>
      <c r="D18" s="82">
        <f t="shared" si="0"/>
        <v>12700</v>
      </c>
      <c r="F18" s="65">
        <v>45705</v>
      </c>
      <c r="G18" s="82"/>
      <c r="H18" s="82">
        <f>+H17+D18-5500-3500-57500</f>
        <v>204827</v>
      </c>
      <c r="I18" s="82"/>
      <c r="J18" s="82"/>
      <c r="K18" s="82"/>
      <c r="L18" s="82"/>
      <c r="M18" s="82">
        <f t="shared" si="1"/>
        <v>-204827</v>
      </c>
      <c r="O18" s="104"/>
      <c r="P18" s="104"/>
    </row>
    <row r="19" spans="1:16">
      <c r="A19" s="65">
        <v>46071</v>
      </c>
      <c r="B19" s="82">
        <f>+GETPIVOTDATA("GANANCIA",Ventas!$G$1,"FECHA",DATE(2026,2,18))</f>
        <v>12000</v>
      </c>
      <c r="C19" s="82"/>
      <c r="D19" s="82">
        <f t="shared" si="0"/>
        <v>12000</v>
      </c>
      <c r="F19" s="65">
        <v>45706</v>
      </c>
      <c r="G19" s="82"/>
      <c r="H19" s="82">
        <f>+H18+D19-3500-3200-5000-6000</f>
        <v>199127</v>
      </c>
      <c r="I19" s="82">
        <v>0</v>
      </c>
      <c r="J19" s="82">
        <v>0</v>
      </c>
      <c r="K19" s="82">
        <v>0</v>
      </c>
      <c r="L19" s="82">
        <v>0</v>
      </c>
      <c r="M19" s="82">
        <f>+G19-H19-I19-J19-K19-L19</f>
        <v>-199127</v>
      </c>
      <c r="O19" s="104"/>
      <c r="P19" s="104"/>
    </row>
    <row r="20" spans="1:16">
      <c r="A20" s="65">
        <v>46072</v>
      </c>
      <c r="B20" s="82"/>
      <c r="C20" s="82"/>
      <c r="D20" s="82">
        <f t="shared" si="0"/>
        <v>0</v>
      </c>
      <c r="F20" s="65">
        <v>45707</v>
      </c>
      <c r="G20" s="82"/>
      <c r="H20" s="82">
        <f>+H19+D20-8870-6900</f>
        <v>183357</v>
      </c>
      <c r="I20" s="82"/>
      <c r="J20" s="82"/>
      <c r="K20" s="82"/>
      <c r="L20" s="82"/>
      <c r="M20" s="82">
        <f t="shared" si="1"/>
        <v>-183357</v>
      </c>
    </row>
    <row r="21" spans="1:16">
      <c r="A21" s="65">
        <v>46073</v>
      </c>
      <c r="B21" s="82">
        <f>+GETPIVOTDATA("GANANCIA",Ventas!$G$1,"FECHA",DATE(2026,2,20))</f>
        <v>8600</v>
      </c>
      <c r="C21" s="82"/>
      <c r="D21" s="82">
        <f t="shared" si="0"/>
        <v>8600</v>
      </c>
      <c r="F21" s="65">
        <v>45708</v>
      </c>
      <c r="G21" s="82"/>
      <c r="H21" s="82">
        <f>+H20+D21-12000-20000</f>
        <v>159957</v>
      </c>
      <c r="I21" s="82"/>
      <c r="J21" s="82"/>
      <c r="K21" s="82"/>
      <c r="L21" s="82"/>
      <c r="M21" s="82">
        <f t="shared" si="1"/>
        <v>-159957</v>
      </c>
    </row>
    <row r="22" spans="1:16">
      <c r="A22" s="65">
        <v>46074</v>
      </c>
      <c r="B22" s="82">
        <f>+GETPIVOTDATA("GANANCIA",Ventas!$G$1,"FECHA",DATE(2026,2,21))</f>
        <v>43300</v>
      </c>
      <c r="C22" s="82"/>
      <c r="D22" s="82">
        <f t="shared" si="0"/>
        <v>43300</v>
      </c>
      <c r="F22" s="65">
        <v>45709</v>
      </c>
      <c r="G22" s="82"/>
      <c r="H22" s="82">
        <f>+H21+D22</f>
        <v>203257</v>
      </c>
      <c r="I22" s="82"/>
      <c r="J22" s="82"/>
      <c r="K22" s="82"/>
      <c r="L22" s="82"/>
      <c r="M22" s="82">
        <f t="shared" si="1"/>
        <v>-203257</v>
      </c>
    </row>
    <row r="23" spans="1:16">
      <c r="A23" s="65">
        <v>46075</v>
      </c>
      <c r="B23" s="82">
        <f>+GETPIVOTDATA("GANANCIA",Ventas!$G$1,"FECHA",DATE(2026,2,22))</f>
        <v>15900</v>
      </c>
      <c r="C23" s="82"/>
      <c r="D23" s="82">
        <f t="shared" si="0"/>
        <v>15900</v>
      </c>
      <c r="F23" s="65">
        <v>45710</v>
      </c>
      <c r="G23" s="82"/>
      <c r="H23" s="82">
        <f t="shared" si="2"/>
        <v>219157</v>
      </c>
      <c r="I23" s="82"/>
      <c r="J23" s="82"/>
      <c r="K23" s="82"/>
      <c r="L23" s="82"/>
      <c r="M23" s="82">
        <f t="shared" si="1"/>
        <v>-219157</v>
      </c>
    </row>
    <row r="24" spans="1:16">
      <c r="A24" s="65">
        <v>46076</v>
      </c>
      <c r="B24" s="82"/>
      <c r="C24" s="82"/>
      <c r="D24" s="82">
        <f t="shared" si="0"/>
        <v>0</v>
      </c>
      <c r="F24" s="65">
        <v>45711</v>
      </c>
      <c r="G24" s="82"/>
      <c r="H24" s="82">
        <f>+H23+D24+64000-3500-3500</f>
        <v>276157</v>
      </c>
      <c r="I24" s="82"/>
      <c r="J24" s="82"/>
      <c r="K24" s="82"/>
      <c r="L24" s="82"/>
      <c r="M24" s="82">
        <f t="shared" si="1"/>
        <v>-276157</v>
      </c>
    </row>
    <row r="25" spans="1:16">
      <c r="A25" s="65">
        <v>46077</v>
      </c>
      <c r="B25" s="82">
        <f>+GETPIVOTDATA("GANANCIA",Ventas!$G$1,"FECHA",DATE(2026,2,24))</f>
        <v>2900</v>
      </c>
      <c r="C25" s="82"/>
      <c r="D25" s="82">
        <f t="shared" si="0"/>
        <v>2900</v>
      </c>
      <c r="F25" s="65">
        <v>45712</v>
      </c>
      <c r="G25" s="82"/>
      <c r="H25" s="82">
        <f>+H24+D25-5000</f>
        <v>274057</v>
      </c>
      <c r="I25" s="82"/>
      <c r="J25" s="82"/>
      <c r="K25" s="82"/>
      <c r="L25" s="82"/>
      <c r="M25" s="82">
        <f t="shared" si="1"/>
        <v>-274057</v>
      </c>
    </row>
    <row r="26" spans="1:16">
      <c r="A26" s="65">
        <v>46078</v>
      </c>
      <c r="B26" s="82"/>
      <c r="C26" s="82"/>
      <c r="D26" s="82">
        <f t="shared" si="0"/>
        <v>0</v>
      </c>
      <c r="F26" s="65">
        <v>45713</v>
      </c>
      <c r="G26" s="82"/>
      <c r="H26" s="82">
        <f>+H25+D26-3500-3500-10000-3500-8000</f>
        <v>245557</v>
      </c>
      <c r="I26" s="82"/>
      <c r="J26" s="82"/>
      <c r="K26" s="82"/>
      <c r="L26" s="82"/>
      <c r="M26" s="82">
        <f t="shared" si="1"/>
        <v>-245557</v>
      </c>
    </row>
    <row r="27" spans="1:16">
      <c r="A27" s="65">
        <v>46079</v>
      </c>
      <c r="B27" s="82">
        <f>+GETPIVOTDATA("GANANCIA",Ventas!$G$1,"FECHA",DATE(2026,2,26))</f>
        <v>3000</v>
      </c>
      <c r="C27" s="82"/>
      <c r="D27" s="82">
        <f t="shared" si="0"/>
        <v>3000</v>
      </c>
      <c r="F27" s="65">
        <v>45714</v>
      </c>
      <c r="G27" s="82"/>
      <c r="H27" s="82">
        <f>+H26+D27-23000-4000-8647-20000</f>
        <v>192910</v>
      </c>
      <c r="I27" s="82"/>
      <c r="J27" s="82"/>
      <c r="K27" s="82"/>
      <c r="L27" s="82"/>
      <c r="M27" s="82">
        <f t="shared" si="1"/>
        <v>-192910</v>
      </c>
    </row>
    <row r="28" spans="1:16">
      <c r="A28" s="65">
        <v>46080</v>
      </c>
      <c r="B28" s="82">
        <f>+GETPIVOTDATA("GANANCIA",Ventas!$G$1,"FECHA",DATE(2026,2,27))</f>
        <v>3000</v>
      </c>
      <c r="C28" s="82"/>
      <c r="D28" s="82">
        <f t="shared" si="0"/>
        <v>3000</v>
      </c>
      <c r="F28" s="65">
        <v>45715</v>
      </c>
      <c r="G28" s="82"/>
      <c r="H28" s="82">
        <f>+H27+D28-3500-4476-12386</f>
        <v>175548</v>
      </c>
      <c r="I28" s="82"/>
      <c r="J28" s="82"/>
      <c r="K28" s="82"/>
      <c r="L28" s="82"/>
      <c r="M28" s="82">
        <f t="shared" si="1"/>
        <v>-175548</v>
      </c>
    </row>
    <row r="29" spans="1:16">
      <c r="A29" s="65">
        <v>46081</v>
      </c>
      <c r="B29" s="82">
        <f>+GETPIVOTDATA("GANANCIA",Ventas!$G$1,"FECHA",DATE(2026,2,28))</f>
        <v>45200</v>
      </c>
      <c r="C29" s="82"/>
      <c r="D29" s="82">
        <f t="shared" si="0"/>
        <v>45200</v>
      </c>
      <c r="F29" s="65">
        <v>45716</v>
      </c>
      <c r="G29" s="82"/>
      <c r="H29" s="82">
        <f t="shared" si="2"/>
        <v>220748</v>
      </c>
      <c r="I29" s="82"/>
      <c r="J29" s="82"/>
      <c r="K29" s="82"/>
      <c r="L29" s="82"/>
      <c r="M29" s="82">
        <f t="shared" si="1"/>
        <v>-220748</v>
      </c>
    </row>
    <row r="30" spans="1:16">
      <c r="A30" s="65"/>
      <c r="B30" s="82"/>
      <c r="C30" s="82"/>
      <c r="D30" s="82" cm="1">
        <f t="array" ref="D30:D31">+D2+D3+D4+D5+D6+D7+D8+D9+D10+D11+D12+D13+D14+D15+D16+D17:D18+D19+D20+D21+D22+D23+D24+D25+D26+D27+D28+D29</f>
        <v>442220</v>
      </c>
      <c r="F30" s="65"/>
      <c r="G30" s="82"/>
      <c r="H30" s="82"/>
      <c r="I30" s="82"/>
      <c r="J30" s="82"/>
      <c r="K30" s="82"/>
      <c r="L30" s="82"/>
      <c r="M30" s="82"/>
    </row>
    <row r="31" spans="1:16">
      <c r="A31" s="65"/>
      <c r="B31" s="82"/>
      <c r="C31" s="82"/>
      <c r="D31" s="82">
        <v>442220</v>
      </c>
      <c r="F31" s="65"/>
      <c r="G31" s="82"/>
      <c r="H31" s="82"/>
      <c r="I31" s="82"/>
      <c r="J31" s="82"/>
      <c r="K31" s="82"/>
      <c r="L31" s="82"/>
      <c r="M31" s="82"/>
    </row>
    <row r="32" spans="1:16">
      <c r="A32" s="65"/>
      <c r="B32" s="82"/>
      <c r="C32" s="82"/>
      <c r="D32" s="82"/>
      <c r="F32" s="65"/>
      <c r="G32" s="82"/>
      <c r="H32" s="82"/>
      <c r="I32" s="82"/>
      <c r="J32" s="82"/>
      <c r="K32" s="82"/>
      <c r="L32" s="82"/>
      <c r="M32" s="82"/>
    </row>
    <row r="33" spans="2:4">
      <c r="B33" s="104"/>
      <c r="C33" s="104"/>
      <c r="D33" s="104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ED92B8-6081-4389-861D-85F08BF907E2}">
  <dimension ref="A1:S33"/>
  <sheetViews>
    <sheetView workbookViewId="0">
      <selection activeCell="N19" sqref="N19:Q27"/>
    </sheetView>
  </sheetViews>
  <sheetFormatPr defaultColWidth="10.7109375" defaultRowHeight="12.95"/>
  <cols>
    <col min="2" max="2" width="11.85546875" bestFit="1" customWidth="1"/>
    <col min="3" max="3" width="10.28515625" bestFit="1" customWidth="1"/>
    <col min="4" max="4" width="16.85546875" bestFit="1" customWidth="1"/>
    <col min="8" max="8" width="13.42578125" customWidth="1"/>
  </cols>
  <sheetData>
    <row r="1" spans="1:19" ht="27.95">
      <c r="A1" s="48" t="s">
        <v>1352</v>
      </c>
      <c r="B1" s="48" t="s">
        <v>1356</v>
      </c>
      <c r="C1" s="48" t="s">
        <v>1411</v>
      </c>
      <c r="D1" s="49" t="s">
        <v>1412</v>
      </c>
      <c r="E1" s="95"/>
      <c r="F1" s="48" t="s">
        <v>1352</v>
      </c>
      <c r="G1" s="48" t="s">
        <v>1413</v>
      </c>
      <c r="H1" s="150" t="s">
        <v>1414</v>
      </c>
      <c r="I1" s="96" t="s">
        <v>1415</v>
      </c>
      <c r="J1" s="85" t="s">
        <v>1520</v>
      </c>
      <c r="K1" s="85" t="s">
        <v>1379</v>
      </c>
      <c r="L1" s="85" t="s">
        <v>1417</v>
      </c>
      <c r="M1" s="48" t="s">
        <v>1418</v>
      </c>
    </row>
    <row r="2" spans="1:19">
      <c r="A2" s="65">
        <v>45717</v>
      </c>
      <c r="B2" s="82">
        <f>+GETPIVOTDATA("GANANCIA",Ventas!$G$1,"FECHA",DATE(2026,3,1))</f>
        <v>9400</v>
      </c>
      <c r="C2" s="82"/>
      <c r="D2" s="82">
        <f>+B2-C2</f>
        <v>9400</v>
      </c>
      <c r="F2" s="65">
        <v>45717</v>
      </c>
      <c r="G2" s="82"/>
      <c r="H2" s="151">
        <f>+'P&amp;G FEBRERO'!H29+'P&amp;G MARZO'!D2-35900-71800</f>
        <v>122448</v>
      </c>
      <c r="I2" s="82"/>
      <c r="J2" s="82"/>
      <c r="K2" s="82"/>
      <c r="L2" s="82"/>
      <c r="M2" s="82">
        <f>+G2-H2-I2-J2-K2-L2</f>
        <v>-122448</v>
      </c>
    </row>
    <row r="3" spans="1:19">
      <c r="A3" s="65">
        <v>45718</v>
      </c>
      <c r="B3" s="82"/>
      <c r="C3" s="82"/>
      <c r="D3" s="82">
        <f t="shared" ref="D3:D32" si="0">+B3-C3</f>
        <v>0</v>
      </c>
      <c r="F3" s="65">
        <v>45718</v>
      </c>
      <c r="G3" s="82"/>
      <c r="H3" s="151">
        <f>+H2+D3-3500-3500-3500</f>
        <v>111948</v>
      </c>
      <c r="I3" s="82"/>
      <c r="J3" s="82"/>
      <c r="K3" s="82"/>
      <c r="L3" s="82"/>
      <c r="M3" s="82">
        <f t="shared" ref="M3:M32" si="1">+G3-H3-I3-J3-K3-L3</f>
        <v>-111948</v>
      </c>
    </row>
    <row r="4" spans="1:19">
      <c r="A4" s="65">
        <v>45719</v>
      </c>
      <c r="B4" s="82">
        <f>+GETPIVOTDATA("GANANCIA",Ventas!$G$1,"FECHA",DATE(2026,3,3))</f>
        <v>28600</v>
      </c>
      <c r="C4" s="82"/>
      <c r="D4" s="82">
        <f t="shared" si="0"/>
        <v>28600</v>
      </c>
      <c r="F4" s="65">
        <v>45719</v>
      </c>
      <c r="G4" s="82"/>
      <c r="H4" s="151">
        <f>+H3+D4-27000-3500-3500+64000</f>
        <v>170548</v>
      </c>
      <c r="I4" s="82"/>
      <c r="J4" s="82"/>
      <c r="K4" s="82"/>
      <c r="L4" s="82"/>
      <c r="M4" s="82">
        <f t="shared" si="1"/>
        <v>-170548</v>
      </c>
    </row>
    <row r="5" spans="1:19">
      <c r="A5" s="65">
        <v>45720</v>
      </c>
      <c r="B5" s="82">
        <f>+GETPIVOTDATA("GANANCIA",Ventas!$G$1,"FECHA",DATE(2026,3,4))</f>
        <v>9300</v>
      </c>
      <c r="C5" s="82"/>
      <c r="D5" s="82">
        <f t="shared" si="0"/>
        <v>9300</v>
      </c>
      <c r="F5" s="65">
        <v>45720</v>
      </c>
      <c r="G5" s="82"/>
      <c r="H5" s="151">
        <f>+H4+D5-3500-12000</f>
        <v>164348</v>
      </c>
      <c r="I5" s="82"/>
      <c r="J5" s="82"/>
      <c r="K5" s="82"/>
      <c r="L5" s="82"/>
      <c r="M5" s="82">
        <f t="shared" si="1"/>
        <v>-164348</v>
      </c>
      <c r="O5" s="104"/>
    </row>
    <row r="6" spans="1:19">
      <c r="A6" s="65">
        <v>45721</v>
      </c>
      <c r="B6" s="82"/>
      <c r="C6" s="82"/>
      <c r="D6" s="82">
        <f t="shared" si="0"/>
        <v>0</v>
      </c>
      <c r="F6" s="65">
        <v>45721</v>
      </c>
      <c r="G6" s="82"/>
      <c r="H6" s="151">
        <f t="shared" ref="H6:H25" si="2">+H5+D6</f>
        <v>164348</v>
      </c>
      <c r="I6" s="82"/>
      <c r="J6" s="82"/>
      <c r="K6" s="82"/>
      <c r="L6" s="82"/>
      <c r="M6" s="82">
        <f t="shared" si="1"/>
        <v>-164348</v>
      </c>
      <c r="O6" s="104"/>
    </row>
    <row r="7" spans="1:19">
      <c r="A7" s="65">
        <v>45722</v>
      </c>
      <c r="B7" s="82"/>
      <c r="C7" s="82"/>
      <c r="D7" s="82">
        <f t="shared" si="0"/>
        <v>0</v>
      </c>
      <c r="F7" s="65">
        <v>45722</v>
      </c>
      <c r="G7" s="82"/>
      <c r="H7" s="151">
        <f t="shared" si="2"/>
        <v>164348</v>
      </c>
      <c r="I7" s="82"/>
      <c r="J7" s="82"/>
      <c r="K7" s="82"/>
      <c r="L7" s="82"/>
      <c r="M7" s="82">
        <f t="shared" si="1"/>
        <v>-164348</v>
      </c>
    </row>
    <row r="8" spans="1:19">
      <c r="A8" s="65">
        <v>45723</v>
      </c>
      <c r="B8" s="82">
        <f>+GETPIVOTDATA("GANANCIA",Ventas!$G$1,"FECHA",DATE(2026,3,7))</f>
        <v>7000</v>
      </c>
      <c r="C8" s="82"/>
      <c r="D8" s="82">
        <f t="shared" si="0"/>
        <v>7000</v>
      </c>
      <c r="F8" s="65">
        <v>45723</v>
      </c>
      <c r="G8" s="82"/>
      <c r="H8" s="151">
        <f>+H7+D8-56000</f>
        <v>115348</v>
      </c>
      <c r="I8" s="82"/>
      <c r="J8" s="82"/>
      <c r="K8" s="82"/>
      <c r="L8" s="82"/>
      <c r="M8" s="82">
        <f t="shared" si="1"/>
        <v>-115348</v>
      </c>
      <c r="O8" s="104"/>
    </row>
    <row r="9" spans="1:19">
      <c r="A9" s="65">
        <v>45724</v>
      </c>
      <c r="B9" s="82">
        <f>+GETPIVOTDATA("GANANCIA",Ventas!$G$1,"FECHA",DATE(2026,3,8))</f>
        <v>26900</v>
      </c>
      <c r="C9" s="82"/>
      <c r="D9" s="82">
        <f t="shared" si="0"/>
        <v>26900</v>
      </c>
      <c r="F9" s="65">
        <v>45724</v>
      </c>
      <c r="G9" s="82"/>
      <c r="H9" s="151">
        <f t="shared" si="2"/>
        <v>142248</v>
      </c>
      <c r="I9" s="82"/>
      <c r="J9" s="82"/>
      <c r="K9" s="82"/>
      <c r="L9" s="82"/>
      <c r="M9" s="82">
        <f t="shared" si="1"/>
        <v>-142248</v>
      </c>
      <c r="O9" s="104"/>
    </row>
    <row r="10" spans="1:19">
      <c r="A10" s="65">
        <v>45725</v>
      </c>
      <c r="B10" s="82">
        <f>+GETPIVOTDATA("GANANCIA",Ventas!$G$1,"FECHA",DATE(2026,3,9))</f>
        <v>18600</v>
      </c>
      <c r="C10" s="82"/>
      <c r="D10" s="82">
        <f t="shared" si="0"/>
        <v>18600</v>
      </c>
      <c r="F10" s="65">
        <v>45725</v>
      </c>
      <c r="G10" s="82"/>
      <c r="H10" s="151">
        <f>+H9+D10+64000</f>
        <v>224848</v>
      </c>
      <c r="I10" s="82"/>
      <c r="J10" s="82"/>
      <c r="K10" s="82"/>
      <c r="L10" s="82"/>
      <c r="M10" s="82">
        <f t="shared" si="1"/>
        <v>-224848</v>
      </c>
    </row>
    <row r="11" spans="1:19">
      <c r="A11" s="65">
        <v>45726</v>
      </c>
      <c r="B11" s="82">
        <f>+GETPIVOTDATA("GANANCIA",Ventas!$G$1,"FECHA",DATE(2026,3,10))</f>
        <v>11900</v>
      </c>
      <c r="C11" s="82"/>
      <c r="D11" s="82">
        <f t="shared" si="0"/>
        <v>11900</v>
      </c>
      <c r="F11" s="65">
        <v>45726</v>
      </c>
      <c r="G11" s="82"/>
      <c r="H11" s="151">
        <f t="shared" si="2"/>
        <v>236748</v>
      </c>
      <c r="I11" s="82"/>
      <c r="J11" s="82"/>
      <c r="K11" s="82"/>
      <c r="L11" s="82"/>
      <c r="M11" s="82">
        <f t="shared" si="1"/>
        <v>-236748</v>
      </c>
      <c r="O11" s="104"/>
    </row>
    <row r="12" spans="1:19">
      <c r="A12" s="65">
        <v>45727</v>
      </c>
      <c r="B12" s="82">
        <f>+GETPIVOTDATA("GANANCIA",Ventas!$G$1,"FECHA",DATE(2026,3,11))</f>
        <v>3000</v>
      </c>
      <c r="C12" s="82"/>
      <c r="D12" s="82">
        <f t="shared" si="0"/>
        <v>3000</v>
      </c>
      <c r="F12" s="65">
        <v>45727</v>
      </c>
      <c r="G12" s="82"/>
      <c r="H12" s="151">
        <f>+H11+D12-20000</f>
        <v>219748</v>
      </c>
      <c r="I12" s="82"/>
      <c r="J12" s="82"/>
      <c r="K12" s="82"/>
      <c r="L12" s="82"/>
      <c r="M12" s="82">
        <f t="shared" si="1"/>
        <v>-219748</v>
      </c>
      <c r="O12" s="104"/>
    </row>
    <row r="13" spans="1:19">
      <c r="A13" s="65">
        <v>45728</v>
      </c>
      <c r="B13" s="82"/>
      <c r="C13" s="82"/>
      <c r="D13" s="82">
        <f t="shared" si="0"/>
        <v>0</v>
      </c>
      <c r="F13" s="65">
        <v>45728</v>
      </c>
      <c r="G13" s="82"/>
      <c r="H13" s="151">
        <f>+H12+D13-9260-3500</f>
        <v>206988</v>
      </c>
      <c r="I13" s="82"/>
      <c r="J13" s="82"/>
      <c r="K13" s="82"/>
      <c r="L13" s="82"/>
      <c r="M13" s="82">
        <f t="shared" si="1"/>
        <v>-206988</v>
      </c>
      <c r="O13" s="104"/>
    </row>
    <row r="14" spans="1:19">
      <c r="A14" s="65">
        <v>45729</v>
      </c>
      <c r="B14" s="82">
        <f>+GETPIVOTDATA("GANANCIA",Ventas!$G$1,"FECHA",DATE(2026,3,13))</f>
        <v>14000</v>
      </c>
      <c r="C14" s="82"/>
      <c r="D14" s="82">
        <f t="shared" si="0"/>
        <v>14000</v>
      </c>
      <c r="F14" s="65">
        <v>45729</v>
      </c>
      <c r="G14" s="82"/>
      <c r="H14" s="151">
        <f t="shared" si="2"/>
        <v>220988</v>
      </c>
      <c r="I14" s="82"/>
      <c r="J14" s="82"/>
      <c r="K14" s="82"/>
      <c r="L14" s="82"/>
      <c r="M14" s="82">
        <f t="shared" si="1"/>
        <v>-220988</v>
      </c>
      <c r="O14" s="104"/>
    </row>
    <row r="15" spans="1:19">
      <c r="A15" s="65">
        <v>45730</v>
      </c>
      <c r="B15" s="82">
        <f>+GETPIVOTDATA("GANANCIA",Ventas!$G$1,"FECHA",DATE(2026,3,14))</f>
        <v>23400</v>
      </c>
      <c r="C15" s="82"/>
      <c r="D15" s="82">
        <f t="shared" si="0"/>
        <v>23400</v>
      </c>
      <c r="F15" s="65">
        <v>45730</v>
      </c>
      <c r="G15" s="82"/>
      <c r="H15" s="151">
        <f t="shared" si="2"/>
        <v>244388</v>
      </c>
      <c r="I15" s="82"/>
      <c r="J15" s="82"/>
      <c r="K15" s="82"/>
      <c r="L15" s="82"/>
      <c r="M15" s="82">
        <f t="shared" si="1"/>
        <v>-244388</v>
      </c>
      <c r="O15" s="104"/>
    </row>
    <row r="16" spans="1:19">
      <c r="A16" s="65">
        <v>45731</v>
      </c>
      <c r="B16" s="82">
        <f>+GETPIVOTDATA("GANANCIA",Ventas!$G$1,"FECHA",DATE(2026,3,15))</f>
        <v>13900</v>
      </c>
      <c r="C16" s="82"/>
      <c r="D16" s="82">
        <f t="shared" si="0"/>
        <v>13900</v>
      </c>
      <c r="F16" s="65">
        <v>45731</v>
      </c>
      <c r="G16" s="82"/>
      <c r="H16" s="151">
        <f t="shared" si="2"/>
        <v>258288</v>
      </c>
      <c r="I16" s="82"/>
      <c r="J16" s="82"/>
      <c r="K16" s="82"/>
      <c r="L16" s="82"/>
      <c r="M16" s="82">
        <f t="shared" si="1"/>
        <v>-258288</v>
      </c>
      <c r="S16" s="104"/>
    </row>
    <row r="17" spans="1:16">
      <c r="A17" s="65">
        <v>45732</v>
      </c>
      <c r="B17" s="82">
        <f>+GETPIVOTDATA("GANANCIA",Ventas!$G$1,"FECHA",DATE(2026,3,16))</f>
        <v>21200</v>
      </c>
      <c r="C17" s="82"/>
      <c r="D17" s="82">
        <f t="shared" si="0"/>
        <v>21200</v>
      </c>
      <c r="F17" s="65">
        <v>45732</v>
      </c>
      <c r="G17" s="82"/>
      <c r="H17" s="151">
        <f>+H16+D17-3500-3500-3000-4800</f>
        <v>264688</v>
      </c>
      <c r="I17" s="82"/>
      <c r="J17" s="82"/>
      <c r="K17" s="82"/>
      <c r="L17" s="82"/>
      <c r="M17" s="82">
        <f>+G17-H17-I17-J17-K17-L17</f>
        <v>-264688</v>
      </c>
      <c r="O17" s="104"/>
      <c r="P17" s="104"/>
    </row>
    <row r="18" spans="1:16">
      <c r="A18" s="65">
        <v>45733</v>
      </c>
      <c r="B18" s="82">
        <f>+GETPIVOTDATA("GANANCIA",Ventas!$G$1,"FECHA",DATE(2026,3,17))</f>
        <v>15800</v>
      </c>
      <c r="C18" s="82"/>
      <c r="D18" s="82">
        <f t="shared" si="0"/>
        <v>15800</v>
      </c>
      <c r="F18" s="65">
        <v>45733</v>
      </c>
      <c r="G18" s="82"/>
      <c r="H18" s="151">
        <f>+H17+D18+64000-74000</f>
        <v>270488</v>
      </c>
      <c r="I18" s="82"/>
      <c r="J18" s="82"/>
      <c r="K18" s="82"/>
      <c r="L18" s="82"/>
      <c r="M18" s="82">
        <f t="shared" si="1"/>
        <v>-270488</v>
      </c>
      <c r="O18" s="104"/>
      <c r="P18" s="104"/>
    </row>
    <row r="19" spans="1:16">
      <c r="A19" s="65">
        <v>45734</v>
      </c>
      <c r="B19" s="82">
        <f>+GETPIVOTDATA("GANANCIA",Ventas!$G$1,"FECHA",DATE(2026,3,18))</f>
        <v>23000</v>
      </c>
      <c r="C19" s="82"/>
      <c r="D19" s="82">
        <f t="shared" si="0"/>
        <v>23000</v>
      </c>
      <c r="F19" s="65">
        <v>45734</v>
      </c>
      <c r="G19" s="82"/>
      <c r="H19" s="151">
        <f t="shared" si="2"/>
        <v>293488</v>
      </c>
      <c r="I19" s="82">
        <v>0</v>
      </c>
      <c r="J19" s="82">
        <v>0</v>
      </c>
      <c r="K19" s="82">
        <v>0</v>
      </c>
      <c r="L19" s="82">
        <v>0</v>
      </c>
      <c r="M19" s="82">
        <f>+G19-H19-I19-J19-K19-L19</f>
        <v>-293488</v>
      </c>
    </row>
    <row r="20" spans="1:16">
      <c r="A20" s="65">
        <v>45735</v>
      </c>
      <c r="B20" s="82">
        <f>+GETPIVOTDATA("GANANCIA",Ventas!$G$1,"FECHA",DATE(2025,3,19))</f>
        <v>29600</v>
      </c>
      <c r="C20" s="82"/>
      <c r="D20" s="82">
        <f t="shared" si="0"/>
        <v>29600</v>
      </c>
      <c r="F20" s="65">
        <v>45735</v>
      </c>
      <c r="G20" s="82"/>
      <c r="H20" s="151">
        <f>+H19+D20-6800-15000-10000-21500</f>
        <v>269788</v>
      </c>
      <c r="I20" s="82"/>
      <c r="J20" s="82"/>
      <c r="K20" s="82"/>
      <c r="L20" s="82"/>
      <c r="M20" s="82">
        <f t="shared" si="1"/>
        <v>-269788</v>
      </c>
    </row>
    <row r="21" spans="1:16">
      <c r="A21" s="65">
        <v>45736</v>
      </c>
      <c r="B21" s="82"/>
      <c r="C21" s="82"/>
      <c r="D21" s="82">
        <f t="shared" si="0"/>
        <v>0</v>
      </c>
      <c r="F21" s="65">
        <v>45736</v>
      </c>
      <c r="G21" s="82"/>
      <c r="H21" s="151">
        <f>+H20+D21-23000</f>
        <v>246788</v>
      </c>
      <c r="I21" s="82"/>
      <c r="J21" s="82"/>
      <c r="K21" s="82"/>
      <c r="L21" s="82"/>
      <c r="M21" s="82">
        <f t="shared" si="1"/>
        <v>-246788</v>
      </c>
    </row>
    <row r="22" spans="1:16">
      <c r="A22" s="65">
        <v>45737</v>
      </c>
      <c r="B22" s="82"/>
      <c r="C22" s="82"/>
      <c r="D22" s="82">
        <f t="shared" si="0"/>
        <v>0</v>
      </c>
      <c r="F22" s="65">
        <v>45737</v>
      </c>
      <c r="G22" s="82"/>
      <c r="H22" s="151">
        <f>+H21+D22-8500</f>
        <v>238288</v>
      </c>
      <c r="I22" s="82"/>
      <c r="J22" s="82"/>
      <c r="K22" s="82"/>
      <c r="L22" s="82"/>
      <c r="M22" s="82">
        <f t="shared" si="1"/>
        <v>-238288</v>
      </c>
    </row>
    <row r="23" spans="1:16">
      <c r="A23" s="65">
        <v>45738</v>
      </c>
      <c r="B23" s="82"/>
      <c r="C23" s="82"/>
      <c r="D23" s="82">
        <f t="shared" si="0"/>
        <v>0</v>
      </c>
      <c r="F23" s="65">
        <v>45738</v>
      </c>
      <c r="G23" s="82"/>
      <c r="H23" s="151">
        <f t="shared" si="2"/>
        <v>238288</v>
      </c>
      <c r="I23" s="82"/>
      <c r="J23" s="82"/>
      <c r="K23" s="82"/>
      <c r="L23" s="82"/>
      <c r="M23" s="82">
        <f t="shared" si="1"/>
        <v>-238288</v>
      </c>
    </row>
    <row r="24" spans="1:16">
      <c r="A24" s="65">
        <v>45739</v>
      </c>
      <c r="B24" s="82"/>
      <c r="C24" s="82"/>
      <c r="D24" s="82">
        <f t="shared" si="0"/>
        <v>0</v>
      </c>
      <c r="F24" s="65">
        <v>45739</v>
      </c>
      <c r="G24" s="82"/>
      <c r="H24" s="151">
        <f>+H23+D24-37000-3000</f>
        <v>198288</v>
      </c>
      <c r="I24" s="82"/>
      <c r="J24" s="82"/>
      <c r="K24" s="82"/>
      <c r="L24" s="82"/>
      <c r="M24" s="82">
        <f t="shared" si="1"/>
        <v>-198288</v>
      </c>
    </row>
    <row r="25" spans="1:16">
      <c r="A25" s="65">
        <v>45740</v>
      </c>
      <c r="B25" s="82">
        <f>+GETPIVOTDATA("GANANCIA",Ventas!$G$1,"FECHA",DATE(2026,3,24))</f>
        <v>33400</v>
      </c>
      <c r="C25" s="82"/>
      <c r="D25" s="82">
        <f t="shared" si="0"/>
        <v>33400</v>
      </c>
      <c r="F25" s="65">
        <v>45740</v>
      </c>
      <c r="G25" s="82"/>
      <c r="H25" s="151">
        <f t="shared" si="2"/>
        <v>231688</v>
      </c>
      <c r="I25" s="82"/>
      <c r="J25" s="82"/>
      <c r="K25" s="82"/>
      <c r="L25" s="82"/>
      <c r="M25" s="82">
        <f t="shared" si="1"/>
        <v>-231688</v>
      </c>
    </row>
    <row r="26" spans="1:16">
      <c r="A26" s="65">
        <v>45741</v>
      </c>
      <c r="B26" s="82">
        <f>+GETPIVOTDATA("GANANCIA",Ventas!$G$1,"FECHA",DATE(2026,3,25))</f>
        <v>8800</v>
      </c>
      <c r="C26" s="82"/>
      <c r="D26" s="82">
        <f t="shared" si="0"/>
        <v>8800</v>
      </c>
      <c r="F26" s="65">
        <v>45741</v>
      </c>
      <c r="G26" s="82"/>
      <c r="H26" s="151">
        <f>+H25+D26-24500-12400-31000</f>
        <v>172588</v>
      </c>
      <c r="I26" s="82"/>
      <c r="J26" s="82"/>
      <c r="K26" s="82"/>
      <c r="L26" s="82"/>
      <c r="M26" s="82">
        <f t="shared" si="1"/>
        <v>-172588</v>
      </c>
    </row>
    <row r="27" spans="1:16">
      <c r="A27" s="65">
        <v>45742</v>
      </c>
      <c r="B27" s="82">
        <f>+GETPIVOTDATA("GANANCIA",Ventas!$G$1,"FECHA",DATE(2026,3,26))</f>
        <v>6000</v>
      </c>
      <c r="C27" s="82"/>
      <c r="D27" s="82">
        <f t="shared" si="0"/>
        <v>6000</v>
      </c>
      <c r="F27" s="65">
        <v>45742</v>
      </c>
      <c r="G27" s="82"/>
      <c r="H27" s="151">
        <f>+H26+D27</f>
        <v>178588</v>
      </c>
      <c r="I27" s="82"/>
      <c r="J27" s="82"/>
      <c r="K27" s="82"/>
      <c r="L27" s="82"/>
      <c r="M27" s="82">
        <f t="shared" si="1"/>
        <v>-178588</v>
      </c>
    </row>
    <row r="28" spans="1:16">
      <c r="A28" s="65">
        <v>45743</v>
      </c>
      <c r="B28" s="82">
        <f>+GETPIVOTDATA("GANANCIA",Ventas!$G$1,"FECHA",DATE(2026,3,27))</f>
        <v>3400</v>
      </c>
      <c r="C28" s="82"/>
      <c r="D28" s="82">
        <f t="shared" si="0"/>
        <v>3400</v>
      </c>
      <c r="F28" s="65">
        <v>45743</v>
      </c>
      <c r="G28" s="82"/>
      <c r="H28" s="151">
        <f>+H27+D28-12100</f>
        <v>169888</v>
      </c>
      <c r="I28" s="82"/>
      <c r="J28" s="82"/>
      <c r="K28" s="82"/>
      <c r="L28" s="82"/>
      <c r="M28" s="82">
        <f t="shared" si="1"/>
        <v>-169888</v>
      </c>
    </row>
    <row r="29" spans="1:16">
      <c r="A29" s="65">
        <v>45744</v>
      </c>
      <c r="B29" s="82">
        <f>+GETPIVOTDATA("GANANCIA",Ventas!$G$1,"FECHA",DATE(2026,3,28))</f>
        <v>13500</v>
      </c>
      <c r="C29" s="82"/>
      <c r="D29" s="82">
        <f t="shared" si="0"/>
        <v>13500</v>
      </c>
      <c r="F29" s="65">
        <v>45744</v>
      </c>
      <c r="G29" s="82"/>
      <c r="H29" s="151">
        <f>+H28+D29-28900</f>
        <v>154488</v>
      </c>
      <c r="I29" s="82"/>
      <c r="J29" s="82"/>
      <c r="K29" s="82"/>
      <c r="L29" s="82"/>
      <c r="M29" s="82">
        <f t="shared" si="1"/>
        <v>-154488</v>
      </c>
    </row>
    <row r="30" spans="1:16">
      <c r="A30" s="65">
        <v>45745</v>
      </c>
      <c r="B30" s="82">
        <f>+GETPIVOTDATA("GANANCIA",Ventas!$G$1,"FECHA",DATE(2026,3,29))</f>
        <v>11300</v>
      </c>
      <c r="C30" s="82"/>
      <c r="D30" s="82">
        <f t="shared" si="0"/>
        <v>11300</v>
      </c>
      <c r="F30" s="65">
        <v>45745</v>
      </c>
      <c r="G30" s="82"/>
      <c r="H30" s="151">
        <f>+H29+D30-52000-18000-3500-13100</f>
        <v>79188</v>
      </c>
      <c r="I30" s="82"/>
      <c r="J30" s="82"/>
      <c r="K30" s="82"/>
      <c r="L30" s="82"/>
      <c r="M30" s="82">
        <f t="shared" si="1"/>
        <v>-79188</v>
      </c>
    </row>
    <row r="31" spans="1:16">
      <c r="A31" s="65">
        <v>45746</v>
      </c>
      <c r="B31" s="82">
        <f>+GETPIVOTDATA("GANANCIA",Ventas!$G$1,"FECHA",DATE(2026,3,30))</f>
        <v>36600</v>
      </c>
      <c r="C31" s="82"/>
      <c r="D31" s="82">
        <f t="shared" si="0"/>
        <v>36600</v>
      </c>
      <c r="F31" s="65">
        <v>45746</v>
      </c>
      <c r="G31" s="82"/>
      <c r="H31" s="151">
        <f>+H30+D31-10000-12500-5000-17450+7500</f>
        <v>78338</v>
      </c>
      <c r="I31" s="82"/>
      <c r="J31" s="82"/>
      <c r="K31" s="82"/>
      <c r="L31" s="82"/>
      <c r="M31" s="82">
        <f t="shared" si="1"/>
        <v>-78338</v>
      </c>
    </row>
    <row r="32" spans="1:16">
      <c r="A32" s="65">
        <v>45747</v>
      </c>
      <c r="B32" s="82">
        <f>+GETPIVOTDATA("GANANCIA",Ventas!$G$1,"FECHA",DATE(2026,3,31))</f>
        <v>6000</v>
      </c>
      <c r="C32" s="82"/>
      <c r="D32" s="82">
        <f t="shared" si="0"/>
        <v>6000</v>
      </c>
      <c r="F32" s="65">
        <v>45747</v>
      </c>
      <c r="G32" s="82"/>
      <c r="H32" s="151">
        <f>+H31+D32-10000</f>
        <v>74338</v>
      </c>
      <c r="I32" s="82"/>
      <c r="J32" s="82"/>
      <c r="K32" s="82"/>
      <c r="L32" s="82"/>
      <c r="M32" s="82">
        <f t="shared" si="1"/>
        <v>-74338</v>
      </c>
    </row>
    <row r="33" spans="1:4">
      <c r="A33" s="65"/>
      <c r="B33" s="82"/>
      <c r="C33" s="104"/>
      <c r="D33" s="104">
        <f>D2+D3+D4+D5+D6+D7+D8+D9+D10+D11+D12+D13+D14+D15+D16+D17+D18+D19+D20+D21+D22+D23+D24+D25+D26+D27+D28+D29+D30+D31+D32</f>
        <v>374600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3C6FD9-3142-E744-82FE-887A26F9DD23}">
  <dimension ref="A1:S33"/>
  <sheetViews>
    <sheetView topLeftCell="D1" workbookViewId="0">
      <selection activeCell="H31" sqref="H31"/>
    </sheetView>
  </sheetViews>
  <sheetFormatPr defaultColWidth="10.7109375" defaultRowHeight="12.95"/>
  <cols>
    <col min="2" max="2" width="11.85546875" bestFit="1" customWidth="1"/>
    <col min="3" max="3" width="10.28515625" bestFit="1" customWidth="1"/>
    <col min="4" max="4" width="16.85546875" bestFit="1" customWidth="1"/>
    <col min="7" max="7" width="11.42578125" bestFit="1" customWidth="1"/>
    <col min="8" max="8" width="13.42578125" customWidth="1"/>
  </cols>
  <sheetData>
    <row r="1" spans="1:19" ht="27.95">
      <c r="A1" s="48" t="s">
        <v>1352</v>
      </c>
      <c r="B1" s="48" t="s">
        <v>1356</v>
      </c>
      <c r="C1" s="48" t="s">
        <v>1411</v>
      </c>
      <c r="D1" s="49" t="s">
        <v>1412</v>
      </c>
      <c r="E1" s="95"/>
      <c r="F1" s="48" t="s">
        <v>1352</v>
      </c>
      <c r="G1" s="48" t="s">
        <v>1413</v>
      </c>
      <c r="H1" s="150" t="s">
        <v>1414</v>
      </c>
      <c r="I1" s="96" t="s">
        <v>1415</v>
      </c>
      <c r="J1" s="85" t="s">
        <v>1520</v>
      </c>
      <c r="K1" s="85" t="s">
        <v>1379</v>
      </c>
      <c r="L1" s="85" t="s">
        <v>1417</v>
      </c>
      <c r="M1" s="48" t="s">
        <v>1418</v>
      </c>
    </row>
    <row r="2" spans="1:19">
      <c r="A2" s="65">
        <v>45748</v>
      </c>
      <c r="B2" s="82"/>
      <c r="C2" s="82"/>
      <c r="D2" s="82">
        <f>+B2-C2</f>
        <v>0</v>
      </c>
      <c r="F2" s="65">
        <v>45748</v>
      </c>
      <c r="G2" s="82">
        <v>0</v>
      </c>
      <c r="H2" s="151">
        <f>+'P&amp;G MARZO'!H31</f>
        <v>78338</v>
      </c>
      <c r="I2" s="82"/>
      <c r="J2" s="82"/>
      <c r="K2" s="82"/>
      <c r="L2" s="82"/>
      <c r="M2" s="82">
        <f>+G2-H2-I2-J2-K2-L2</f>
        <v>-78338</v>
      </c>
      <c r="O2" s="104"/>
    </row>
    <row r="3" spans="1:19">
      <c r="A3" s="65">
        <v>45749</v>
      </c>
      <c r="B3" s="82">
        <f>+GETPIVOTDATA("GANANCIA",Ventas!$G$1,"FECHA",DATE(2026,4,2))</f>
        <v>33400</v>
      </c>
      <c r="C3" s="82"/>
      <c r="D3" s="82">
        <f t="shared" ref="D3:D31" si="0">+B3-C3</f>
        <v>33400</v>
      </c>
      <c r="F3" s="65">
        <v>45749</v>
      </c>
      <c r="G3" s="82">
        <v>0</v>
      </c>
      <c r="H3" s="151">
        <f>+H2+D3</f>
        <v>111738</v>
      </c>
      <c r="I3" s="82"/>
      <c r="J3" s="82"/>
      <c r="K3" s="82"/>
      <c r="L3" s="82"/>
      <c r="M3" s="82">
        <f t="shared" ref="M3:M31" si="1">+G3-H3-I3-J3-K3-L3</f>
        <v>-111738</v>
      </c>
    </row>
    <row r="4" spans="1:19">
      <c r="A4" s="65">
        <v>45750</v>
      </c>
      <c r="B4" s="82">
        <f>+GETPIVOTDATA("GANANCIA",Ventas!$G$1,"FECHA",DATE(2026,4,3))</f>
        <v>9200</v>
      </c>
      <c r="C4" s="82"/>
      <c r="D4" s="82">
        <f t="shared" si="0"/>
        <v>9200</v>
      </c>
      <c r="F4" s="65">
        <v>45750</v>
      </c>
      <c r="G4" s="82">
        <v>0</v>
      </c>
      <c r="H4" s="151">
        <f>+H3+D4</f>
        <v>120938</v>
      </c>
      <c r="I4" s="82"/>
      <c r="J4" s="82"/>
      <c r="K4" s="82"/>
      <c r="L4" s="82"/>
      <c r="M4" s="82">
        <f t="shared" si="1"/>
        <v>-120938</v>
      </c>
    </row>
    <row r="5" spans="1:19">
      <c r="A5" s="65">
        <v>45751</v>
      </c>
      <c r="B5" s="82">
        <f>+GETPIVOTDATA("GANANCIA",Ventas!$G$1,"FECHA",DATE(2026,4,4))</f>
        <v>3000</v>
      </c>
      <c r="C5" s="82"/>
      <c r="D5" s="82">
        <f t="shared" si="0"/>
        <v>3000</v>
      </c>
      <c r="F5" s="65">
        <v>45751</v>
      </c>
      <c r="G5" s="82">
        <v>0</v>
      </c>
      <c r="H5" s="151">
        <f t="shared" ref="H5:H19" si="2">+H4+D5</f>
        <v>123938</v>
      </c>
      <c r="I5" s="82"/>
      <c r="J5" s="82"/>
      <c r="K5" s="82"/>
      <c r="L5" s="82"/>
      <c r="M5" s="82">
        <f t="shared" si="1"/>
        <v>-123938</v>
      </c>
      <c r="O5" s="104"/>
    </row>
    <row r="6" spans="1:19">
      <c r="A6" s="65">
        <v>45752</v>
      </c>
      <c r="B6" s="82"/>
      <c r="C6" s="82"/>
      <c r="D6" s="82">
        <f t="shared" si="0"/>
        <v>0</v>
      </c>
      <c r="F6" s="65">
        <v>45752</v>
      </c>
      <c r="G6" s="82">
        <v>0</v>
      </c>
      <c r="H6" s="151">
        <f>+H5+D6-178000</f>
        <v>-54062</v>
      </c>
      <c r="I6" s="82"/>
      <c r="J6" s="82"/>
      <c r="K6" s="82"/>
      <c r="L6" s="82"/>
      <c r="M6" s="82">
        <f t="shared" si="1"/>
        <v>54062</v>
      </c>
      <c r="O6" s="104"/>
    </row>
    <row r="7" spans="1:19">
      <c r="A7" s="65">
        <v>45753</v>
      </c>
      <c r="B7" s="82">
        <f>+GETPIVOTDATA("GANANCIA",Ventas!$G$1,"FECHA",DATE(2026,4,6))</f>
        <v>3000</v>
      </c>
      <c r="C7" s="82"/>
      <c r="D7" s="82">
        <f t="shared" si="0"/>
        <v>3000</v>
      </c>
      <c r="F7" s="65">
        <v>45753</v>
      </c>
      <c r="G7" s="82">
        <v>0</v>
      </c>
      <c r="H7" s="151">
        <f t="shared" si="2"/>
        <v>-51062</v>
      </c>
      <c r="I7" s="82"/>
      <c r="J7" s="82"/>
      <c r="K7" s="82"/>
      <c r="L7" s="82"/>
      <c r="M7" s="82">
        <f t="shared" si="1"/>
        <v>51062</v>
      </c>
      <c r="P7" s="104"/>
      <c r="Q7" s="104"/>
    </row>
    <row r="8" spans="1:19">
      <c r="A8" s="65">
        <v>45754</v>
      </c>
      <c r="B8" s="82">
        <f>+GETPIVOTDATA("GANANCIA",Ventas!$G$1,"FECHA",DATE(2026,4,7))</f>
        <v>26510</v>
      </c>
      <c r="C8" s="82"/>
      <c r="D8" s="82">
        <f t="shared" si="0"/>
        <v>26510</v>
      </c>
      <c r="F8" s="65">
        <v>45754</v>
      </c>
      <c r="G8" s="82">
        <v>0</v>
      </c>
      <c r="H8" s="151">
        <f t="shared" si="2"/>
        <v>-24552</v>
      </c>
      <c r="I8" s="82"/>
      <c r="J8" s="82"/>
      <c r="K8" s="82"/>
      <c r="L8" s="82"/>
      <c r="M8" s="82">
        <f t="shared" si="1"/>
        <v>24552</v>
      </c>
      <c r="P8" s="145" t="s">
        <v>1522</v>
      </c>
      <c r="Q8" s="145" t="s">
        <v>1523</v>
      </c>
    </row>
    <row r="9" spans="1:19">
      <c r="A9" s="65">
        <v>45755</v>
      </c>
      <c r="B9" s="82">
        <f>+GETPIVOTDATA("GANANCIA",Ventas!$G$1,"FECHA",DATE(2026,4,8))</f>
        <v>16500</v>
      </c>
      <c r="C9" s="82"/>
      <c r="D9" s="82">
        <f t="shared" si="0"/>
        <v>16500</v>
      </c>
      <c r="F9" s="65">
        <v>45755</v>
      </c>
      <c r="G9" s="82">
        <v>0</v>
      </c>
      <c r="H9" s="151">
        <f>+H8+D9-5000-3500</f>
        <v>-16552</v>
      </c>
      <c r="I9" s="82"/>
      <c r="J9" s="82"/>
      <c r="K9" s="82"/>
      <c r="L9" s="82"/>
      <c r="M9" s="82">
        <f t="shared" si="1"/>
        <v>16552</v>
      </c>
      <c r="O9" s="145" t="s">
        <v>1524</v>
      </c>
      <c r="P9">
        <v>45000</v>
      </c>
    </row>
    <row r="10" spans="1:19">
      <c r="A10" s="65">
        <v>45756</v>
      </c>
      <c r="B10" s="82"/>
      <c r="C10" s="82"/>
      <c r="D10" s="82">
        <f t="shared" si="0"/>
        <v>0</v>
      </c>
      <c r="F10" s="65">
        <v>45756</v>
      </c>
      <c r="G10" s="82">
        <v>0</v>
      </c>
      <c r="H10" s="151">
        <f>+H9+D10-8000</f>
        <v>-24552</v>
      </c>
      <c r="I10" s="82"/>
      <c r="J10" s="82"/>
      <c r="K10" s="82"/>
      <c r="L10" s="82"/>
      <c r="M10" s="82">
        <f t="shared" si="1"/>
        <v>24552</v>
      </c>
    </row>
    <row r="11" spans="1:19">
      <c r="A11" s="65">
        <v>45757</v>
      </c>
      <c r="B11" s="82">
        <f>+GETPIVOTDATA("GANANCIA",Ventas!$G$1,"FECHA",DATE(2026,4,10))</f>
        <v>20900</v>
      </c>
      <c r="C11" s="82"/>
      <c r="D11" s="82">
        <f t="shared" si="0"/>
        <v>20900</v>
      </c>
      <c r="F11" s="65">
        <v>45757</v>
      </c>
      <c r="G11" s="82">
        <v>0</v>
      </c>
      <c r="H11" s="151">
        <f>+H10+D11+8500</f>
        <v>4848</v>
      </c>
      <c r="I11" s="82"/>
      <c r="J11" s="82"/>
      <c r="K11" s="82"/>
      <c r="L11" s="82"/>
      <c r="M11" s="82">
        <f t="shared" si="1"/>
        <v>-4848</v>
      </c>
      <c r="O11" s="145"/>
    </row>
    <row r="12" spans="1:19">
      <c r="A12" s="65">
        <v>45758</v>
      </c>
      <c r="B12" s="82">
        <f>+GETPIVOTDATA("GANANCIA",Ventas!$G$1,"FECHA",DATE(2026,4,11))</f>
        <v>3000</v>
      </c>
      <c r="C12" s="82"/>
      <c r="D12" s="82">
        <f t="shared" si="0"/>
        <v>3000</v>
      </c>
      <c r="F12" s="65">
        <v>45758</v>
      </c>
      <c r="G12" s="82">
        <v>0</v>
      </c>
      <c r="H12" s="151">
        <f>+H11+D12-20000</f>
        <v>-12152</v>
      </c>
      <c r="I12" s="82"/>
      <c r="J12" s="82"/>
      <c r="K12" s="82"/>
      <c r="L12" s="82"/>
      <c r="M12" s="82">
        <f t="shared" si="1"/>
        <v>12152</v>
      </c>
    </row>
    <row r="13" spans="1:19">
      <c r="A13" s="65">
        <v>45759</v>
      </c>
      <c r="B13" s="82">
        <f>+GETPIVOTDATA("GANANCIA",Ventas!$G$1,"FECHA",DATE(2026,4,12))</f>
        <v>12100</v>
      </c>
      <c r="C13" s="82"/>
      <c r="D13" s="82">
        <f t="shared" si="0"/>
        <v>12100</v>
      </c>
      <c r="F13" s="65">
        <v>45759</v>
      </c>
      <c r="G13" s="82">
        <v>0</v>
      </c>
      <c r="H13" s="151">
        <f t="shared" si="2"/>
        <v>-52</v>
      </c>
      <c r="I13" s="82"/>
      <c r="J13" s="82"/>
      <c r="K13" s="82"/>
      <c r="L13" s="82"/>
      <c r="M13" s="82">
        <f t="shared" si="1"/>
        <v>52</v>
      </c>
    </row>
    <row r="14" spans="1:19">
      <c r="A14" s="65">
        <v>45760</v>
      </c>
      <c r="B14" s="82">
        <f>+GETPIVOTDATA("GANANCIA",Ventas!$G$1,"FECHA",DATE(2026,4,13))</f>
        <v>10200</v>
      </c>
      <c r="C14" s="82"/>
      <c r="D14" s="82">
        <f t="shared" si="0"/>
        <v>10200</v>
      </c>
      <c r="F14" s="65">
        <v>45760</v>
      </c>
      <c r="G14" s="82">
        <v>0</v>
      </c>
      <c r="H14" s="151">
        <f>+H13+D14-9725-3500</f>
        <v>-3077</v>
      </c>
      <c r="I14" s="82"/>
      <c r="J14" s="82"/>
      <c r="K14" s="82"/>
      <c r="L14" s="82"/>
      <c r="M14" s="82">
        <f t="shared" si="1"/>
        <v>3077</v>
      </c>
      <c r="P14">
        <f>+P9+P10+P11+P12</f>
        <v>45000</v>
      </c>
    </row>
    <row r="15" spans="1:19">
      <c r="A15" s="65">
        <v>45761</v>
      </c>
      <c r="B15" s="82">
        <f>+GETPIVOTDATA("GANANCIA",Ventas!$G$1,"FECHA",DATE(2026,4,14))</f>
        <v>13010</v>
      </c>
      <c r="C15" s="82"/>
      <c r="D15" s="82">
        <f t="shared" si="0"/>
        <v>13010</v>
      </c>
      <c r="F15" s="65">
        <v>45761</v>
      </c>
      <c r="G15" s="82">
        <v>0</v>
      </c>
      <c r="H15" s="151">
        <f>+H14+D15-3500</f>
        <v>6433</v>
      </c>
      <c r="I15" s="82"/>
      <c r="J15" s="82"/>
      <c r="K15" s="82"/>
      <c r="L15" s="82"/>
      <c r="M15" s="82">
        <f t="shared" si="1"/>
        <v>-6433</v>
      </c>
    </row>
    <row r="16" spans="1:19">
      <c r="A16" s="65">
        <v>45762</v>
      </c>
      <c r="B16" s="82">
        <f>+Ventas!H89</f>
        <v>43220</v>
      </c>
      <c r="C16" s="82"/>
      <c r="D16" s="82">
        <f t="shared" si="0"/>
        <v>43220</v>
      </c>
      <c r="F16" s="65">
        <v>45762</v>
      </c>
      <c r="G16" s="82">
        <v>0</v>
      </c>
      <c r="H16" s="151">
        <f>+H15+D16-3500-6000</f>
        <v>40153</v>
      </c>
      <c r="I16" s="82"/>
      <c r="J16" s="82"/>
      <c r="K16" s="82"/>
      <c r="L16" s="82"/>
      <c r="M16" s="82">
        <f t="shared" si="1"/>
        <v>-40153</v>
      </c>
      <c r="S16" s="104"/>
    </row>
    <row r="17" spans="1:16">
      <c r="A17" s="65">
        <v>45763</v>
      </c>
      <c r="B17" s="82">
        <f>+GETPIVOTDATA("GANANCIA",Ventas!$G$1,"FECHA",DATE(2026,4,16))</f>
        <v>4510</v>
      </c>
      <c r="C17" s="82"/>
      <c r="D17" s="82">
        <f t="shared" si="0"/>
        <v>4510</v>
      </c>
      <c r="F17" s="65">
        <v>45763</v>
      </c>
      <c r="G17" s="82">
        <v>0</v>
      </c>
      <c r="H17" s="151">
        <f t="shared" si="2"/>
        <v>44663</v>
      </c>
      <c r="I17" s="82"/>
      <c r="J17" s="82"/>
      <c r="K17" s="82"/>
      <c r="L17" s="82"/>
      <c r="M17" s="82">
        <f>+G17-H17-I17-J17-K17-L17</f>
        <v>-44663</v>
      </c>
      <c r="O17" s="104"/>
      <c r="P17" s="104"/>
    </row>
    <row r="18" spans="1:16">
      <c r="A18" s="65">
        <v>45764</v>
      </c>
      <c r="B18" s="82">
        <f>+GETPIVOTDATA("GANANCIA",Ventas!$G$1,"FECHA",DATE(2026,4,17))</f>
        <v>16800</v>
      </c>
      <c r="C18" s="82"/>
      <c r="D18" s="82">
        <f t="shared" si="0"/>
        <v>16800</v>
      </c>
      <c r="F18" s="65">
        <v>45764</v>
      </c>
      <c r="G18" s="82">
        <v>0</v>
      </c>
      <c r="H18" s="151">
        <f t="shared" si="2"/>
        <v>61463</v>
      </c>
      <c r="I18" s="82"/>
      <c r="J18" s="82"/>
      <c r="K18" s="82"/>
      <c r="L18" s="82"/>
      <c r="M18" s="82">
        <f t="shared" si="1"/>
        <v>-61463</v>
      </c>
      <c r="O18" s="104"/>
      <c r="P18" s="104"/>
    </row>
    <row r="19" spans="1:16">
      <c r="A19" s="65">
        <v>45765</v>
      </c>
      <c r="B19" s="82">
        <f>+Ventas!H92</f>
        <v>3200</v>
      </c>
      <c r="C19" s="82"/>
      <c r="D19" s="82">
        <f t="shared" si="0"/>
        <v>3200</v>
      </c>
      <c r="F19" s="65">
        <v>45765</v>
      </c>
      <c r="G19" s="82">
        <v>0</v>
      </c>
      <c r="H19" s="151">
        <f t="shared" si="2"/>
        <v>64663</v>
      </c>
      <c r="I19" s="82">
        <v>0</v>
      </c>
      <c r="J19" s="82">
        <v>0</v>
      </c>
      <c r="K19" s="82">
        <v>0</v>
      </c>
      <c r="L19" s="82">
        <v>0</v>
      </c>
      <c r="M19" s="82">
        <f>+G19-H19-I19-J19-K19-L19</f>
        <v>-64663</v>
      </c>
      <c r="O19" s="104"/>
      <c r="P19" s="104"/>
    </row>
    <row r="20" spans="1:16">
      <c r="A20" s="65">
        <v>45766</v>
      </c>
      <c r="B20" s="82">
        <f>+Ventas!H93</f>
        <v>8400</v>
      </c>
      <c r="C20" s="82"/>
      <c r="D20" s="82">
        <f t="shared" si="0"/>
        <v>8400</v>
      </c>
      <c r="F20" s="65">
        <v>45766</v>
      </c>
      <c r="G20" s="82">
        <v>0</v>
      </c>
      <c r="H20" s="151">
        <f>+H19+D20-23000-8000</f>
        <v>42063</v>
      </c>
      <c r="I20" s="82"/>
      <c r="J20" s="82"/>
      <c r="K20" s="82"/>
      <c r="L20" s="82"/>
      <c r="M20" s="82">
        <f t="shared" si="1"/>
        <v>-42063</v>
      </c>
    </row>
    <row r="21" spans="1:16">
      <c r="A21" s="65">
        <v>45767</v>
      </c>
      <c r="B21" s="82">
        <f>+Ventas!H94</f>
        <v>7400</v>
      </c>
      <c r="C21" s="82"/>
      <c r="D21" s="82">
        <f t="shared" si="0"/>
        <v>7400</v>
      </c>
      <c r="F21" s="65">
        <v>45767</v>
      </c>
      <c r="G21" s="82">
        <v>0</v>
      </c>
      <c r="H21" s="151">
        <f>+H20+D21-15000-8000</f>
        <v>26463</v>
      </c>
      <c r="I21" s="82"/>
      <c r="J21" s="82"/>
      <c r="K21" s="82"/>
      <c r="L21" s="82"/>
      <c r="M21" s="82">
        <f t="shared" si="1"/>
        <v>-26463</v>
      </c>
    </row>
    <row r="22" spans="1:16">
      <c r="A22" s="65">
        <v>45768</v>
      </c>
      <c r="B22" s="82">
        <f>+Ventas!H95</f>
        <v>51610</v>
      </c>
      <c r="C22" s="82"/>
      <c r="D22" s="82">
        <f t="shared" si="0"/>
        <v>51610</v>
      </c>
      <c r="F22" s="65">
        <v>45768</v>
      </c>
      <c r="G22" s="82">
        <v>0</v>
      </c>
      <c r="H22" s="151">
        <f>+H21+D22-3500-3500-18000</f>
        <v>53073</v>
      </c>
      <c r="I22" s="82"/>
      <c r="J22" s="82"/>
      <c r="K22" s="82"/>
      <c r="L22" s="82"/>
      <c r="M22" s="82">
        <f t="shared" si="1"/>
        <v>-53073</v>
      </c>
    </row>
    <row r="23" spans="1:16">
      <c r="A23" s="65">
        <v>45769</v>
      </c>
      <c r="B23" s="82">
        <f>+Ventas!H96</f>
        <v>21800</v>
      </c>
      <c r="C23" s="82"/>
      <c r="D23" s="82">
        <f t="shared" si="0"/>
        <v>21800</v>
      </c>
      <c r="F23" s="65">
        <v>45769</v>
      </c>
      <c r="G23" s="82">
        <v>0</v>
      </c>
      <c r="H23" s="151">
        <f>+H22+D23-1700</f>
        <v>73173</v>
      </c>
      <c r="I23" s="82"/>
      <c r="J23" s="82"/>
      <c r="K23" s="82"/>
      <c r="L23" s="82"/>
      <c r="M23" s="82">
        <f t="shared" si="1"/>
        <v>-73173</v>
      </c>
    </row>
    <row r="24" spans="1:16">
      <c r="A24" s="65">
        <v>45770</v>
      </c>
      <c r="B24" s="82">
        <f>+Ventas!H97</f>
        <v>9000</v>
      </c>
      <c r="C24" s="82"/>
      <c r="D24" s="82">
        <f t="shared" si="0"/>
        <v>9000</v>
      </c>
      <c r="F24" s="65">
        <v>45770</v>
      </c>
      <c r="G24" s="82">
        <v>0</v>
      </c>
      <c r="H24" s="151">
        <f>+H23+D24-9500-9800-6700-3500-11400</f>
        <v>41273</v>
      </c>
      <c r="I24" s="82"/>
      <c r="J24" s="82"/>
      <c r="K24" s="82"/>
      <c r="L24" s="82"/>
      <c r="M24" s="82">
        <f t="shared" si="1"/>
        <v>-41273</v>
      </c>
    </row>
    <row r="25" spans="1:16">
      <c r="A25" s="65">
        <v>45771</v>
      </c>
      <c r="B25" s="82">
        <f>+Ventas!H98</f>
        <v>20900</v>
      </c>
      <c r="C25" s="82"/>
      <c r="D25" s="82">
        <f t="shared" si="0"/>
        <v>20900</v>
      </c>
      <c r="F25" s="65">
        <v>45771</v>
      </c>
      <c r="G25" s="82">
        <v>0</v>
      </c>
      <c r="H25" s="151">
        <f>+H24+D25-7200</f>
        <v>54973</v>
      </c>
      <c r="I25" s="82"/>
      <c r="J25" s="82"/>
      <c r="K25" s="82"/>
      <c r="L25" s="82"/>
      <c r="M25" s="82">
        <f t="shared" si="1"/>
        <v>-54973</v>
      </c>
    </row>
    <row r="26" spans="1:16">
      <c r="A26" s="65">
        <v>45772</v>
      </c>
      <c r="B26" s="82"/>
      <c r="C26" s="82"/>
      <c r="D26" s="82">
        <f t="shared" si="0"/>
        <v>0</v>
      </c>
      <c r="F26" s="65">
        <v>45772</v>
      </c>
      <c r="G26" s="82">
        <v>0</v>
      </c>
      <c r="H26" s="151">
        <f>+H25+D26-3800-6300</f>
        <v>44873</v>
      </c>
      <c r="I26" s="82"/>
      <c r="J26" s="82"/>
      <c r="K26" s="82"/>
      <c r="L26" s="82"/>
      <c r="M26" s="82">
        <f t="shared" si="1"/>
        <v>-44873</v>
      </c>
    </row>
    <row r="27" spans="1:16">
      <c r="A27" s="65">
        <v>45773</v>
      </c>
      <c r="B27" s="82">
        <f>+Ventas!H99</f>
        <v>4000</v>
      </c>
      <c r="C27" s="82"/>
      <c r="D27" s="82">
        <f t="shared" si="0"/>
        <v>4000</v>
      </c>
      <c r="F27" s="65">
        <v>45773</v>
      </c>
      <c r="G27" s="82">
        <v>0</v>
      </c>
      <c r="H27" s="151">
        <f>+H26+D27-22000</f>
        <v>26873</v>
      </c>
      <c r="I27" s="82"/>
      <c r="J27" s="82"/>
      <c r="K27" s="82"/>
      <c r="L27" s="82"/>
      <c r="M27" s="82">
        <f t="shared" si="1"/>
        <v>-26873</v>
      </c>
    </row>
    <row r="28" spans="1:16">
      <c r="A28" s="65">
        <v>45774</v>
      </c>
      <c r="B28" s="82">
        <f>+GETPIVOTDATA("GANANCIA",Ventas!$G$1,"FECHA",DATE(2026,4,27))</f>
        <v>40200</v>
      </c>
      <c r="C28" s="82"/>
      <c r="D28" s="82">
        <f t="shared" si="0"/>
        <v>40200</v>
      </c>
      <c r="F28" s="65">
        <v>45774</v>
      </c>
      <c r="G28" s="82">
        <v>0</v>
      </c>
      <c r="H28" s="151">
        <f>+H27+D28-3500-3500-20000-5000-14000-17000</f>
        <v>4073</v>
      </c>
      <c r="I28" s="82"/>
      <c r="J28" s="82"/>
      <c r="K28" s="82"/>
      <c r="L28" s="82"/>
      <c r="M28" s="82">
        <f t="shared" si="1"/>
        <v>-4073</v>
      </c>
    </row>
    <row r="29" spans="1:16">
      <c r="A29" s="65">
        <v>45775</v>
      </c>
      <c r="B29" s="82">
        <f>+Ventas!H101</f>
        <v>12400</v>
      </c>
      <c r="C29" s="82"/>
      <c r="D29" s="82">
        <f t="shared" si="0"/>
        <v>12400</v>
      </c>
      <c r="F29" s="65">
        <v>45775</v>
      </c>
      <c r="G29" s="82">
        <v>0</v>
      </c>
      <c r="H29" s="151">
        <f>+H28+D29-5000-5200</f>
        <v>6273</v>
      </c>
      <c r="I29" s="82"/>
      <c r="J29" s="82"/>
      <c r="K29" s="82"/>
      <c r="L29" s="82"/>
      <c r="M29" s="82">
        <f t="shared" si="1"/>
        <v>-6273</v>
      </c>
    </row>
    <row r="30" spans="1:16">
      <c r="A30" s="65">
        <v>45776</v>
      </c>
      <c r="B30" s="82">
        <f>+GETPIVOTDATA("GANANCIA",Ventas!$G$1,"FECHA",DATE(2026,4,29))</f>
        <v>9700</v>
      </c>
      <c r="C30" s="82"/>
      <c r="D30" s="82">
        <f t="shared" si="0"/>
        <v>9700</v>
      </c>
      <c r="F30" s="65">
        <v>45776</v>
      </c>
      <c r="G30" s="82">
        <v>0</v>
      </c>
      <c r="H30" s="151">
        <f>+H29+D30-3500-3500</f>
        <v>8973</v>
      </c>
      <c r="I30" s="82"/>
      <c r="J30" s="82"/>
      <c r="K30" s="82"/>
      <c r="L30" s="82"/>
      <c r="M30" s="82">
        <f t="shared" si="1"/>
        <v>-8973</v>
      </c>
    </row>
    <row r="31" spans="1:16">
      <c r="A31" s="65">
        <v>45777</v>
      </c>
      <c r="B31" s="82">
        <f>+GETPIVOTDATA("GANANCIA",Ventas!$G$1,"FECHA",DATE(2026,4,30))</f>
        <v>12800</v>
      </c>
      <c r="C31" s="82"/>
      <c r="D31" s="82">
        <f t="shared" si="0"/>
        <v>12800</v>
      </c>
      <c r="F31" s="65">
        <v>45777</v>
      </c>
      <c r="G31" s="82">
        <v>0</v>
      </c>
      <c r="H31" s="151">
        <f>+H30+D31-2000-31500</f>
        <v>-11727</v>
      </c>
      <c r="I31" s="82"/>
      <c r="J31" s="82"/>
      <c r="K31" s="82"/>
      <c r="L31" s="82"/>
      <c r="M31" s="82">
        <f t="shared" si="1"/>
        <v>11727</v>
      </c>
    </row>
    <row r="32" spans="1:16">
      <c r="A32" s="65"/>
      <c r="B32" s="82"/>
      <c r="C32" s="82"/>
      <c r="D32" s="82">
        <f>+D2+D3+D4+D5+D6+D7+D8+D9+D10+D11+D12+D13+D14+D15+D16+D17+D18+D19+D20+D21+D21+D22+D23+D24+D25+D26+D27+D28+D29+D30+D31</f>
        <v>424160</v>
      </c>
      <c r="F32" s="65"/>
      <c r="G32" s="82"/>
      <c r="H32" s="151"/>
      <c r="I32" s="82"/>
      <c r="J32" s="82"/>
      <c r="K32" s="82"/>
      <c r="L32" s="82"/>
      <c r="M32" s="82"/>
    </row>
    <row r="33" spans="1:4">
      <c r="A33" s="65"/>
      <c r="B33" s="82"/>
      <c r="C33" s="104"/>
      <c r="D33" s="104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AB20B-128E-4DDF-9457-3C35733A5C75}">
  <dimension ref="A1:U33"/>
  <sheetViews>
    <sheetView topLeftCell="E8" workbookViewId="0">
      <selection activeCell="H32" sqref="H32"/>
    </sheetView>
  </sheetViews>
  <sheetFormatPr defaultColWidth="10.7109375" defaultRowHeight="12.95"/>
  <cols>
    <col min="2" max="2" width="11.85546875" bestFit="1" customWidth="1"/>
    <col min="3" max="3" width="10.28515625" bestFit="1" customWidth="1"/>
    <col min="4" max="4" width="16.85546875" bestFit="1" customWidth="1"/>
    <col min="7" max="7" width="11.42578125" bestFit="1" customWidth="1"/>
    <col min="8" max="8" width="13.42578125" customWidth="1"/>
    <col min="15" max="15" width="13" bestFit="1" customWidth="1"/>
    <col min="16" max="16" width="11.85546875" bestFit="1" customWidth="1"/>
  </cols>
  <sheetData>
    <row r="1" spans="1:21" ht="27.95">
      <c r="A1" s="48" t="s">
        <v>1352</v>
      </c>
      <c r="B1" s="48" t="s">
        <v>1356</v>
      </c>
      <c r="C1" s="48" t="s">
        <v>1411</v>
      </c>
      <c r="D1" s="49" t="s">
        <v>1412</v>
      </c>
      <c r="E1" s="95"/>
      <c r="F1" s="48" t="s">
        <v>1352</v>
      </c>
      <c r="G1" s="48" t="s">
        <v>1413</v>
      </c>
      <c r="H1" s="150" t="s">
        <v>1414</v>
      </c>
      <c r="I1" s="96" t="s">
        <v>1415</v>
      </c>
      <c r="J1" s="85" t="s">
        <v>1520</v>
      </c>
      <c r="K1" s="85" t="s">
        <v>1379</v>
      </c>
      <c r="L1" s="85" t="s">
        <v>1417</v>
      </c>
      <c r="M1" s="48" t="s">
        <v>1418</v>
      </c>
    </row>
    <row r="2" spans="1:21">
      <c r="A2" s="65">
        <v>45778</v>
      </c>
      <c r="B2" s="82">
        <f>+Ventas!H104</f>
        <v>21200</v>
      </c>
      <c r="C2" s="82"/>
      <c r="D2" s="82">
        <f>+B2-C2</f>
        <v>21200</v>
      </c>
      <c r="F2" s="65">
        <v>45778</v>
      </c>
      <c r="G2" s="82"/>
      <c r="H2" s="151">
        <f>+D2+'P&amp;G ABRIL'!H31</f>
        <v>9473</v>
      </c>
      <c r="I2" s="82"/>
      <c r="J2" s="82"/>
      <c r="K2" s="82"/>
      <c r="L2" s="82"/>
      <c r="M2" s="82">
        <f>+G2-H2-I2-J2-K2-L2</f>
        <v>-9473</v>
      </c>
      <c r="O2" s="104"/>
    </row>
    <row r="3" spans="1:21">
      <c r="A3" s="65">
        <v>45779</v>
      </c>
      <c r="B3" s="82">
        <f>+Ventas!H105</f>
        <v>16800</v>
      </c>
      <c r="C3" s="82"/>
      <c r="D3" s="82">
        <f t="shared" ref="D3:D32" si="0">+B3-C3</f>
        <v>16800</v>
      </c>
      <c r="F3" s="65">
        <v>45779</v>
      </c>
      <c r="G3" s="82">
        <v>0</v>
      </c>
      <c r="H3" s="151">
        <f>+D3+H2-30000+150000-126000</f>
        <v>20273</v>
      </c>
      <c r="I3" s="82"/>
      <c r="J3" s="82"/>
      <c r="K3" s="82"/>
      <c r="L3" s="82"/>
      <c r="M3" s="82">
        <f t="shared" ref="M3:M32" si="1">+G3-H3-I3-J3-K3-L3</f>
        <v>-20273</v>
      </c>
    </row>
    <row r="4" spans="1:21">
      <c r="A4" s="65">
        <v>45780</v>
      </c>
      <c r="B4" s="82">
        <f>+Ventas!H107</f>
        <v>2410</v>
      </c>
      <c r="C4" s="82"/>
      <c r="D4" s="82">
        <f t="shared" si="0"/>
        <v>2410</v>
      </c>
      <c r="F4" s="65">
        <v>45780</v>
      </c>
      <c r="G4" s="82">
        <v>0</v>
      </c>
      <c r="H4" s="151">
        <f>+D4+H3-6900+1500</f>
        <v>17283</v>
      </c>
      <c r="I4" s="82"/>
      <c r="J4" s="82"/>
      <c r="K4" s="82"/>
      <c r="L4" s="82"/>
      <c r="M4" s="82">
        <f t="shared" si="1"/>
        <v>-17283</v>
      </c>
    </row>
    <row r="5" spans="1:21">
      <c r="A5" s="65">
        <v>45781</v>
      </c>
      <c r="B5" s="82">
        <f>+Ventas!H106</f>
        <v>11600</v>
      </c>
      <c r="C5" s="82"/>
      <c r="D5" s="82">
        <f t="shared" si="0"/>
        <v>11600</v>
      </c>
      <c r="F5" s="65">
        <v>45781</v>
      </c>
      <c r="G5" s="82">
        <v>0</v>
      </c>
      <c r="H5" s="151">
        <f>+D5+H4-3500-3500-25000</f>
        <v>-3117</v>
      </c>
      <c r="I5" s="82"/>
      <c r="J5" s="82"/>
      <c r="K5" s="82"/>
      <c r="L5" s="82"/>
      <c r="M5" s="82">
        <f t="shared" si="1"/>
        <v>3117</v>
      </c>
      <c r="O5" s="104"/>
    </row>
    <row r="6" spans="1:21">
      <c r="A6" s="65">
        <v>45782</v>
      </c>
      <c r="B6" s="82">
        <f>+GETPIVOTDATA("GANANCIA",Ventas!$G$1,"FECHA",DATE(2026,5,5))</f>
        <v>5000</v>
      </c>
      <c r="C6" s="82"/>
      <c r="D6" s="82">
        <f t="shared" si="0"/>
        <v>5000</v>
      </c>
      <c r="F6" s="65">
        <v>45782</v>
      </c>
      <c r="G6" s="82">
        <v>0</v>
      </c>
      <c r="H6" s="151">
        <f t="shared" ref="H6:H30" si="2">+D6+H5</f>
        <v>1883</v>
      </c>
      <c r="I6" s="82"/>
      <c r="J6" s="82"/>
      <c r="K6" s="82"/>
      <c r="L6" s="82"/>
      <c r="M6" s="82">
        <f t="shared" si="1"/>
        <v>-1883</v>
      </c>
      <c r="O6" s="104"/>
    </row>
    <row r="7" spans="1:21">
      <c r="A7" s="65">
        <v>45783</v>
      </c>
      <c r="B7" s="82"/>
      <c r="C7" s="82"/>
      <c r="D7" s="82">
        <f t="shared" si="0"/>
        <v>0</v>
      </c>
      <c r="F7" s="65">
        <v>45783</v>
      </c>
      <c r="G7" s="82">
        <v>0</v>
      </c>
      <c r="H7" s="151">
        <f>+D7+H6-3600-3500+64000</f>
        <v>58783</v>
      </c>
      <c r="I7" s="82"/>
      <c r="J7" s="82"/>
      <c r="K7" s="82"/>
      <c r="L7" s="82"/>
      <c r="M7" s="82">
        <f t="shared" si="1"/>
        <v>-58783</v>
      </c>
    </row>
    <row r="8" spans="1:21">
      <c r="A8" s="65">
        <v>45784</v>
      </c>
      <c r="B8" s="82">
        <f>+GETPIVOTDATA("GANANCIA",Ventas!$G$1,"FECHA",DATE(2026,5,7))</f>
        <v>28800</v>
      </c>
      <c r="C8" s="82"/>
      <c r="D8" s="82">
        <f t="shared" si="0"/>
        <v>28800</v>
      </c>
      <c r="F8" s="65">
        <v>45784</v>
      </c>
      <c r="G8" s="82">
        <v>0</v>
      </c>
      <c r="H8" s="151">
        <f>+D8+H7-10000-8000-3000-2800-3500</f>
        <v>60283</v>
      </c>
      <c r="I8" s="82"/>
      <c r="J8" s="82"/>
      <c r="K8" s="82"/>
      <c r="L8" s="82"/>
      <c r="M8" s="82">
        <f t="shared" si="1"/>
        <v>-60283</v>
      </c>
      <c r="O8" s="104"/>
    </row>
    <row r="9" spans="1:21">
      <c r="A9" s="65">
        <v>45785</v>
      </c>
      <c r="B9" s="82">
        <f>+Ventas!H110</f>
        <v>10200</v>
      </c>
      <c r="C9" s="82"/>
      <c r="D9" s="82">
        <f t="shared" si="0"/>
        <v>10200</v>
      </c>
      <c r="F9" s="65">
        <v>45785</v>
      </c>
      <c r="G9" s="82">
        <v>0</v>
      </c>
      <c r="H9" s="151">
        <f>+D9+H8-9954</f>
        <v>60529</v>
      </c>
      <c r="I9" s="82"/>
      <c r="J9" s="82"/>
      <c r="K9" s="82"/>
      <c r="L9" s="82"/>
      <c r="M9" s="82">
        <f t="shared" si="1"/>
        <v>-60529</v>
      </c>
      <c r="O9" s="104"/>
    </row>
    <row r="10" spans="1:21">
      <c r="A10" s="65">
        <v>45786</v>
      </c>
      <c r="B10" s="82"/>
      <c r="C10" s="82"/>
      <c r="D10" s="82">
        <f t="shared" si="0"/>
        <v>0</v>
      </c>
      <c r="F10" s="65">
        <v>45786</v>
      </c>
      <c r="G10" s="82">
        <v>0</v>
      </c>
      <c r="H10" s="151">
        <f>+D10+H9+2500</f>
        <v>63029</v>
      </c>
      <c r="I10" s="82"/>
      <c r="J10" s="82"/>
      <c r="K10" s="82"/>
      <c r="L10" s="82"/>
      <c r="M10" s="82">
        <f t="shared" si="1"/>
        <v>-63029</v>
      </c>
      <c r="O10" t="s">
        <v>1525</v>
      </c>
      <c r="P10" t="s">
        <v>1523</v>
      </c>
      <c r="R10" s="145" t="s">
        <v>1526</v>
      </c>
      <c r="T10" s="145" t="s">
        <v>1527</v>
      </c>
    </row>
    <row r="11" spans="1:21">
      <c r="A11" s="65">
        <v>45787</v>
      </c>
      <c r="B11" s="82"/>
      <c r="C11" s="82"/>
      <c r="D11" s="82">
        <f t="shared" si="0"/>
        <v>0</v>
      </c>
      <c r="F11" s="65">
        <v>45787</v>
      </c>
      <c r="G11" s="82">
        <v>0</v>
      </c>
      <c r="H11" s="151">
        <f>+D11+H10-65596-13000</f>
        <v>-15567</v>
      </c>
      <c r="I11" s="82"/>
      <c r="J11" s="82"/>
      <c r="K11" s="82"/>
      <c r="L11" s="82"/>
      <c r="M11" s="82">
        <f t="shared" si="1"/>
        <v>15567</v>
      </c>
      <c r="N11" t="s">
        <v>1528</v>
      </c>
      <c r="O11" s="104">
        <v>21000</v>
      </c>
      <c r="R11">
        <v>60000</v>
      </c>
      <c r="S11" s="145" t="s">
        <v>1529</v>
      </c>
      <c r="T11">
        <v>150000</v>
      </c>
      <c r="U11" s="145" t="s">
        <v>1530</v>
      </c>
    </row>
    <row r="12" spans="1:21">
      <c r="A12" s="65">
        <v>45788</v>
      </c>
      <c r="B12" s="82">
        <f>+Ventas!H111</f>
        <v>21900</v>
      </c>
      <c r="C12" s="82"/>
      <c r="D12" s="82">
        <f t="shared" si="0"/>
        <v>21900</v>
      </c>
      <c r="F12" s="65">
        <v>45788</v>
      </c>
      <c r="G12" s="82"/>
      <c r="H12" s="151">
        <f>+D12+H11-15837-9500</f>
        <v>-19004</v>
      </c>
      <c r="I12" s="82"/>
      <c r="J12" s="82"/>
      <c r="K12" s="82"/>
      <c r="L12" s="82"/>
      <c r="M12" s="82">
        <f t="shared" si="1"/>
        <v>19004</v>
      </c>
      <c r="N12" t="s">
        <v>1531</v>
      </c>
      <c r="O12" s="104">
        <v>1500</v>
      </c>
      <c r="R12">
        <v>100000</v>
      </c>
      <c r="S12" s="145" t="s">
        <v>1532</v>
      </c>
      <c r="T12">
        <v>30000</v>
      </c>
      <c r="U12" s="145" t="s">
        <v>1533</v>
      </c>
    </row>
    <row r="13" spans="1:21">
      <c r="A13" s="65">
        <v>45789</v>
      </c>
      <c r="B13" s="82">
        <f>+GETPIVOTDATA("GANANCIA",Ventas!$G$1,"FECHA",DATE(2026,5,12))</f>
        <v>13500</v>
      </c>
      <c r="C13" s="82"/>
      <c r="D13" s="82">
        <f t="shared" si="0"/>
        <v>13500</v>
      </c>
      <c r="F13" s="65">
        <v>45789</v>
      </c>
      <c r="G13" s="82">
        <v>0</v>
      </c>
      <c r="H13" s="151">
        <f>+D13+H12-6800+48000</f>
        <v>35696</v>
      </c>
      <c r="I13" s="82"/>
      <c r="J13" s="82"/>
      <c r="K13" s="82"/>
      <c r="L13" s="82"/>
      <c r="M13" s="82">
        <f t="shared" si="1"/>
        <v>-35696</v>
      </c>
      <c r="N13" t="s">
        <v>1524</v>
      </c>
      <c r="O13" s="104">
        <v>45000</v>
      </c>
      <c r="R13">
        <v>50000</v>
      </c>
      <c r="S13" s="145" t="s">
        <v>1534</v>
      </c>
    </row>
    <row r="14" spans="1:21">
      <c r="A14" s="65">
        <v>45790</v>
      </c>
      <c r="B14" s="82">
        <f>+GETPIVOTDATA("GANANCIA",Ventas!$G$1,"FECHA",DATE(2026,5,13))</f>
        <v>2900</v>
      </c>
      <c r="C14" s="82"/>
      <c r="D14" s="82">
        <f t="shared" si="0"/>
        <v>2900</v>
      </c>
      <c r="F14" s="65">
        <v>45790</v>
      </c>
      <c r="G14" s="82">
        <v>0</v>
      </c>
      <c r="H14" s="151">
        <f>+D14+H13-3500</f>
        <v>35096</v>
      </c>
      <c r="I14" s="82"/>
      <c r="J14" s="82"/>
      <c r="K14" s="82"/>
      <c r="L14" s="82"/>
      <c r="M14" s="82">
        <f t="shared" si="1"/>
        <v>-35096</v>
      </c>
      <c r="N14" t="s">
        <v>1535</v>
      </c>
      <c r="O14" s="104">
        <v>20000</v>
      </c>
      <c r="P14" s="104"/>
    </row>
    <row r="15" spans="1:21">
      <c r="A15" s="65">
        <v>45791</v>
      </c>
      <c r="B15" s="82">
        <f>+GETPIVOTDATA("GANANCIA",Ventas!$G$1,"FECHA",DATE(2026,5,14))</f>
        <v>21300</v>
      </c>
      <c r="C15" s="82"/>
      <c r="D15" s="82">
        <f t="shared" si="0"/>
        <v>21300</v>
      </c>
      <c r="F15" s="65">
        <v>45791</v>
      </c>
      <c r="G15" s="82">
        <v>0</v>
      </c>
      <c r="H15" s="151">
        <f>+D15+H14-3500</f>
        <v>52896</v>
      </c>
      <c r="I15" s="82"/>
      <c r="J15" s="82"/>
      <c r="K15" s="82"/>
      <c r="L15" s="82"/>
      <c r="M15" s="82">
        <f t="shared" si="1"/>
        <v>-52896</v>
      </c>
      <c r="N15" t="s">
        <v>1536</v>
      </c>
      <c r="O15" s="104">
        <v>3600</v>
      </c>
    </row>
    <row r="16" spans="1:21">
      <c r="A16" s="65">
        <v>45792</v>
      </c>
      <c r="B16" s="82">
        <f>+GETPIVOTDATA("GANANCIA",Ventas!$G$1,"FECHA",DATE(2026,5,15))</f>
        <v>8200</v>
      </c>
      <c r="C16" s="82"/>
      <c r="D16" s="82">
        <f t="shared" si="0"/>
        <v>8200</v>
      </c>
      <c r="F16" s="65">
        <v>45792</v>
      </c>
      <c r="G16" s="82">
        <v>0</v>
      </c>
      <c r="H16" s="151">
        <f>+D16+H15-7625-8000-12500</f>
        <v>32971</v>
      </c>
      <c r="I16" s="82"/>
      <c r="J16" s="82"/>
      <c r="K16" s="82"/>
      <c r="L16" s="82"/>
      <c r="M16" s="82">
        <f t="shared" si="1"/>
        <v>-32971</v>
      </c>
      <c r="N16" s="145" t="s">
        <v>1537</v>
      </c>
      <c r="O16" s="104">
        <v>2000</v>
      </c>
      <c r="R16">
        <f>+R11+R12+R13+R14+R15</f>
        <v>210000</v>
      </c>
      <c r="S16" s="104"/>
      <c r="T16">
        <f>+T11+T12+T13+T14+T15</f>
        <v>180000</v>
      </c>
    </row>
    <row r="17" spans="1:19">
      <c r="A17" s="65">
        <v>45793</v>
      </c>
      <c r="B17" s="82">
        <f>+GETPIVOTDATA("GANANCIA",Ventas!$G$1,"FECHA",DATE(2026,5,16))</f>
        <v>12500</v>
      </c>
      <c r="C17" s="82"/>
      <c r="D17" s="82">
        <f t="shared" si="0"/>
        <v>12500</v>
      </c>
      <c r="F17" s="65">
        <v>45793</v>
      </c>
      <c r="G17" s="82">
        <v>0</v>
      </c>
      <c r="H17" s="151">
        <f>+D17+H16</f>
        <v>45471</v>
      </c>
      <c r="I17" s="82"/>
      <c r="J17" s="82"/>
      <c r="K17" s="82"/>
      <c r="L17" s="82"/>
      <c r="M17" s="82">
        <f>+G17-H17-I17-J17-K17-L17</f>
        <v>-45471</v>
      </c>
      <c r="O17" s="104"/>
      <c r="P17" s="104"/>
    </row>
    <row r="18" spans="1:19">
      <c r="A18" s="65">
        <v>45794</v>
      </c>
      <c r="B18" s="82">
        <f>+Ventas!H117</f>
        <v>18000</v>
      </c>
      <c r="C18" s="82"/>
      <c r="D18" s="82">
        <f t="shared" si="0"/>
        <v>18000</v>
      </c>
      <c r="F18" s="65">
        <v>45794</v>
      </c>
      <c r="G18" s="82">
        <v>0</v>
      </c>
      <c r="H18" s="151">
        <f>+D18+H17-2000</f>
        <v>61471</v>
      </c>
      <c r="I18" s="82"/>
      <c r="J18" s="82"/>
      <c r="K18" s="82"/>
      <c r="L18" s="82"/>
      <c r="M18" s="82">
        <f t="shared" si="1"/>
        <v>-61471</v>
      </c>
      <c r="O18" s="104"/>
      <c r="P18" s="104"/>
      <c r="S18">
        <f>+R16+T16</f>
        <v>390000</v>
      </c>
    </row>
    <row r="19" spans="1:19">
      <c r="A19" s="65">
        <v>45795</v>
      </c>
      <c r="B19" s="82">
        <f>+Ventas!H118</f>
        <v>8200</v>
      </c>
      <c r="C19" s="82"/>
      <c r="D19" s="82">
        <f t="shared" si="0"/>
        <v>8200</v>
      </c>
      <c r="F19" s="65">
        <v>45795</v>
      </c>
      <c r="G19" s="82">
        <v>0</v>
      </c>
      <c r="H19" s="151">
        <f>+D19+H18-20000</f>
        <v>49671</v>
      </c>
      <c r="I19" s="82">
        <v>0</v>
      </c>
      <c r="J19" s="82">
        <v>0</v>
      </c>
      <c r="K19" s="82">
        <v>0</v>
      </c>
      <c r="L19" s="82">
        <v>0</v>
      </c>
      <c r="M19" s="82">
        <f>+G19-H19-I19-J19-K19-L19</f>
        <v>-49671</v>
      </c>
      <c r="O19" s="104"/>
      <c r="P19" s="104"/>
    </row>
    <row r="20" spans="1:19">
      <c r="A20" s="65">
        <v>45796</v>
      </c>
      <c r="B20" s="82">
        <f>+Ventas!H119</f>
        <v>17300</v>
      </c>
      <c r="C20" s="82"/>
      <c r="D20" s="82">
        <f t="shared" si="0"/>
        <v>17300</v>
      </c>
      <c r="F20" s="65">
        <v>45796</v>
      </c>
      <c r="G20" s="82">
        <v>791534</v>
      </c>
      <c r="H20" s="151">
        <f>+D20+H19-5000+48000-3500-2300</f>
        <v>104171</v>
      </c>
      <c r="I20" s="82"/>
      <c r="J20" s="82"/>
      <c r="K20" s="82"/>
      <c r="L20" s="82"/>
      <c r="M20" s="82">
        <f t="shared" si="1"/>
        <v>687363</v>
      </c>
      <c r="O20" s="104"/>
      <c r="P20" s="104"/>
      <c r="S20">
        <f>+S18-700000</f>
        <v>-310000</v>
      </c>
    </row>
    <row r="21" spans="1:19">
      <c r="A21" s="65">
        <v>45797</v>
      </c>
      <c r="B21" s="82">
        <f>+GETPIVOTDATA("GANANCIA",Ventas!$G$1,"FECHA",DATE(2026,5,20))</f>
        <v>11400</v>
      </c>
      <c r="C21" s="82"/>
      <c r="D21" s="82">
        <f t="shared" si="0"/>
        <v>11400</v>
      </c>
      <c r="F21" s="65">
        <v>45797</v>
      </c>
      <c r="G21" s="82"/>
      <c r="H21" s="151">
        <f>+D21+H20-59000-8000-6000</f>
        <v>42571</v>
      </c>
      <c r="I21" s="82"/>
      <c r="J21" s="82"/>
      <c r="K21" s="82"/>
      <c r="L21" s="82"/>
      <c r="M21" s="82">
        <f t="shared" si="1"/>
        <v>-42571</v>
      </c>
      <c r="P21" s="104"/>
    </row>
    <row r="22" spans="1:19">
      <c r="A22" s="65">
        <v>45798</v>
      </c>
      <c r="B22" s="82">
        <f>+GETPIVOTDATA("GANANCIA",Ventas!$G$1,"FECHA",DATE(2026,5,21))</f>
        <v>400</v>
      </c>
      <c r="C22" s="82"/>
      <c r="D22" s="82">
        <f t="shared" si="0"/>
        <v>400</v>
      </c>
      <c r="F22" s="65">
        <v>45798</v>
      </c>
      <c r="G22" s="82">
        <v>0</v>
      </c>
      <c r="H22" s="151">
        <f>+D22+H21-3000-3500</f>
        <v>36471</v>
      </c>
      <c r="I22" s="82"/>
      <c r="J22" s="82"/>
      <c r="K22" s="82"/>
      <c r="L22" s="82"/>
      <c r="M22" s="82">
        <f t="shared" si="1"/>
        <v>-36471</v>
      </c>
    </row>
    <row r="23" spans="1:19">
      <c r="A23" s="65">
        <v>45799</v>
      </c>
      <c r="B23" s="82">
        <f>+GETPIVOTDATA("GANANCIA",Ventas!$G$1,"FECHA",DATE(2026,5,22))</f>
        <v>7200</v>
      </c>
      <c r="C23" s="82"/>
      <c r="D23" s="82">
        <f t="shared" si="0"/>
        <v>7200</v>
      </c>
      <c r="F23" s="65">
        <v>45799</v>
      </c>
      <c r="G23" s="82">
        <v>0</v>
      </c>
      <c r="H23" s="151">
        <f>+D23+H22-30000-8000-3500</f>
        <v>2171</v>
      </c>
      <c r="I23" s="82"/>
      <c r="J23" s="82"/>
      <c r="K23" s="82"/>
      <c r="L23" s="82"/>
      <c r="M23" s="82">
        <f t="shared" si="1"/>
        <v>-2171</v>
      </c>
    </row>
    <row r="24" spans="1:19">
      <c r="A24" s="65">
        <v>45800</v>
      </c>
      <c r="B24" s="82">
        <f>+GETPIVOTDATA("GANANCIA",Ventas!$G$1,"FECHA",DATE(2026,5,23))</f>
        <v>17700</v>
      </c>
      <c r="C24" s="82"/>
      <c r="D24" s="82">
        <f t="shared" si="0"/>
        <v>17700</v>
      </c>
      <c r="F24" s="65">
        <v>45800</v>
      </c>
      <c r="G24" s="82">
        <v>0</v>
      </c>
      <c r="H24" s="151">
        <f t="shared" ref="H24:H25" si="3">+D24+H23</f>
        <v>19871</v>
      </c>
      <c r="I24" s="82"/>
      <c r="J24" s="82"/>
      <c r="K24" s="82"/>
      <c r="L24" s="82"/>
      <c r="M24" s="82">
        <f t="shared" si="1"/>
        <v>-19871</v>
      </c>
    </row>
    <row r="25" spans="1:19">
      <c r="A25" s="65">
        <v>45801</v>
      </c>
      <c r="B25" s="82"/>
      <c r="C25" s="82"/>
      <c r="D25" s="82">
        <f t="shared" si="0"/>
        <v>0</v>
      </c>
      <c r="F25" s="65">
        <v>45801</v>
      </c>
      <c r="G25" s="82">
        <v>0</v>
      </c>
      <c r="H25" s="151">
        <f t="shared" si="3"/>
        <v>19871</v>
      </c>
      <c r="I25" s="82"/>
      <c r="J25" s="82"/>
      <c r="K25" s="82"/>
      <c r="L25" s="82"/>
      <c r="M25" s="82">
        <f t="shared" si="1"/>
        <v>-19871</v>
      </c>
    </row>
    <row r="26" spans="1:19">
      <c r="A26" s="65">
        <v>45802</v>
      </c>
      <c r="B26" s="82">
        <f>+GETPIVOTDATA("GANANCIA",Ventas!$G$1,"FECHA",DATE(2026,5,25))</f>
        <v>6500</v>
      </c>
      <c r="C26" s="82"/>
      <c r="D26" s="82">
        <f t="shared" si="0"/>
        <v>6500</v>
      </c>
      <c r="F26" s="65">
        <v>45802</v>
      </c>
      <c r="G26" s="82">
        <v>0</v>
      </c>
      <c r="H26" s="151">
        <f>+D26+H25+48000</f>
        <v>74371</v>
      </c>
      <c r="I26" s="82"/>
      <c r="J26" s="82"/>
      <c r="K26" s="82"/>
      <c r="L26" s="82"/>
      <c r="M26" s="82">
        <f t="shared" si="1"/>
        <v>-74371</v>
      </c>
      <c r="O26" s="104"/>
    </row>
    <row r="27" spans="1:19">
      <c r="A27" s="65">
        <v>45803</v>
      </c>
      <c r="B27" s="82">
        <f>+GETPIVOTDATA("GANANCIA",Ventas!$G$1,"FECHA",DATE(2025,5,26))</f>
        <v>3600</v>
      </c>
      <c r="C27" s="82"/>
      <c r="D27" s="82">
        <f t="shared" si="0"/>
        <v>3600</v>
      </c>
      <c r="F27" s="65">
        <v>45803</v>
      </c>
      <c r="G27" s="82">
        <v>0</v>
      </c>
      <c r="H27" s="151">
        <f>+D27+H26-4500</f>
        <v>73471</v>
      </c>
      <c r="I27" s="82"/>
      <c r="J27" s="82"/>
      <c r="K27" s="82"/>
      <c r="L27" s="82"/>
      <c r="M27" s="82">
        <f t="shared" si="1"/>
        <v>-73471</v>
      </c>
    </row>
    <row r="28" spans="1:19">
      <c r="A28" s="65">
        <v>45804</v>
      </c>
      <c r="B28" s="82">
        <f>+GETPIVOTDATA("GANANCIA",Ventas!$G$1,"FECHA",DATE(2026,5,27))</f>
        <v>4000</v>
      </c>
      <c r="C28" s="82"/>
      <c r="D28" s="82">
        <f t="shared" si="0"/>
        <v>4000</v>
      </c>
      <c r="F28" s="65">
        <v>45804</v>
      </c>
      <c r="G28" s="82">
        <v>0</v>
      </c>
      <c r="H28" s="151">
        <f>+D28+H27-2200</f>
        <v>75271</v>
      </c>
      <c r="I28" s="82"/>
      <c r="J28" s="82"/>
      <c r="K28" s="82"/>
      <c r="L28" s="82"/>
      <c r="M28" s="82">
        <f t="shared" si="1"/>
        <v>-75271</v>
      </c>
    </row>
    <row r="29" spans="1:19">
      <c r="A29" s="65">
        <v>45805</v>
      </c>
      <c r="B29" s="82">
        <f>+Ventas!H127</f>
        <v>7200</v>
      </c>
      <c r="C29" s="82"/>
      <c r="D29" s="82">
        <f t="shared" si="0"/>
        <v>7200</v>
      </c>
      <c r="F29" s="65">
        <v>45805</v>
      </c>
      <c r="G29" s="82">
        <v>0</v>
      </c>
      <c r="H29" s="151">
        <f>+D29+H28</f>
        <v>82471</v>
      </c>
      <c r="I29" s="82"/>
      <c r="J29" s="82"/>
      <c r="K29" s="82"/>
      <c r="L29" s="82"/>
      <c r="M29" s="82">
        <f t="shared" si="1"/>
        <v>-82471</v>
      </c>
    </row>
    <row r="30" spans="1:19">
      <c r="A30" s="65">
        <v>45806</v>
      </c>
      <c r="B30" s="82">
        <f>+Ventas!H128</f>
        <v>8000</v>
      </c>
      <c r="C30" s="82"/>
      <c r="D30" s="82">
        <f t="shared" si="0"/>
        <v>8000</v>
      </c>
      <c r="F30" s="65">
        <v>45806</v>
      </c>
      <c r="G30" s="82">
        <v>0</v>
      </c>
      <c r="H30" s="151">
        <f t="shared" si="2"/>
        <v>90471</v>
      </c>
      <c r="I30" s="82"/>
      <c r="J30" s="82"/>
      <c r="K30" s="82"/>
      <c r="L30" s="82"/>
      <c r="M30" s="82">
        <f t="shared" si="1"/>
        <v>-90471</v>
      </c>
    </row>
    <row r="31" spans="1:19">
      <c r="A31" s="65">
        <v>45807</v>
      </c>
      <c r="B31" s="82">
        <f>+Ventas!H129</f>
        <v>52810</v>
      </c>
      <c r="C31" s="82"/>
      <c r="D31" s="82">
        <f t="shared" si="0"/>
        <v>52810</v>
      </c>
      <c r="F31" s="65">
        <v>45807</v>
      </c>
      <c r="G31" s="82">
        <v>0</v>
      </c>
      <c r="H31" s="151">
        <f>+D31+H30-45000</f>
        <v>98281</v>
      </c>
      <c r="I31" s="82"/>
      <c r="J31" s="82"/>
      <c r="K31" s="82"/>
      <c r="L31" s="82"/>
      <c r="M31" s="82">
        <f t="shared" si="1"/>
        <v>-98281</v>
      </c>
    </row>
    <row r="32" spans="1:19">
      <c r="A32" s="65">
        <v>45808</v>
      </c>
      <c r="B32" s="82">
        <f>+GETPIVOTDATA("GANANCIA",Ventas!$G$1,"FECHA",DATE(2026,5,31))</f>
        <v>8900</v>
      </c>
      <c r="C32" s="82"/>
      <c r="D32" s="82">
        <f t="shared" si="0"/>
        <v>8900</v>
      </c>
      <c r="F32" s="65">
        <v>45808</v>
      </c>
      <c r="G32" s="82">
        <v>0</v>
      </c>
      <c r="H32" s="151">
        <f>+D32+H31-10000</f>
        <v>97181</v>
      </c>
      <c r="I32" s="82"/>
      <c r="J32" s="82"/>
      <c r="K32" s="82"/>
      <c r="L32" s="82"/>
      <c r="M32" s="82">
        <f t="shared" si="1"/>
        <v>-97181</v>
      </c>
    </row>
    <row r="33" spans="1:4">
      <c r="A33" s="65"/>
      <c r="B33" s="82"/>
      <c r="C33" s="104"/>
      <c r="D33" s="104">
        <f>+D2+D3+D4+D5+D6+D7+D8+D9+D10+D11+D12+D13+D14+D15+D16+D17+D18+D19+D20+D21+D22+D23+D24+D25+D26+D27+D28+D29+D30+D31+D32</f>
        <v>347520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4F282E-E870-2E48-86ED-34828A077FFA}">
  <dimension ref="A1:T34"/>
  <sheetViews>
    <sheetView workbookViewId="0">
      <selection activeCell="P15" sqref="P15"/>
    </sheetView>
  </sheetViews>
  <sheetFormatPr defaultColWidth="10.7109375" defaultRowHeight="12.95"/>
  <cols>
    <col min="2" max="2" width="11.85546875" bestFit="1" customWidth="1"/>
    <col min="3" max="3" width="10.28515625" bestFit="1" customWidth="1"/>
    <col min="4" max="4" width="16.85546875" bestFit="1" customWidth="1"/>
    <col min="7" max="7" width="11.42578125" bestFit="1" customWidth="1"/>
    <col min="8" max="8" width="13.42578125" customWidth="1"/>
    <col min="9" max="9" width="11.42578125" bestFit="1" customWidth="1"/>
    <col min="15" max="15" width="13" bestFit="1" customWidth="1"/>
    <col min="16" max="16" width="11.85546875" bestFit="1" customWidth="1"/>
  </cols>
  <sheetData>
    <row r="1" spans="1:20" ht="27.95">
      <c r="A1" s="48" t="s">
        <v>1352</v>
      </c>
      <c r="B1" s="48" t="s">
        <v>1356</v>
      </c>
      <c r="C1" s="48" t="s">
        <v>1411</v>
      </c>
      <c r="D1" s="49" t="s">
        <v>1412</v>
      </c>
      <c r="E1" s="95"/>
      <c r="F1" s="48" t="s">
        <v>1352</v>
      </c>
      <c r="G1" s="48" t="s">
        <v>1413</v>
      </c>
      <c r="H1" s="150" t="s">
        <v>1414</v>
      </c>
      <c r="I1" s="96" t="s">
        <v>1415</v>
      </c>
      <c r="J1" s="85" t="s">
        <v>1520</v>
      </c>
      <c r="K1" s="85" t="s">
        <v>1379</v>
      </c>
      <c r="L1" s="85" t="s">
        <v>1417</v>
      </c>
      <c r="M1" s="48" t="s">
        <v>1418</v>
      </c>
    </row>
    <row r="2" spans="1:20">
      <c r="A2" s="65">
        <v>45809</v>
      </c>
      <c r="B2" s="82">
        <f>+GETPIVOTDATA("GANANCIA",Ventas!$G$1,"FECHA",DATE(2026,6,1))</f>
        <v>24100</v>
      </c>
      <c r="C2" s="82"/>
      <c r="D2" s="82">
        <f>+B2-C2</f>
        <v>24100</v>
      </c>
      <c r="F2" s="65">
        <v>45778</v>
      </c>
      <c r="G2" s="82">
        <v>0</v>
      </c>
      <c r="H2" s="151">
        <f>+D2+'P&amp;G MAYO'!H32</f>
        <v>121281</v>
      </c>
      <c r="I2" s="82"/>
      <c r="J2" s="82"/>
      <c r="K2" s="82"/>
      <c r="L2" s="82"/>
      <c r="M2" s="82">
        <f>+G2-H2-I2-J2-K2-L2</f>
        <v>-121281</v>
      </c>
      <c r="O2" s="104"/>
    </row>
    <row r="3" spans="1:20">
      <c r="A3" s="65">
        <v>45810</v>
      </c>
      <c r="B3" s="82">
        <f>+Ventas!H132</f>
        <v>3600</v>
      </c>
      <c r="C3" s="82"/>
      <c r="D3" s="82">
        <f t="shared" ref="D3:D8" si="0">+B3-C3</f>
        <v>3600</v>
      </c>
      <c r="F3" s="65">
        <v>45779</v>
      </c>
      <c r="G3" s="82">
        <v>0</v>
      </c>
      <c r="H3" s="151">
        <f>+D3+H2</f>
        <v>124881</v>
      </c>
      <c r="I3" s="82"/>
      <c r="J3" s="82"/>
      <c r="K3" s="82"/>
      <c r="L3" s="82"/>
      <c r="M3" s="82">
        <f t="shared" ref="M3:M32" si="1">+G3-H3-I3-J3-K3-L3</f>
        <v>-124881</v>
      </c>
    </row>
    <row r="4" spans="1:20">
      <c r="A4" s="65">
        <v>45811</v>
      </c>
      <c r="B4" s="82">
        <f>+GETPIVOTDATA("GANANCIA",Ventas!$G$1,"FECHA",DATE(2026,6,3))</f>
        <v>15800</v>
      </c>
      <c r="C4" s="82"/>
      <c r="D4" s="82">
        <f t="shared" si="0"/>
        <v>15800</v>
      </c>
      <c r="F4" s="65">
        <v>45780</v>
      </c>
      <c r="G4" s="82">
        <v>0</v>
      </c>
      <c r="H4" s="151">
        <f>+D4+H3-8000-3000</f>
        <v>129681</v>
      </c>
      <c r="I4" s="82"/>
      <c r="J4" s="82"/>
      <c r="K4" s="82"/>
      <c r="L4" s="82"/>
      <c r="M4" s="82">
        <f t="shared" si="1"/>
        <v>-129681</v>
      </c>
    </row>
    <row r="5" spans="1:20">
      <c r="A5" s="65">
        <v>45812</v>
      </c>
      <c r="B5" s="82"/>
      <c r="C5" s="82"/>
      <c r="D5" s="82">
        <f t="shared" si="0"/>
        <v>0</v>
      </c>
      <c r="F5" s="65">
        <v>45781</v>
      </c>
      <c r="G5" s="82">
        <v>0</v>
      </c>
      <c r="H5" s="151">
        <f>+D5+H4-7500-7500-22100</f>
        <v>92581</v>
      </c>
      <c r="I5" s="82"/>
      <c r="J5" s="82"/>
      <c r="K5" s="82"/>
      <c r="L5" s="82"/>
      <c r="M5" s="82">
        <f t="shared" si="1"/>
        <v>-92581</v>
      </c>
      <c r="O5" s="104"/>
    </row>
    <row r="6" spans="1:20">
      <c r="A6" s="65">
        <v>45813</v>
      </c>
      <c r="B6" s="82">
        <f>+Ventas!H134</f>
        <v>28100</v>
      </c>
      <c r="C6" s="82"/>
      <c r="D6" s="82">
        <f t="shared" si="0"/>
        <v>28100</v>
      </c>
      <c r="F6" s="65">
        <v>45782</v>
      </c>
      <c r="G6" s="82">
        <v>0</v>
      </c>
      <c r="H6" s="151">
        <f>+D6+H5-7300-11400+16000</f>
        <v>117981</v>
      </c>
      <c r="I6" s="82"/>
      <c r="J6" s="82"/>
      <c r="K6" s="82"/>
      <c r="L6" s="82"/>
      <c r="M6" s="82">
        <f t="shared" si="1"/>
        <v>-117981</v>
      </c>
      <c r="O6" s="104"/>
    </row>
    <row r="7" spans="1:20">
      <c r="A7" s="65">
        <v>45814</v>
      </c>
      <c r="B7" s="82"/>
      <c r="C7" s="82"/>
      <c r="D7" s="82">
        <f t="shared" si="0"/>
        <v>0</v>
      </c>
      <c r="F7" s="65">
        <v>45783</v>
      </c>
      <c r="G7" s="82">
        <v>0</v>
      </c>
      <c r="H7" s="151">
        <f>+D7+H6-4128-25000-32200</f>
        <v>56653</v>
      </c>
      <c r="I7" s="82"/>
      <c r="J7" s="82"/>
      <c r="K7" s="82"/>
      <c r="L7" s="82"/>
      <c r="M7" s="82">
        <f t="shared" si="1"/>
        <v>-56653</v>
      </c>
    </row>
    <row r="8" spans="1:20">
      <c r="A8" s="65">
        <v>45815</v>
      </c>
      <c r="B8" s="82"/>
      <c r="C8" s="82"/>
      <c r="D8" s="82">
        <f t="shared" si="0"/>
        <v>0</v>
      </c>
      <c r="F8" s="65">
        <v>45784</v>
      </c>
      <c r="G8" s="82">
        <v>0</v>
      </c>
      <c r="H8" s="151">
        <f>+D8+H7+11000</f>
        <v>67653</v>
      </c>
      <c r="I8" s="82"/>
      <c r="J8" s="82"/>
      <c r="K8" s="82"/>
      <c r="L8" s="82"/>
      <c r="M8" s="82">
        <f t="shared" si="1"/>
        <v>-67653</v>
      </c>
      <c r="P8" s="104"/>
    </row>
    <row r="9" spans="1:20">
      <c r="A9" s="65">
        <v>45816</v>
      </c>
      <c r="B9" s="82">
        <f>+GETPIVOTDATA("GANANCIA",Ventas!$G$1,"FECHA",DATE(2026,6,8))</f>
        <v>3600</v>
      </c>
      <c r="C9" s="82"/>
      <c r="D9" s="82">
        <f t="shared" ref="D9:D32" si="2">+B9-C9</f>
        <v>3600</v>
      </c>
      <c r="F9" s="65">
        <v>45785</v>
      </c>
      <c r="G9" s="82">
        <v>0</v>
      </c>
      <c r="H9" s="151">
        <f>+D9+H8</f>
        <v>71253</v>
      </c>
      <c r="I9" s="82"/>
      <c r="J9" s="82"/>
      <c r="K9" s="82"/>
      <c r="L9" s="82"/>
      <c r="M9" s="82">
        <f t="shared" si="1"/>
        <v>-71253</v>
      </c>
      <c r="P9" t="s">
        <v>1525</v>
      </c>
      <c r="Q9" t="s">
        <v>1523</v>
      </c>
    </row>
    <row r="10" spans="1:20">
      <c r="A10" s="65">
        <v>45817</v>
      </c>
      <c r="B10" s="82">
        <f>+GETPIVOTDATA("GANANCIA",Ventas!$G$1,"FECHA",DATE(2026,6,9))</f>
        <v>35100</v>
      </c>
      <c r="C10" s="82"/>
      <c r="D10" s="82">
        <f t="shared" si="2"/>
        <v>35100</v>
      </c>
      <c r="F10" s="65">
        <v>45786</v>
      </c>
      <c r="G10" s="82">
        <v>0</v>
      </c>
      <c r="H10" s="151">
        <f>+D10+H9-1000-100-8660</f>
        <v>96593</v>
      </c>
      <c r="I10" s="82"/>
      <c r="J10" s="82"/>
      <c r="K10" s="82"/>
      <c r="L10" s="82"/>
      <c r="M10" s="82">
        <f t="shared" si="1"/>
        <v>-96593</v>
      </c>
      <c r="O10" t="s">
        <v>1528</v>
      </c>
      <c r="P10" s="104">
        <v>21000</v>
      </c>
    </row>
    <row r="11" spans="1:20">
      <c r="A11" s="65">
        <v>45818</v>
      </c>
      <c r="B11" s="82">
        <f>+GETPIVOTDATA("GANANCIA",Ventas!$G$1,"FECHA",DATE(2026,6,10))</f>
        <v>17100</v>
      </c>
      <c r="C11" s="82"/>
      <c r="D11" s="82">
        <f t="shared" si="2"/>
        <v>17100</v>
      </c>
      <c r="F11" s="65">
        <v>45787</v>
      </c>
      <c r="G11" s="82">
        <v>0</v>
      </c>
      <c r="H11" s="151">
        <f>+D11+H10</f>
        <v>113693</v>
      </c>
      <c r="I11" s="82"/>
      <c r="J11" s="82"/>
      <c r="K11" s="82"/>
      <c r="L11" s="82"/>
      <c r="M11" s="82">
        <f t="shared" si="1"/>
        <v>-113693</v>
      </c>
      <c r="O11" t="s">
        <v>1531</v>
      </c>
      <c r="P11" s="104">
        <v>1500</v>
      </c>
    </row>
    <row r="12" spans="1:20">
      <c r="A12" s="65">
        <v>45819</v>
      </c>
      <c r="B12" s="82">
        <f>+GETPIVOTDATA("GANANCIA",Ventas!$G$1,"FECHA",DATE(2026,6,11))</f>
        <v>13310</v>
      </c>
      <c r="C12" s="82"/>
      <c r="D12" s="82">
        <f t="shared" si="2"/>
        <v>13310</v>
      </c>
      <c r="F12" s="65">
        <v>45788</v>
      </c>
      <c r="G12" s="82"/>
      <c r="H12" s="151">
        <f>+D12+H11-8000-13000-5000-23000</f>
        <v>78003</v>
      </c>
      <c r="I12" s="82"/>
      <c r="J12" s="82"/>
      <c r="K12" s="82"/>
      <c r="L12" s="82"/>
      <c r="M12" s="82">
        <f t="shared" si="1"/>
        <v>-78003</v>
      </c>
      <c r="O12" t="s">
        <v>1536</v>
      </c>
      <c r="P12" s="104">
        <v>3600</v>
      </c>
    </row>
    <row r="13" spans="1:20">
      <c r="A13" s="65">
        <v>45820</v>
      </c>
      <c r="B13" s="82">
        <f>+Ventas!H140</f>
        <v>8000</v>
      </c>
      <c r="C13" s="82"/>
      <c r="D13" s="82">
        <f t="shared" si="2"/>
        <v>8000</v>
      </c>
      <c r="F13" s="65">
        <v>45789</v>
      </c>
      <c r="G13" s="82">
        <v>0</v>
      </c>
      <c r="H13" s="151">
        <f>+D13+H12</f>
        <v>86003</v>
      </c>
      <c r="I13" s="82"/>
      <c r="J13" s="82"/>
      <c r="K13" s="82"/>
      <c r="L13" s="82"/>
      <c r="M13" s="82">
        <f t="shared" si="1"/>
        <v>-86003</v>
      </c>
      <c r="O13" t="s">
        <v>1537</v>
      </c>
      <c r="P13" s="104">
        <v>2000</v>
      </c>
      <c r="Q13" s="104"/>
    </row>
    <row r="14" spans="1:20">
      <c r="A14" s="65">
        <v>45821</v>
      </c>
      <c r="B14" s="82">
        <f>+Ventas!H139</f>
        <v>28600</v>
      </c>
      <c r="C14" s="82"/>
      <c r="D14" s="82">
        <f t="shared" si="2"/>
        <v>28600</v>
      </c>
      <c r="F14" s="65">
        <v>45790</v>
      </c>
      <c r="G14" s="82"/>
      <c r="H14" s="151">
        <f>+D14+H13-34000</f>
        <v>80603</v>
      </c>
      <c r="I14" s="82"/>
      <c r="J14" s="82"/>
      <c r="K14" s="82"/>
      <c r="L14" s="82"/>
      <c r="M14" s="82">
        <f t="shared" si="1"/>
        <v>-80603</v>
      </c>
      <c r="P14" s="104">
        <f>+P10+P11+P12+P13</f>
        <v>28100</v>
      </c>
    </row>
    <row r="15" spans="1:20">
      <c r="A15" s="65">
        <v>45822</v>
      </c>
      <c r="B15" s="82">
        <f>+Ventas!H141</f>
        <v>6200</v>
      </c>
      <c r="C15" s="82"/>
      <c r="D15" s="82">
        <f t="shared" si="2"/>
        <v>6200</v>
      </c>
      <c r="F15" s="65">
        <v>45791</v>
      </c>
      <c r="G15" s="82">
        <v>0</v>
      </c>
      <c r="H15" s="151">
        <f>+D15+H14-15000</f>
        <v>71803</v>
      </c>
      <c r="I15" s="82"/>
      <c r="J15" s="82"/>
      <c r="K15" s="82"/>
      <c r="L15" s="82"/>
      <c r="M15" s="82">
        <f t="shared" si="1"/>
        <v>-71803</v>
      </c>
      <c r="T15" s="104"/>
    </row>
    <row r="16" spans="1:20">
      <c r="A16" s="65">
        <v>45823</v>
      </c>
      <c r="B16" s="82">
        <f>+GETPIVOTDATA("GANANCIA",Ventas!$G$1,"FECHA",DATE(2026,6,15))</f>
        <v>11700</v>
      </c>
      <c r="C16" s="82"/>
      <c r="D16" s="82">
        <f t="shared" si="2"/>
        <v>11700</v>
      </c>
      <c r="F16" s="65">
        <v>45792</v>
      </c>
      <c r="G16" s="82">
        <v>0</v>
      </c>
      <c r="H16" s="151">
        <f>+D16+H15-3000</f>
        <v>80503</v>
      </c>
      <c r="I16" s="82"/>
      <c r="J16" s="82"/>
      <c r="K16" s="82"/>
      <c r="L16" s="82"/>
      <c r="M16" s="82">
        <f t="shared" si="1"/>
        <v>-80503</v>
      </c>
      <c r="P16" s="104"/>
      <c r="Q16" s="104"/>
    </row>
    <row r="17" spans="1:17">
      <c r="A17" s="65">
        <v>45824</v>
      </c>
      <c r="B17" s="82">
        <f>+GETPIVOTDATA("GANANCIA",Ventas!$G$1,"FECHA",DATE(2026,6,16))</f>
        <v>61400</v>
      </c>
      <c r="C17" s="82"/>
      <c r="D17" s="82">
        <f t="shared" si="2"/>
        <v>61400</v>
      </c>
      <c r="F17" s="65">
        <v>45793</v>
      </c>
      <c r="G17" s="82">
        <v>0</v>
      </c>
      <c r="H17" s="151">
        <f>+D17+H16-22000</f>
        <v>119903</v>
      </c>
      <c r="I17" s="82"/>
      <c r="J17" s="82"/>
      <c r="K17" s="82"/>
      <c r="L17" s="82"/>
      <c r="M17" s="82">
        <f>+G17-H17-I17-J17-K17-L17</f>
        <v>-119903</v>
      </c>
      <c r="P17" s="104"/>
      <c r="Q17" s="104"/>
    </row>
    <row r="18" spans="1:17">
      <c r="A18" s="65">
        <v>45825</v>
      </c>
      <c r="B18" s="82">
        <f>+GETPIVOTDATA("GANANCIA",Ventas!$G$1,"FECHA",DATE(2026,6,17))</f>
        <v>34200</v>
      </c>
      <c r="C18" s="82"/>
      <c r="D18" s="82">
        <f t="shared" si="2"/>
        <v>34200</v>
      </c>
      <c r="F18" s="65">
        <v>45794</v>
      </c>
      <c r="G18" s="82">
        <v>0</v>
      </c>
      <c r="H18" s="151">
        <f>+D18+H17-20000-15700</f>
        <v>118403</v>
      </c>
      <c r="I18" s="82"/>
      <c r="J18" s="82"/>
      <c r="K18" s="82"/>
      <c r="L18" s="82"/>
      <c r="M18" s="82">
        <f t="shared" si="1"/>
        <v>-118403</v>
      </c>
      <c r="O18" t="s">
        <v>1524</v>
      </c>
      <c r="P18" s="104">
        <v>45000</v>
      </c>
      <c r="Q18" s="104"/>
    </row>
    <row r="19" spans="1:17">
      <c r="A19" s="65">
        <v>45826</v>
      </c>
      <c r="B19" s="82">
        <f>+GETPIVOTDATA("GANANCIA",Ventas!$G$1,"FECHA",DATE(2026,6,18))</f>
        <v>7200</v>
      </c>
      <c r="C19" s="82"/>
      <c r="D19" s="82">
        <f t="shared" si="2"/>
        <v>7200</v>
      </c>
      <c r="F19" s="65">
        <v>45795</v>
      </c>
      <c r="G19" s="82">
        <v>0</v>
      </c>
      <c r="H19" s="151">
        <f>+D19+H18-10000-8000-5400</f>
        <v>102203</v>
      </c>
      <c r="I19" s="82"/>
      <c r="J19" s="82">
        <v>0</v>
      </c>
      <c r="K19" s="82">
        <v>0</v>
      </c>
      <c r="L19" s="82">
        <v>0</v>
      </c>
      <c r="M19" s="82">
        <f>+G19-H19-I19-J19-K19-L19</f>
        <v>-102203</v>
      </c>
      <c r="O19" t="s">
        <v>1535</v>
      </c>
      <c r="P19" s="104">
        <v>20000</v>
      </c>
      <c r="Q19" s="104"/>
    </row>
    <row r="20" spans="1:17">
      <c r="A20" s="65">
        <v>45827</v>
      </c>
      <c r="B20" s="82">
        <f>+GETPIVOTDATA("GANANCIA",Ventas!$G$1,"FECHA",DATE(2026,6,19))</f>
        <v>12200</v>
      </c>
      <c r="C20" s="82"/>
      <c r="D20" s="82">
        <f t="shared" si="2"/>
        <v>12200</v>
      </c>
      <c r="F20" s="65">
        <v>45796</v>
      </c>
      <c r="G20" s="82">
        <v>0</v>
      </c>
      <c r="H20" s="151">
        <f>+D20+H19-66700-8400</f>
        <v>39303</v>
      </c>
      <c r="I20" s="82"/>
      <c r="J20" s="82"/>
      <c r="K20" s="82"/>
      <c r="L20" s="82"/>
      <c r="M20" s="82">
        <f t="shared" si="1"/>
        <v>-39303</v>
      </c>
      <c r="O20" s="104"/>
      <c r="P20" s="104"/>
    </row>
    <row r="21" spans="1:17">
      <c r="A21" s="65">
        <v>45828</v>
      </c>
      <c r="B21" s="82">
        <f>+GETPIVOTDATA("GANANCIA",Ventas!$G$1,"FECHA",DATE(2026,6,20))</f>
        <v>31600</v>
      </c>
      <c r="C21" s="82"/>
      <c r="D21" s="82">
        <f t="shared" si="2"/>
        <v>31600</v>
      </c>
      <c r="F21" s="65">
        <v>45797</v>
      </c>
      <c r="G21" s="82"/>
      <c r="H21" s="151">
        <f>+D21+H20-8000-48950</f>
        <v>13953</v>
      </c>
      <c r="I21" s="82"/>
      <c r="J21" s="82"/>
      <c r="K21" s="82"/>
      <c r="L21" s="82"/>
      <c r="M21" s="82">
        <f t="shared" si="1"/>
        <v>-13953</v>
      </c>
      <c r="P21" s="104"/>
    </row>
    <row r="22" spans="1:17">
      <c r="A22" s="65">
        <v>45829</v>
      </c>
      <c r="B22" s="82">
        <f>+GETPIVOTDATA("GANANCIA",Ventas!$G$1,"FECHA",DATE(2026,6,21))</f>
        <v>12200</v>
      </c>
      <c r="C22" s="82"/>
      <c r="D22" s="82">
        <f t="shared" si="2"/>
        <v>12200</v>
      </c>
      <c r="F22" s="65">
        <v>45798</v>
      </c>
      <c r="G22" s="82">
        <v>0</v>
      </c>
      <c r="H22" s="151">
        <f t="shared" ref="H22:H32" si="3">+D22+H21</f>
        <v>26153</v>
      </c>
      <c r="I22" s="82"/>
      <c r="J22" s="82"/>
      <c r="K22" s="82"/>
      <c r="L22" s="82"/>
      <c r="M22" s="82">
        <f t="shared" si="1"/>
        <v>-26153</v>
      </c>
    </row>
    <row r="23" spans="1:17">
      <c r="A23" s="65">
        <v>45830</v>
      </c>
      <c r="B23" s="82">
        <f>+GETPIVOTDATA("GANANCIA",Ventas!$G$1,"FECHA",DATE(2026,6,22))</f>
        <v>6200</v>
      </c>
      <c r="C23" s="82"/>
      <c r="D23" s="82">
        <f t="shared" si="2"/>
        <v>6200</v>
      </c>
      <c r="F23" s="65">
        <v>45799</v>
      </c>
      <c r="G23" s="82">
        <v>0</v>
      </c>
      <c r="H23" s="151">
        <f t="shared" si="3"/>
        <v>32353</v>
      </c>
      <c r="I23" s="82"/>
      <c r="J23" s="82"/>
      <c r="K23" s="82"/>
      <c r="L23" s="82"/>
      <c r="M23" s="82">
        <f t="shared" si="1"/>
        <v>-32353</v>
      </c>
    </row>
    <row r="24" spans="1:17">
      <c r="A24" s="65">
        <v>45831</v>
      </c>
      <c r="B24" s="82">
        <f>+GETPIVOTDATA("GANANCIA",Ventas!$G$1,"FECHA",DATE(2026,6,23))</f>
        <v>4700</v>
      </c>
      <c r="C24" s="82"/>
      <c r="D24" s="82">
        <f t="shared" si="2"/>
        <v>4700</v>
      </c>
      <c r="F24" s="65">
        <v>45800</v>
      </c>
      <c r="G24" s="82"/>
      <c r="H24" s="151">
        <f>+D24+H23-3000-4000</f>
        <v>30053</v>
      </c>
      <c r="I24" s="82"/>
      <c r="J24" s="82"/>
      <c r="K24" s="82"/>
      <c r="L24" s="82"/>
      <c r="M24" s="82">
        <f t="shared" si="1"/>
        <v>-30053</v>
      </c>
    </row>
    <row r="25" spans="1:17">
      <c r="A25" s="65">
        <v>45832</v>
      </c>
      <c r="B25" s="82">
        <f>+GETPIVOTDATA("GANANCIA",Ventas!$G$1,"FECHA",DATE(2026,6,24))</f>
        <v>11900</v>
      </c>
      <c r="C25" s="82"/>
      <c r="D25" s="82">
        <f t="shared" si="2"/>
        <v>11900</v>
      </c>
      <c r="F25" s="65">
        <v>45801</v>
      </c>
      <c r="G25" s="82">
        <v>0</v>
      </c>
      <c r="H25" s="151">
        <f>+D25+H24-5000</f>
        <v>36953</v>
      </c>
      <c r="I25" s="82"/>
      <c r="J25" s="82"/>
      <c r="K25" s="82"/>
      <c r="L25" s="82"/>
      <c r="M25" s="82">
        <f t="shared" si="1"/>
        <v>-36953</v>
      </c>
    </row>
    <row r="26" spans="1:17">
      <c r="A26" s="65">
        <v>45833</v>
      </c>
      <c r="B26" s="82"/>
      <c r="C26" s="82"/>
      <c r="D26" s="82">
        <f t="shared" si="2"/>
        <v>0</v>
      </c>
      <c r="F26" s="65">
        <v>45802</v>
      </c>
      <c r="G26" s="82">
        <v>0</v>
      </c>
      <c r="H26" s="151">
        <f>+D26+H25-5000-10000-7293</f>
        <v>14660</v>
      </c>
      <c r="I26" s="82"/>
      <c r="J26" s="82"/>
      <c r="K26" s="82"/>
      <c r="L26" s="82"/>
      <c r="M26" s="82">
        <f t="shared" si="1"/>
        <v>-14660</v>
      </c>
      <c r="O26" s="104"/>
    </row>
    <row r="27" spans="1:17">
      <c r="A27" s="65">
        <v>45834</v>
      </c>
      <c r="B27" s="82"/>
      <c r="C27" s="82"/>
      <c r="D27" s="82">
        <f t="shared" si="2"/>
        <v>0</v>
      </c>
      <c r="F27" s="65">
        <v>45803</v>
      </c>
      <c r="G27" s="82">
        <v>0</v>
      </c>
      <c r="H27" s="151">
        <f>+D27+H26-7246</f>
        <v>7414</v>
      </c>
      <c r="I27" s="82"/>
      <c r="J27" s="82"/>
      <c r="K27" s="82"/>
      <c r="L27" s="82"/>
      <c r="M27" s="82">
        <f t="shared" si="1"/>
        <v>-7414</v>
      </c>
    </row>
    <row r="28" spans="1:17">
      <c r="A28" s="65">
        <v>45835</v>
      </c>
      <c r="B28" s="82"/>
      <c r="C28" s="82"/>
      <c r="D28" s="82">
        <f t="shared" si="2"/>
        <v>0</v>
      </c>
      <c r="F28" s="65">
        <v>45804</v>
      </c>
      <c r="G28" s="82">
        <v>0</v>
      </c>
      <c r="H28" s="151">
        <f t="shared" si="3"/>
        <v>7414</v>
      </c>
      <c r="I28" s="82"/>
      <c r="J28" s="82"/>
      <c r="K28" s="82"/>
      <c r="L28" s="82"/>
      <c r="M28" s="82">
        <f t="shared" si="1"/>
        <v>-7414</v>
      </c>
    </row>
    <row r="29" spans="1:17">
      <c r="A29" s="65">
        <v>45836</v>
      </c>
      <c r="B29" s="82">
        <f>+GETPIVOTDATA("GANANCIA",Ventas!$G$1,"FECHA",DATE(2026,6,28))</f>
        <v>7200</v>
      </c>
      <c r="C29" s="82"/>
      <c r="D29" s="82">
        <f t="shared" si="2"/>
        <v>7200</v>
      </c>
      <c r="F29" s="65">
        <v>45805</v>
      </c>
      <c r="G29" s="82">
        <v>0</v>
      </c>
      <c r="H29" s="151">
        <f t="shared" si="3"/>
        <v>14614</v>
      </c>
      <c r="I29" s="82"/>
      <c r="J29" s="82"/>
      <c r="K29" s="82"/>
      <c r="L29" s="82"/>
      <c r="M29" s="82">
        <f t="shared" si="1"/>
        <v>-14614</v>
      </c>
    </row>
    <row r="30" spans="1:17">
      <c r="A30" s="65">
        <v>45837</v>
      </c>
      <c r="B30" s="82">
        <f>+GETPIVOTDATA("GANANCIA",Ventas!$G$1,"FECHA",DATE(2026,6,29))</f>
        <v>26410</v>
      </c>
      <c r="C30" s="82"/>
      <c r="D30" s="82">
        <f t="shared" si="2"/>
        <v>26410</v>
      </c>
      <c r="F30" s="65">
        <v>45806</v>
      </c>
      <c r="G30" s="82">
        <v>0</v>
      </c>
      <c r="H30" s="151">
        <f>+D30+H29-20000</f>
        <v>21024</v>
      </c>
      <c r="I30" s="82"/>
      <c r="J30" s="82"/>
      <c r="K30" s="82"/>
      <c r="L30" s="82"/>
      <c r="M30" s="82">
        <f t="shared" si="1"/>
        <v>-21024</v>
      </c>
    </row>
    <row r="31" spans="1:17">
      <c r="A31" s="65">
        <v>45838</v>
      </c>
      <c r="B31" s="82">
        <f>+GETPIVOTDATA("GANANCIA",Ventas!$G$1,"FECHA",DATE(2026,6,30))</f>
        <v>6900</v>
      </c>
      <c r="C31" s="82"/>
      <c r="D31" s="82">
        <f t="shared" si="2"/>
        <v>6900</v>
      </c>
      <c r="F31" s="65">
        <v>45807</v>
      </c>
      <c r="G31" s="82">
        <v>0</v>
      </c>
      <c r="H31" s="151">
        <f>+D31+H30-2400</f>
        <v>25524</v>
      </c>
      <c r="I31" s="82"/>
      <c r="J31" s="82"/>
      <c r="K31" s="82"/>
      <c r="L31" s="82"/>
      <c r="M31" s="82">
        <f t="shared" si="1"/>
        <v>-25524</v>
      </c>
    </row>
    <row r="32" spans="1:17">
      <c r="A32" s="65">
        <v>45808</v>
      </c>
      <c r="B32" s="82"/>
      <c r="C32" s="82"/>
      <c r="D32" s="82">
        <f t="shared" si="2"/>
        <v>0</v>
      </c>
      <c r="F32" s="65">
        <v>45808</v>
      </c>
      <c r="G32" s="82">
        <v>0</v>
      </c>
      <c r="H32" s="151">
        <f t="shared" si="3"/>
        <v>25524</v>
      </c>
      <c r="I32" s="82"/>
      <c r="J32" s="82"/>
      <c r="K32" s="82"/>
      <c r="L32" s="82"/>
      <c r="M32" s="82">
        <f t="shared" si="1"/>
        <v>-25524</v>
      </c>
    </row>
    <row r="33" spans="1:7">
      <c r="A33" s="65"/>
      <c r="B33" s="82"/>
      <c r="C33" s="104"/>
      <c r="D33" s="104">
        <f>+D2+D3+D4+D5+D6+D7+D8+D9+D10+D11+D12+D13+D14+D15+D16+D17+D18+D19+D20+D21+D22+D23+D24+D25+D26+D27+D28+D29+D30+D31+D32</f>
        <v>417320</v>
      </c>
      <c r="G33" s="82">
        <v>0</v>
      </c>
    </row>
    <row r="34" spans="1:7">
      <c r="B34" s="82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17A37-4726-4D6A-AEF2-9656EFFF9624}">
  <dimension ref="A1:T34"/>
  <sheetViews>
    <sheetView workbookViewId="0">
      <selection activeCell="B43" sqref="B43"/>
    </sheetView>
  </sheetViews>
  <sheetFormatPr defaultColWidth="10.7109375" defaultRowHeight="12.95"/>
  <cols>
    <col min="2" max="2" width="11.85546875" bestFit="1" customWidth="1"/>
    <col min="3" max="3" width="10.28515625" bestFit="1" customWidth="1"/>
    <col min="4" max="4" width="16.85546875" bestFit="1" customWidth="1"/>
    <col min="7" max="7" width="13" bestFit="1" customWidth="1"/>
    <col min="8" max="8" width="13.42578125" customWidth="1"/>
    <col min="9" max="9" width="11.42578125" bestFit="1" customWidth="1"/>
    <col min="12" max="12" width="11.42578125" bestFit="1" customWidth="1"/>
    <col min="13" max="13" width="13" bestFit="1" customWidth="1"/>
    <col min="15" max="15" width="13" bestFit="1" customWidth="1"/>
    <col min="16" max="16" width="11.85546875" bestFit="1" customWidth="1"/>
    <col min="18" max="18" width="14.85546875" bestFit="1" customWidth="1"/>
    <col min="19" max="19" width="11.42578125" bestFit="1" customWidth="1"/>
  </cols>
  <sheetData>
    <row r="1" spans="1:20" ht="27.95">
      <c r="A1" s="48" t="s">
        <v>1352</v>
      </c>
      <c r="B1" s="48" t="s">
        <v>1356</v>
      </c>
      <c r="C1" s="48" t="s">
        <v>1411</v>
      </c>
      <c r="D1" s="49" t="s">
        <v>1412</v>
      </c>
      <c r="E1" s="95"/>
      <c r="F1" s="48" t="s">
        <v>1352</v>
      </c>
      <c r="G1" s="48" t="s">
        <v>1413</v>
      </c>
      <c r="H1" s="150" t="s">
        <v>1414</v>
      </c>
      <c r="I1" s="96" t="s">
        <v>1415</v>
      </c>
      <c r="J1" s="85" t="s">
        <v>1416</v>
      </c>
      <c r="K1" s="85" t="s">
        <v>571</v>
      </c>
      <c r="L1" s="85" t="s">
        <v>1417</v>
      </c>
      <c r="M1" s="48" t="s">
        <v>1418</v>
      </c>
    </row>
    <row r="2" spans="1:20">
      <c r="A2" s="65">
        <v>45870</v>
      </c>
      <c r="B2" s="82" t="e">
        <f>+GETPIVOTDATA("GANANCIA",Ventas!$G$1,"FECHA",DATE(2025,8,1))</f>
        <v>#REF!</v>
      </c>
      <c r="C2" s="82"/>
      <c r="D2" s="82" t="e">
        <f>+B2-C2+'P&amp;G JULIO'!H32</f>
        <v>#REF!</v>
      </c>
      <c r="F2" s="65">
        <v>45870</v>
      </c>
      <c r="G2" s="82"/>
      <c r="H2" s="151" t="e">
        <f>+D2</f>
        <v>#REF!</v>
      </c>
      <c r="J2" s="82">
        <v>50000</v>
      </c>
      <c r="K2" s="82"/>
      <c r="L2" s="82"/>
      <c r="M2" s="82" t="e">
        <f>+G2-H2-J2-I2-K2-L2</f>
        <v>#REF!</v>
      </c>
      <c r="O2" s="104"/>
    </row>
    <row r="3" spans="1:20">
      <c r="A3" s="65">
        <v>45871</v>
      </c>
      <c r="B3" s="82" t="e">
        <f>+GETPIVOTDATA("GANANCIA",Ventas!$G$1,"FECHA",DATE(2025,8,2))</f>
        <v>#REF!</v>
      </c>
      <c r="C3" s="82"/>
      <c r="D3" s="82" t="e">
        <f t="shared" ref="D3:D32" si="0">+B3-C3</f>
        <v>#REF!</v>
      </c>
      <c r="F3" s="65">
        <v>45871</v>
      </c>
      <c r="G3" s="82">
        <v>298850</v>
      </c>
      <c r="H3" s="151" t="e">
        <f>+D3+H2+12000</f>
        <v>#REF!</v>
      </c>
      <c r="I3" s="82"/>
      <c r="J3" s="82">
        <v>50000</v>
      </c>
      <c r="K3" s="82"/>
      <c r="L3" s="82"/>
      <c r="M3" s="82" t="e">
        <f t="shared" ref="M3:M32" si="1">+G3-H3-J3-I3-K3-L3</f>
        <v>#REF!</v>
      </c>
      <c r="R3">
        <v>180000</v>
      </c>
    </row>
    <row r="4" spans="1:20">
      <c r="A4" s="65">
        <v>45872</v>
      </c>
      <c r="B4" s="82" t="e">
        <f>+GETPIVOTDATA("GANANCIA",Ventas!$G$1,"FECHA",DATE(2025,8,3))</f>
        <v>#REF!</v>
      </c>
      <c r="C4" s="82"/>
      <c r="D4" s="82" t="e">
        <f t="shared" si="0"/>
        <v>#REF!</v>
      </c>
      <c r="F4" s="65">
        <v>45872</v>
      </c>
      <c r="G4" s="82">
        <v>335162</v>
      </c>
      <c r="H4" s="151" t="e">
        <f>+D4+H3-8200</f>
        <v>#REF!</v>
      </c>
      <c r="I4" s="82"/>
      <c r="J4" s="82">
        <v>50000</v>
      </c>
      <c r="K4" s="82"/>
      <c r="L4" s="82"/>
      <c r="M4" s="82" t="e">
        <f t="shared" si="1"/>
        <v>#REF!</v>
      </c>
      <c r="R4">
        <v>410000</v>
      </c>
    </row>
    <row r="5" spans="1:20">
      <c r="A5" s="65">
        <v>45873</v>
      </c>
      <c r="B5" s="82">
        <f>+Ventas!H188</f>
        <v>0</v>
      </c>
      <c r="C5" s="82"/>
      <c r="D5" s="82">
        <f t="shared" si="0"/>
        <v>0</v>
      </c>
      <c r="F5" s="65">
        <v>45873</v>
      </c>
      <c r="G5" s="82">
        <v>0</v>
      </c>
      <c r="H5" s="151" t="e">
        <f t="shared" ref="H5:H32" si="2">+D5+H4</f>
        <v>#REF!</v>
      </c>
      <c r="I5" s="82"/>
      <c r="J5" s="82">
        <v>50000</v>
      </c>
      <c r="K5" s="82"/>
      <c r="L5" s="82"/>
      <c r="M5" s="82" t="e">
        <f t="shared" si="1"/>
        <v>#REF!</v>
      </c>
      <c r="O5" s="104"/>
      <c r="R5">
        <v>190000</v>
      </c>
    </row>
    <row r="6" spans="1:20">
      <c r="A6" s="65">
        <v>45874</v>
      </c>
      <c r="B6" s="82"/>
      <c r="C6" s="82"/>
      <c r="D6" s="82">
        <f t="shared" si="0"/>
        <v>0</v>
      </c>
      <c r="F6" s="65">
        <v>45874</v>
      </c>
      <c r="G6" s="82">
        <v>0</v>
      </c>
      <c r="H6" s="151" t="e">
        <f>+D6+H5-180000</f>
        <v>#REF!</v>
      </c>
      <c r="I6" s="82"/>
      <c r="J6" s="82">
        <v>50000</v>
      </c>
      <c r="K6" s="82"/>
      <c r="L6" s="82"/>
      <c r="M6" s="82" t="e">
        <f t="shared" si="1"/>
        <v>#REF!</v>
      </c>
      <c r="O6" s="104"/>
      <c r="R6">
        <f>+R3+R4+R5</f>
        <v>780000</v>
      </c>
      <c r="S6">
        <f>+R6-880000+180000</f>
        <v>80000</v>
      </c>
    </row>
    <row r="7" spans="1:20">
      <c r="A7" s="65">
        <v>45875</v>
      </c>
      <c r="B7" s="82" t="e">
        <f>+GETPIVOTDATA("GANANCIA",Ventas!$G$1,"FECHA",DATE(2025,8,6))</f>
        <v>#REF!</v>
      </c>
      <c r="C7" s="82"/>
      <c r="D7" s="82" t="e">
        <f t="shared" si="0"/>
        <v>#REF!</v>
      </c>
      <c r="F7" s="65">
        <v>45875</v>
      </c>
      <c r="G7" s="82">
        <v>0</v>
      </c>
      <c r="H7" s="151" t="e">
        <f>+D7+H6-17697</f>
        <v>#REF!</v>
      </c>
      <c r="I7" s="82"/>
      <c r="J7" s="82">
        <v>50000</v>
      </c>
      <c r="K7" s="82"/>
      <c r="L7" s="82"/>
      <c r="M7" s="82" t="e">
        <f t="shared" si="1"/>
        <v>#REF!</v>
      </c>
    </row>
    <row r="8" spans="1:20">
      <c r="A8" s="65">
        <v>45876</v>
      </c>
      <c r="B8" s="82" t="e">
        <f>+GETPIVOTDATA("GANANCIA",Ventas!$G$1,"FECHA",DATE(2025,8,7))</f>
        <v>#REF!</v>
      </c>
      <c r="C8" s="82"/>
      <c r="D8" s="82" t="e">
        <f t="shared" si="0"/>
        <v>#REF!</v>
      </c>
      <c r="F8" s="65">
        <v>45876</v>
      </c>
      <c r="G8" s="82">
        <v>269345</v>
      </c>
      <c r="H8" s="151" t="e">
        <f>+D8+H7+6000</f>
        <v>#REF!</v>
      </c>
      <c r="I8" s="82"/>
      <c r="J8" s="82"/>
      <c r="K8" s="82"/>
      <c r="L8" s="82"/>
      <c r="M8" s="82" t="e">
        <f t="shared" si="1"/>
        <v>#REF!</v>
      </c>
      <c r="O8" s="104"/>
    </row>
    <row r="9" spans="1:20">
      <c r="A9" s="65">
        <v>45877</v>
      </c>
      <c r="B9" s="82" t="e">
        <f>+GETPIVOTDATA("GANANCIA",Ventas!$G$1,"FECHA",DATE(2024,8,8))</f>
        <v>#REF!</v>
      </c>
      <c r="C9" s="82"/>
      <c r="D9" s="82" t="e">
        <f t="shared" si="0"/>
        <v>#REF!</v>
      </c>
      <c r="F9" s="65">
        <v>45877</v>
      </c>
      <c r="G9" s="82">
        <v>0</v>
      </c>
      <c r="H9" s="151" t="e">
        <f t="shared" si="2"/>
        <v>#REF!</v>
      </c>
      <c r="I9" s="82"/>
      <c r="J9" s="82"/>
      <c r="K9" s="82"/>
      <c r="L9" s="82"/>
      <c r="M9" s="82" t="e">
        <f t="shared" si="1"/>
        <v>#REF!</v>
      </c>
      <c r="O9" s="104"/>
    </row>
    <row r="10" spans="1:20">
      <c r="A10" s="65">
        <v>45878</v>
      </c>
      <c r="B10" s="82" t="e">
        <f>+GETPIVOTDATA("GANANCIA",Ventas!$G$1,"FECHA",DATE(2024,8,9))</f>
        <v>#REF!</v>
      </c>
      <c r="C10" s="82"/>
      <c r="D10" s="82" t="e">
        <f t="shared" si="0"/>
        <v>#REF!</v>
      </c>
      <c r="F10" s="65">
        <v>45878</v>
      </c>
      <c r="G10" s="82">
        <v>0</v>
      </c>
      <c r="H10" s="151" t="e">
        <f t="shared" si="2"/>
        <v>#REF!</v>
      </c>
      <c r="I10" s="82"/>
      <c r="J10" s="82"/>
      <c r="K10" s="82"/>
      <c r="L10" s="82"/>
      <c r="M10" s="82" t="e">
        <f t="shared" si="1"/>
        <v>#REF!</v>
      </c>
    </row>
    <row r="11" spans="1:20">
      <c r="A11" s="65">
        <v>45879</v>
      </c>
      <c r="B11" s="82" t="e">
        <f>+GETPIVOTDATA("GANANCIA",Ventas!$G$1,"FECHA",DATE(2025,8,10))</f>
        <v>#REF!</v>
      </c>
      <c r="C11" s="82"/>
      <c r="D11" s="82" t="e">
        <f t="shared" si="0"/>
        <v>#REF!</v>
      </c>
      <c r="F11" s="65">
        <v>45879</v>
      </c>
      <c r="G11" s="82">
        <v>0</v>
      </c>
      <c r="H11" s="151" t="e">
        <f>+D11+H10-21000</f>
        <v>#REF!</v>
      </c>
      <c r="I11" s="82"/>
      <c r="J11" s="82"/>
      <c r="K11" s="82"/>
      <c r="L11" s="82"/>
      <c r="M11" s="82" t="e">
        <f t="shared" si="1"/>
        <v>#REF!</v>
      </c>
      <c r="O11" s="104"/>
      <c r="P11" t="s">
        <v>1538</v>
      </c>
      <c r="Q11" t="s">
        <v>1539</v>
      </c>
      <c r="R11" t="s">
        <v>1540</v>
      </c>
    </row>
    <row r="12" spans="1:20">
      <c r="A12" s="65">
        <v>45880</v>
      </c>
      <c r="B12" s="82" t="e">
        <f>+GETPIVOTDATA("GANANCIA",Ventas!$G$1,"FECHA",DATE(2025,8,11))</f>
        <v>#REF!</v>
      </c>
      <c r="C12" s="82"/>
      <c r="D12" s="82" t="e">
        <f t="shared" si="0"/>
        <v>#REF!</v>
      </c>
      <c r="F12" s="65">
        <v>45880</v>
      </c>
      <c r="G12" s="82">
        <v>0</v>
      </c>
      <c r="H12" s="151" t="e">
        <f t="shared" si="2"/>
        <v>#REF!</v>
      </c>
      <c r="I12" s="82"/>
      <c r="J12" s="82"/>
      <c r="K12" s="82"/>
      <c r="L12" s="82"/>
      <c r="M12" s="82" t="e">
        <f t="shared" si="1"/>
        <v>#REF!</v>
      </c>
      <c r="O12" s="104" t="s">
        <v>1541</v>
      </c>
      <c r="P12" s="104"/>
      <c r="Q12" s="104">
        <v>430000</v>
      </c>
      <c r="R12" s="104">
        <v>430000</v>
      </c>
    </row>
    <row r="13" spans="1:20">
      <c r="A13" s="65">
        <v>45881</v>
      </c>
      <c r="B13" s="82"/>
      <c r="C13" s="82"/>
      <c r="D13" s="82">
        <f t="shared" si="0"/>
        <v>0</v>
      </c>
      <c r="F13" s="65">
        <v>45881</v>
      </c>
      <c r="G13" s="82">
        <v>0</v>
      </c>
      <c r="H13" s="151" t="e">
        <f t="shared" si="2"/>
        <v>#REF!</v>
      </c>
      <c r="I13" s="82"/>
      <c r="J13" s="82"/>
      <c r="K13" s="82"/>
      <c r="L13" s="82"/>
      <c r="M13" s="82" t="e">
        <f t="shared" si="1"/>
        <v>#REF!</v>
      </c>
      <c r="O13" s="104" t="s">
        <v>1542</v>
      </c>
      <c r="P13" s="104">
        <v>160000</v>
      </c>
      <c r="Q13" s="104">
        <v>170000</v>
      </c>
      <c r="R13" s="104">
        <v>161209</v>
      </c>
    </row>
    <row r="14" spans="1:20">
      <c r="A14" s="65">
        <v>45882</v>
      </c>
      <c r="B14" s="82" t="e">
        <f>+GETPIVOTDATA("GANANCIA",Ventas!$G$1,"FECHA",DATE(2025,8,13))</f>
        <v>#REF!</v>
      </c>
      <c r="C14" s="82"/>
      <c r="D14" s="82" t="e">
        <f t="shared" si="0"/>
        <v>#REF!</v>
      </c>
      <c r="F14" s="65">
        <v>45882</v>
      </c>
      <c r="G14" s="82">
        <v>0</v>
      </c>
      <c r="H14" s="151" t="e">
        <f t="shared" si="2"/>
        <v>#REF!</v>
      </c>
      <c r="I14" s="82"/>
      <c r="J14" s="82"/>
      <c r="K14" s="82"/>
      <c r="L14" s="82"/>
      <c r="M14" s="82" t="e">
        <f t="shared" si="1"/>
        <v>#REF!</v>
      </c>
      <c r="O14" s="104" t="s">
        <v>1543</v>
      </c>
      <c r="P14" s="104">
        <v>152000</v>
      </c>
      <c r="Q14" s="104">
        <v>300000</v>
      </c>
      <c r="R14" s="104">
        <v>157178</v>
      </c>
    </row>
    <row r="15" spans="1:20">
      <c r="A15" s="65">
        <v>45883</v>
      </c>
      <c r="B15" s="82" t="e">
        <f>+GETPIVOTDATA("GANANCIA",Ventas!$G$1,"FECHA",DATE(2025,8,14))</f>
        <v>#REF!</v>
      </c>
      <c r="C15" s="82"/>
      <c r="D15" s="82" t="e">
        <f t="shared" si="0"/>
        <v>#REF!</v>
      </c>
      <c r="F15" s="65">
        <v>45883</v>
      </c>
      <c r="G15" s="82">
        <v>0</v>
      </c>
      <c r="H15" s="151" t="e">
        <f t="shared" si="2"/>
        <v>#REF!</v>
      </c>
      <c r="I15" s="82"/>
      <c r="J15" s="82"/>
      <c r="K15" s="82"/>
      <c r="L15" s="82"/>
      <c r="M15" s="82" t="e">
        <f t="shared" si="1"/>
        <v>#REF!</v>
      </c>
      <c r="O15" s="104" t="s">
        <v>1544</v>
      </c>
      <c r="P15" s="104">
        <v>540000</v>
      </c>
      <c r="Q15" s="104">
        <v>580000</v>
      </c>
      <c r="R15" s="104">
        <v>540000</v>
      </c>
    </row>
    <row r="16" spans="1:20">
      <c r="A16" s="65">
        <v>45884</v>
      </c>
      <c r="B16" s="82" t="e">
        <f>+GETPIVOTDATA("GANANCIA",Ventas!$G$1,"FECHA",DATE(2025,8,15))</f>
        <v>#REF!</v>
      </c>
      <c r="C16" s="82"/>
      <c r="D16" s="82" t="e">
        <f t="shared" si="0"/>
        <v>#REF!</v>
      </c>
      <c r="F16" s="65">
        <v>45884</v>
      </c>
      <c r="G16" s="82">
        <v>480565</v>
      </c>
      <c r="H16" s="151" t="e">
        <f>+D16+H15-9000-17000</f>
        <v>#REF!</v>
      </c>
      <c r="I16" s="82"/>
      <c r="J16" s="82"/>
      <c r="K16" s="82"/>
      <c r="L16" s="82"/>
      <c r="M16" s="82" t="e">
        <f t="shared" si="1"/>
        <v>#REF!</v>
      </c>
      <c r="R16" t="s">
        <v>1545</v>
      </c>
      <c r="S16" s="104" t="s">
        <v>1546</v>
      </c>
      <c r="T16" t="s">
        <v>1547</v>
      </c>
    </row>
    <row r="17" spans="1:20">
      <c r="A17" s="65">
        <v>45885</v>
      </c>
      <c r="B17" s="82" t="e">
        <f>+GETPIVOTDATA("GANANCIA",Ventas!$G$1,"FECHA",DATE(2025,8,16))</f>
        <v>#REF!</v>
      </c>
      <c r="C17" s="82"/>
      <c r="D17" s="82" t="e">
        <f t="shared" si="0"/>
        <v>#REF!</v>
      </c>
      <c r="F17" s="65">
        <v>45885</v>
      </c>
      <c r="G17" s="82">
        <v>588615</v>
      </c>
      <c r="H17" s="151" t="e">
        <f>+D17+H16-35250</f>
        <v>#REF!</v>
      </c>
      <c r="I17" s="82"/>
      <c r="J17" s="82"/>
      <c r="K17" s="82"/>
      <c r="L17" s="82"/>
      <c r="M17" s="82" t="e">
        <f t="shared" si="1"/>
        <v>#REF!</v>
      </c>
      <c r="O17" s="104"/>
      <c r="P17" s="104"/>
      <c r="R17" s="104">
        <f>+R12+R13+R14+R15</f>
        <v>1288387</v>
      </c>
      <c r="S17" s="104" t="e">
        <f>+H21+100000</f>
        <v>#REF!</v>
      </c>
      <c r="T17" s="104">
        <v>300000</v>
      </c>
    </row>
    <row r="18" spans="1:20">
      <c r="A18" s="65">
        <v>45886</v>
      </c>
      <c r="B18" s="82" t="e">
        <f>+GETPIVOTDATA("GANANCIA",Ventas!$G$1,"FECHA",DATE(2025,8,17))</f>
        <v>#REF!</v>
      </c>
      <c r="C18" s="82"/>
      <c r="D18" s="82" t="e">
        <f t="shared" si="0"/>
        <v>#REF!</v>
      </c>
      <c r="F18" s="65">
        <v>45886</v>
      </c>
      <c r="G18" s="82">
        <v>0</v>
      </c>
      <c r="H18" s="151" t="e">
        <f>+D18+H17-100000-12900-30000</f>
        <v>#REF!</v>
      </c>
      <c r="I18" s="82"/>
      <c r="J18" s="82"/>
      <c r="K18" s="82"/>
      <c r="L18" s="82"/>
      <c r="M18" s="82" t="e">
        <f t="shared" si="1"/>
        <v>#REF!</v>
      </c>
      <c r="O18" s="104"/>
      <c r="P18" s="104"/>
      <c r="Q18" s="104"/>
      <c r="R18" s="104" t="s">
        <v>1548</v>
      </c>
      <c r="S18" t="s">
        <v>1549</v>
      </c>
    </row>
    <row r="19" spans="1:20">
      <c r="A19" s="65">
        <v>45887</v>
      </c>
      <c r="B19" s="82" t="e">
        <f>+GETPIVOTDATA("GANANCIA",Ventas!$G$1,"FECHA",DATE(2025,8,18))</f>
        <v>#REF!</v>
      </c>
      <c r="C19" s="82"/>
      <c r="D19" s="82" t="e">
        <f t="shared" si="0"/>
        <v>#REF!</v>
      </c>
      <c r="F19" s="65">
        <v>45887</v>
      </c>
      <c r="G19" s="82">
        <v>0</v>
      </c>
      <c r="H19" s="151" t="e">
        <f t="shared" si="2"/>
        <v>#REF!</v>
      </c>
      <c r="I19" s="82"/>
      <c r="J19" s="82"/>
      <c r="K19" s="82"/>
      <c r="L19" s="82">
        <v>0</v>
      </c>
      <c r="M19" s="82" t="e">
        <f t="shared" si="1"/>
        <v>#REF!</v>
      </c>
      <c r="O19" s="104"/>
      <c r="P19" s="104"/>
      <c r="R19" s="104" t="e">
        <f>+R17-S19</f>
        <v>#REF!</v>
      </c>
      <c r="S19" s="104" t="e">
        <f>+S17+T17</f>
        <v>#REF!</v>
      </c>
    </row>
    <row r="20" spans="1:20">
      <c r="A20" s="65">
        <v>45888</v>
      </c>
      <c r="B20" s="82">
        <f>+Ventas!H201</f>
        <v>0</v>
      </c>
      <c r="C20" s="82"/>
      <c r="D20" s="82">
        <f t="shared" si="0"/>
        <v>0</v>
      </c>
      <c r="F20" s="65">
        <v>45888</v>
      </c>
      <c r="G20" s="82">
        <v>0</v>
      </c>
      <c r="H20" s="151" t="e">
        <f>+D20+H19+73000</f>
        <v>#REF!</v>
      </c>
      <c r="I20" s="82"/>
      <c r="J20" s="82"/>
      <c r="K20" s="82"/>
      <c r="L20" s="82"/>
      <c r="M20" s="82" t="e">
        <f t="shared" si="1"/>
        <v>#REF!</v>
      </c>
      <c r="O20" s="104"/>
      <c r="P20" s="104"/>
      <c r="S20" t="s">
        <v>1550</v>
      </c>
    </row>
    <row r="21" spans="1:20">
      <c r="A21" s="65">
        <v>45889</v>
      </c>
      <c r="B21" s="82" t="e">
        <f>+GETPIVOTDATA("GANANCIA",Ventas!$G$1,"FECHA",DATE(2025,8,20))</f>
        <v>#REF!</v>
      </c>
      <c r="C21" s="82"/>
      <c r="D21" s="82" t="e">
        <f t="shared" si="0"/>
        <v>#REF!</v>
      </c>
      <c r="F21" s="65">
        <v>45889</v>
      </c>
      <c r="G21" s="82">
        <v>574675</v>
      </c>
      <c r="H21" s="151" t="e">
        <f t="shared" si="2"/>
        <v>#REF!</v>
      </c>
      <c r="I21" s="82"/>
      <c r="J21" s="82"/>
      <c r="K21" s="82"/>
      <c r="L21" s="82"/>
      <c r="M21" s="82" t="e">
        <f t="shared" si="1"/>
        <v>#REF!</v>
      </c>
      <c r="P21" s="104"/>
      <c r="S21" s="104" t="e">
        <f>+T17+R19</f>
        <v>#REF!</v>
      </c>
      <c r="T21" s="104"/>
    </row>
    <row r="22" spans="1:20">
      <c r="A22" s="65">
        <v>45890</v>
      </c>
      <c r="B22" s="82"/>
      <c r="C22" s="82"/>
      <c r="D22" s="82">
        <f t="shared" si="0"/>
        <v>0</v>
      </c>
      <c r="F22" s="65">
        <v>45890</v>
      </c>
      <c r="G22" s="82">
        <v>0</v>
      </c>
      <c r="H22" s="151" t="e">
        <f>+D22+H21-20000</f>
        <v>#REF!</v>
      </c>
      <c r="I22" s="82"/>
      <c r="J22" s="82"/>
      <c r="K22" s="82"/>
      <c r="L22" s="82"/>
      <c r="M22" s="82" t="e">
        <f t="shared" si="1"/>
        <v>#REF!</v>
      </c>
    </row>
    <row r="23" spans="1:20">
      <c r="A23" s="65">
        <v>45891</v>
      </c>
      <c r="B23" s="82">
        <f>+Ventas!H203</f>
        <v>0</v>
      </c>
      <c r="C23" s="82"/>
      <c r="D23" s="82">
        <f t="shared" si="0"/>
        <v>0</v>
      </c>
      <c r="F23" s="65">
        <v>45891</v>
      </c>
      <c r="G23" s="82">
        <v>0</v>
      </c>
      <c r="H23" s="151" t="e">
        <f t="shared" si="2"/>
        <v>#REF!</v>
      </c>
      <c r="I23" s="82"/>
      <c r="J23" s="82"/>
      <c r="K23" s="82"/>
      <c r="L23" s="82"/>
      <c r="M23" s="82" t="e">
        <f t="shared" si="1"/>
        <v>#REF!</v>
      </c>
      <c r="O23" t="s">
        <v>1551</v>
      </c>
      <c r="P23" s="104">
        <v>540043</v>
      </c>
      <c r="R23" t="s">
        <v>1552</v>
      </c>
      <c r="S23" s="104">
        <v>880000</v>
      </c>
    </row>
    <row r="24" spans="1:20">
      <c r="A24" s="65">
        <v>45892</v>
      </c>
      <c r="B24" s="82">
        <f>+Ventas!H204</f>
        <v>0</v>
      </c>
      <c r="C24" s="82"/>
      <c r="D24" s="82">
        <f t="shared" si="0"/>
        <v>0</v>
      </c>
      <c r="F24" s="65">
        <v>45892</v>
      </c>
      <c r="G24" s="82">
        <v>600338</v>
      </c>
      <c r="H24" s="151" t="e">
        <f t="shared" si="2"/>
        <v>#REF!</v>
      </c>
      <c r="I24" s="82"/>
      <c r="J24" s="82"/>
      <c r="K24" s="82"/>
      <c r="L24" s="82"/>
      <c r="M24" s="82" t="e">
        <f t="shared" si="1"/>
        <v>#REF!</v>
      </c>
      <c r="O24" s="104" t="s">
        <v>1541</v>
      </c>
      <c r="P24" s="104">
        <v>430000</v>
      </c>
    </row>
    <row r="25" spans="1:20">
      <c r="A25" s="65">
        <v>45893</v>
      </c>
      <c r="B25" s="82"/>
      <c r="C25" s="82"/>
      <c r="D25" s="82">
        <f t="shared" si="0"/>
        <v>0</v>
      </c>
      <c r="F25" s="65">
        <v>45893</v>
      </c>
      <c r="G25" s="82">
        <v>0</v>
      </c>
      <c r="H25" s="151" t="e">
        <f>+D25+H24-110000</f>
        <v>#REF!</v>
      </c>
      <c r="I25" s="82"/>
      <c r="J25" s="82"/>
      <c r="K25" s="82"/>
      <c r="L25" s="82"/>
      <c r="M25" s="82" t="e">
        <f t="shared" si="1"/>
        <v>#REF!</v>
      </c>
      <c r="O25" s="104" t="s">
        <v>1542</v>
      </c>
      <c r="P25" s="104">
        <v>160000</v>
      </c>
      <c r="R25" t="s">
        <v>1553</v>
      </c>
      <c r="S25" s="104">
        <f>+S23-S26-S27</f>
        <v>0</v>
      </c>
    </row>
    <row r="26" spans="1:20">
      <c r="A26" s="65">
        <v>45894</v>
      </c>
      <c r="B26" s="82">
        <f>+Ventas!H205</f>
        <v>0</v>
      </c>
      <c r="C26" s="82"/>
      <c r="D26" s="82">
        <f t="shared" si="0"/>
        <v>0</v>
      </c>
      <c r="F26" s="65">
        <v>45894</v>
      </c>
      <c r="G26" s="82">
        <v>0</v>
      </c>
      <c r="H26" s="151" t="e">
        <f>+D26+H25-30000+80000-6500</f>
        <v>#REF!</v>
      </c>
      <c r="I26" s="82"/>
      <c r="J26" s="82"/>
      <c r="K26" s="82"/>
      <c r="L26" s="82"/>
      <c r="M26" s="82" t="e">
        <f t="shared" si="1"/>
        <v>#REF!</v>
      </c>
      <c r="O26" s="104" t="s">
        <v>1543</v>
      </c>
      <c r="P26" s="104">
        <v>152000</v>
      </c>
      <c r="R26" t="s">
        <v>1554</v>
      </c>
      <c r="S26" s="104">
        <v>780000</v>
      </c>
    </row>
    <row r="27" spans="1:20">
      <c r="A27" s="65">
        <v>45895</v>
      </c>
      <c r="B27" s="82">
        <f>+Ventas!H206</f>
        <v>0</v>
      </c>
      <c r="C27" s="82"/>
      <c r="D27" s="82">
        <f t="shared" si="0"/>
        <v>0</v>
      </c>
      <c r="F27" s="65">
        <v>45895</v>
      </c>
      <c r="G27" s="82">
        <v>0</v>
      </c>
      <c r="H27" s="151" t="e">
        <f t="shared" si="2"/>
        <v>#REF!</v>
      </c>
      <c r="I27" s="82"/>
      <c r="J27" s="82"/>
      <c r="K27" s="82"/>
      <c r="L27" s="82"/>
      <c r="M27" s="82" t="e">
        <f t="shared" si="1"/>
        <v>#REF!</v>
      </c>
      <c r="P27" s="104">
        <f>+P23+P24+P25+P26</f>
        <v>1282043</v>
      </c>
      <c r="R27" t="s">
        <v>1555</v>
      </c>
      <c r="S27" s="104">
        <v>100000</v>
      </c>
      <c r="T27" s="65">
        <v>45886</v>
      </c>
    </row>
    <row r="28" spans="1:20">
      <c r="A28" s="65">
        <v>45896</v>
      </c>
      <c r="B28" s="82" t="e">
        <f>+GETPIVOTDATA("GANANCIA",Ventas!$G$1,"FECHA",DATE(2025,8,27))</f>
        <v>#REF!</v>
      </c>
      <c r="C28" s="82"/>
      <c r="D28" s="82" t="e">
        <f t="shared" si="0"/>
        <v>#REF!</v>
      </c>
      <c r="F28" s="65">
        <v>45896</v>
      </c>
      <c r="G28" s="82">
        <v>0</v>
      </c>
      <c r="H28" s="151" t="e">
        <f t="shared" si="2"/>
        <v>#REF!</v>
      </c>
      <c r="I28" s="82"/>
      <c r="J28" s="82"/>
      <c r="K28" s="82"/>
      <c r="L28" s="82"/>
      <c r="M28" s="82" t="e">
        <f t="shared" si="1"/>
        <v>#REF!</v>
      </c>
    </row>
    <row r="29" spans="1:20">
      <c r="A29" s="65">
        <v>45897</v>
      </c>
      <c r="B29" s="82">
        <f>+Ventas!H207</f>
        <v>0</v>
      </c>
      <c r="C29" s="82"/>
      <c r="D29" s="82">
        <f t="shared" si="0"/>
        <v>0</v>
      </c>
      <c r="F29" s="65">
        <v>45897</v>
      </c>
      <c r="G29" s="82">
        <v>0</v>
      </c>
      <c r="H29" s="151" t="e">
        <f>+D29+H28-8800</f>
        <v>#REF!</v>
      </c>
      <c r="I29" s="82"/>
      <c r="J29" s="82"/>
      <c r="K29" s="82"/>
      <c r="L29" s="82"/>
      <c r="M29" s="82" t="e">
        <f t="shared" si="1"/>
        <v>#REF!</v>
      </c>
    </row>
    <row r="30" spans="1:20">
      <c r="A30" s="65">
        <v>45898</v>
      </c>
      <c r="B30" s="82" t="e">
        <f>+GETPIVOTDATA("GANANCIA",Ventas!$G$1,"FECHA",DATE(2025,8,29))</f>
        <v>#REF!</v>
      </c>
      <c r="C30" s="82"/>
      <c r="D30" s="82" t="e">
        <f t="shared" si="0"/>
        <v>#REF!</v>
      </c>
      <c r="F30" s="65">
        <v>45898</v>
      </c>
      <c r="G30" s="82">
        <v>0</v>
      </c>
      <c r="H30" s="151" t="e">
        <f>+D30+H29-6000-8200</f>
        <v>#REF!</v>
      </c>
      <c r="I30" s="82"/>
      <c r="J30" s="82"/>
      <c r="K30" s="82"/>
      <c r="L30" s="82"/>
      <c r="M30" s="82" t="e">
        <f t="shared" si="1"/>
        <v>#REF!</v>
      </c>
    </row>
    <row r="31" spans="1:20">
      <c r="A31" s="65">
        <v>45899</v>
      </c>
      <c r="B31" s="82"/>
      <c r="C31" s="82"/>
      <c r="D31" s="82">
        <f t="shared" si="0"/>
        <v>0</v>
      </c>
      <c r="F31" s="65">
        <v>45899</v>
      </c>
      <c r="G31" s="82">
        <v>0</v>
      </c>
      <c r="H31" s="151" t="e">
        <f>+D31+H30-105000</f>
        <v>#REF!</v>
      </c>
      <c r="I31" s="82"/>
      <c r="J31" s="82"/>
      <c r="K31" s="82"/>
      <c r="L31" s="82"/>
      <c r="M31" s="82" t="e">
        <f t="shared" si="1"/>
        <v>#REF!</v>
      </c>
    </row>
    <row r="32" spans="1:20">
      <c r="A32" s="65">
        <v>45900</v>
      </c>
      <c r="B32" s="82" t="e">
        <f>+GETPIVOTDATA("GANANCIA",Ventas!$G$1,"FECHA",DATE(2025,8,31))</f>
        <v>#REF!</v>
      </c>
      <c r="C32" s="82"/>
      <c r="D32" s="82" t="e">
        <f t="shared" si="0"/>
        <v>#REF!</v>
      </c>
      <c r="F32" s="65">
        <v>45900</v>
      </c>
      <c r="G32" s="82">
        <v>0</v>
      </c>
      <c r="H32" s="151" t="e">
        <f t="shared" si="2"/>
        <v>#REF!</v>
      </c>
      <c r="I32" s="82"/>
      <c r="J32" s="82"/>
      <c r="K32" s="82"/>
      <c r="L32" s="82"/>
      <c r="M32" s="82" t="e">
        <f t="shared" si="1"/>
        <v>#REF!</v>
      </c>
    </row>
    <row r="33" spans="1:7">
      <c r="A33" s="65"/>
      <c r="B33" s="82"/>
      <c r="C33" s="104"/>
      <c r="D33" s="104" t="e">
        <f>+D2+D3+D4+D5+D6+D7+D8+D9+D10+D11+D12+D13+D14+D15+D16+D17+D18+D19+D20+D21+D22+D23+D24+D25+D26+D27+D28+D29+D30+D31+D32</f>
        <v>#REF!</v>
      </c>
      <c r="G33" s="82">
        <v>0</v>
      </c>
    </row>
    <row r="34" spans="1:7">
      <c r="B34" s="82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F42C00-88D5-D64C-8F21-6A3E1CA47010}">
  <dimension ref="A1:T37"/>
  <sheetViews>
    <sheetView workbookViewId="0">
      <selection activeCell="B32" sqref="B32"/>
    </sheetView>
  </sheetViews>
  <sheetFormatPr defaultColWidth="10.7109375" defaultRowHeight="12.95"/>
  <cols>
    <col min="2" max="2" width="11.85546875" bestFit="1" customWidth="1"/>
    <col min="3" max="3" width="10.28515625" bestFit="1" customWidth="1"/>
    <col min="4" max="4" width="16.85546875" bestFit="1" customWidth="1"/>
    <col min="7" max="7" width="13" bestFit="1" customWidth="1"/>
    <col min="8" max="8" width="13.42578125" customWidth="1"/>
    <col min="9" max="9" width="11.42578125" bestFit="1" customWidth="1"/>
    <col min="12" max="12" width="11.42578125" bestFit="1" customWidth="1"/>
    <col min="13" max="13" width="13" bestFit="1" customWidth="1"/>
    <col min="15" max="15" width="13" bestFit="1" customWidth="1"/>
    <col min="16" max="16" width="11.85546875" bestFit="1" customWidth="1"/>
    <col min="18" max="18" width="14.85546875" bestFit="1" customWidth="1"/>
    <col min="19" max="19" width="11.42578125" bestFit="1" customWidth="1"/>
  </cols>
  <sheetData>
    <row r="1" spans="1:19" ht="27.95">
      <c r="A1" s="48" t="s">
        <v>1352</v>
      </c>
      <c r="B1" s="48" t="s">
        <v>1356</v>
      </c>
      <c r="C1" s="48" t="s">
        <v>1411</v>
      </c>
      <c r="D1" s="49" t="s">
        <v>1412</v>
      </c>
      <c r="E1" s="95"/>
      <c r="F1" s="48" t="s">
        <v>1352</v>
      </c>
      <c r="G1" s="48" t="s">
        <v>1413</v>
      </c>
      <c r="H1" s="150" t="s">
        <v>1414</v>
      </c>
      <c r="I1" s="96" t="s">
        <v>1415</v>
      </c>
      <c r="J1" s="85" t="s">
        <v>1416</v>
      </c>
      <c r="K1" s="85" t="s">
        <v>571</v>
      </c>
      <c r="L1" s="85" t="s">
        <v>1417</v>
      </c>
      <c r="M1" s="48" t="s">
        <v>1418</v>
      </c>
    </row>
    <row r="2" spans="1:19">
      <c r="A2" s="65">
        <v>45901</v>
      </c>
      <c r="B2" s="82">
        <f>+Ventas!H211</f>
        <v>0</v>
      </c>
      <c r="C2" s="82"/>
      <c r="D2" s="82" t="e">
        <f>+B2-C2+'P&amp;G AGOSTO'!H32+78000-14500</f>
        <v>#REF!</v>
      </c>
      <c r="F2" s="65">
        <v>45901</v>
      </c>
      <c r="G2" s="82"/>
      <c r="H2" s="151" t="e">
        <f>+D2</f>
        <v>#REF!</v>
      </c>
      <c r="J2" s="82"/>
      <c r="K2" s="82"/>
      <c r="L2" s="82"/>
      <c r="M2" s="82" t="e">
        <f>+G2-H2-J2-I2-K2-L2</f>
        <v>#REF!</v>
      </c>
      <c r="O2" s="104"/>
    </row>
    <row r="3" spans="1:19">
      <c r="A3" s="65">
        <v>45902</v>
      </c>
      <c r="B3" s="82">
        <f>+Ventas!H212</f>
        <v>0</v>
      </c>
      <c r="C3" s="82"/>
      <c r="D3" s="82">
        <f t="shared" ref="D3:D32" si="0">+B3-C3</f>
        <v>0</v>
      </c>
      <c r="F3" s="65">
        <v>45902</v>
      </c>
      <c r="G3" s="82"/>
      <c r="H3" s="151" t="e">
        <f>+D3+H2</f>
        <v>#REF!</v>
      </c>
      <c r="I3" s="82"/>
      <c r="J3" s="82"/>
      <c r="K3" s="82"/>
      <c r="L3" s="82"/>
      <c r="M3" s="82" t="e">
        <f t="shared" ref="M3:M32" si="1">+G3-H3-J3-I3-K3-L3</f>
        <v>#REF!</v>
      </c>
    </row>
    <row r="4" spans="1:19">
      <c r="A4" s="65">
        <v>45903</v>
      </c>
      <c r="B4" s="82" t="e">
        <f>+GETPIVOTDATA("GANANCIA",Ventas!$G$1,"FECHA",DATE(2025,9,3))</f>
        <v>#REF!</v>
      </c>
      <c r="C4" s="82"/>
      <c r="D4" s="82" t="e">
        <f t="shared" si="0"/>
        <v>#REF!</v>
      </c>
      <c r="F4" s="65">
        <v>45903</v>
      </c>
      <c r="G4" s="82"/>
      <c r="H4" s="151" t="e">
        <f>+D4+H3-4000</f>
        <v>#REF!</v>
      </c>
      <c r="I4" s="82"/>
      <c r="J4" s="82"/>
      <c r="K4" s="82"/>
      <c r="L4" s="82"/>
      <c r="M4" s="82" t="e">
        <f t="shared" si="1"/>
        <v>#REF!</v>
      </c>
    </row>
    <row r="5" spans="1:19">
      <c r="A5" s="65">
        <v>45904</v>
      </c>
      <c r="B5" s="82" t="e">
        <f>+GETPIVOTDATA("GANANCIA",Ventas!$G$1,"FECHA",DATE(2025,9,4))</f>
        <v>#REF!</v>
      </c>
      <c r="C5" s="82"/>
      <c r="D5" s="82" t="e">
        <f t="shared" si="0"/>
        <v>#REF!</v>
      </c>
      <c r="F5" s="65">
        <v>45904</v>
      </c>
      <c r="G5" s="82"/>
      <c r="H5" s="151" t="e">
        <f t="shared" ref="H5:H32" si="2">+D5+H4</f>
        <v>#REF!</v>
      </c>
      <c r="I5" s="82"/>
      <c r="J5" s="82"/>
      <c r="K5" s="82"/>
      <c r="L5" s="82"/>
      <c r="M5" s="82" t="e">
        <f t="shared" si="1"/>
        <v>#REF!</v>
      </c>
      <c r="O5" s="104"/>
    </row>
    <row r="6" spans="1:19">
      <c r="A6" s="65">
        <v>45905</v>
      </c>
      <c r="B6" s="82" t="e">
        <f>+GETPIVOTDATA("GANANCIA",Ventas!$G$1,"FECHA",DATE(2025,9,5))</f>
        <v>#REF!</v>
      </c>
      <c r="C6" s="82"/>
      <c r="D6" s="82" t="e">
        <f t="shared" si="0"/>
        <v>#REF!</v>
      </c>
      <c r="F6" s="65">
        <v>45905</v>
      </c>
      <c r="G6" s="82"/>
      <c r="H6" s="151" t="e">
        <f t="shared" si="2"/>
        <v>#REF!</v>
      </c>
      <c r="I6" s="82"/>
      <c r="J6" s="82"/>
      <c r="K6" s="82"/>
      <c r="L6" s="82"/>
      <c r="M6" s="82" t="e">
        <f t="shared" si="1"/>
        <v>#REF!</v>
      </c>
      <c r="O6" s="104"/>
    </row>
    <row r="7" spans="1:19">
      <c r="A7" s="65">
        <v>45906</v>
      </c>
      <c r="B7" s="82" t="e">
        <f>+GETPIVOTDATA("GANANCIA",Ventas!$G$1,"FECHA",DATE(2025,9,6))</f>
        <v>#REF!</v>
      </c>
      <c r="C7" s="82"/>
      <c r="D7" s="82" t="e">
        <f t="shared" si="0"/>
        <v>#REF!</v>
      </c>
      <c r="F7" s="65">
        <v>45906</v>
      </c>
      <c r="G7" s="82">
        <v>540961</v>
      </c>
      <c r="H7" s="151" t="e">
        <f>+D7+H6-30000-9000-23000-21000</f>
        <v>#REF!</v>
      </c>
      <c r="I7" s="82"/>
      <c r="J7" s="82"/>
      <c r="K7" s="82"/>
      <c r="L7" s="82"/>
      <c r="M7" s="82" t="e">
        <f t="shared" si="1"/>
        <v>#REF!</v>
      </c>
    </row>
    <row r="8" spans="1:19">
      <c r="A8" s="65">
        <v>45907</v>
      </c>
      <c r="B8" s="82">
        <f>+Ventas!H217</f>
        <v>0</v>
      </c>
      <c r="C8" s="82"/>
      <c r="D8" s="82">
        <f t="shared" si="0"/>
        <v>0</v>
      </c>
      <c r="F8" s="65">
        <v>45907</v>
      </c>
      <c r="G8" s="82">
        <v>601000</v>
      </c>
      <c r="H8" s="151" t="e">
        <f>+D8+H7-18500-12000</f>
        <v>#REF!</v>
      </c>
      <c r="I8" s="82"/>
      <c r="J8" s="82"/>
      <c r="K8" s="82"/>
      <c r="L8" s="82"/>
      <c r="M8" s="82" t="e">
        <f t="shared" si="1"/>
        <v>#REF!</v>
      </c>
      <c r="O8" s="104"/>
    </row>
    <row r="9" spans="1:19">
      <c r="A9" s="65">
        <v>45908</v>
      </c>
      <c r="B9" s="82">
        <f>+Ventas!H218</f>
        <v>0</v>
      </c>
      <c r="C9" s="82"/>
      <c r="D9" s="82">
        <f t="shared" si="0"/>
        <v>0</v>
      </c>
      <c r="F9" s="65">
        <v>45908</v>
      </c>
      <c r="G9" s="82"/>
      <c r="H9" s="151" t="e">
        <f>+D9+H8+78000-12990</f>
        <v>#REF!</v>
      </c>
      <c r="I9" s="82"/>
      <c r="J9" s="82"/>
      <c r="K9" s="82"/>
      <c r="L9" s="82"/>
      <c r="M9" s="82" t="e">
        <f t="shared" si="1"/>
        <v>#REF!</v>
      </c>
      <c r="O9" s="104"/>
    </row>
    <row r="10" spans="1:19">
      <c r="A10" s="65">
        <v>45909</v>
      </c>
      <c r="B10" s="82">
        <f>+Ventas!H219</f>
        <v>0</v>
      </c>
      <c r="C10" s="82"/>
      <c r="D10" s="82">
        <f t="shared" si="0"/>
        <v>0</v>
      </c>
      <c r="F10" s="65">
        <v>45909</v>
      </c>
      <c r="G10" s="82"/>
      <c r="H10" s="151" t="e">
        <f t="shared" si="2"/>
        <v>#REF!</v>
      </c>
      <c r="I10" s="82"/>
      <c r="J10" s="82"/>
      <c r="K10" s="82"/>
      <c r="L10" s="82"/>
      <c r="M10" s="82" t="e">
        <f t="shared" si="1"/>
        <v>#REF!</v>
      </c>
    </row>
    <row r="11" spans="1:19">
      <c r="A11" s="65">
        <v>45910</v>
      </c>
      <c r="B11" s="82"/>
      <c r="C11" s="82"/>
      <c r="D11" s="82">
        <f t="shared" si="0"/>
        <v>0</v>
      </c>
      <c r="F11" s="65">
        <v>45910</v>
      </c>
      <c r="G11" s="82"/>
      <c r="H11" s="151" t="e">
        <f t="shared" si="2"/>
        <v>#REF!</v>
      </c>
      <c r="I11" s="82"/>
      <c r="J11" s="82"/>
      <c r="K11" s="82"/>
      <c r="L11" s="82"/>
      <c r="M11" s="82" t="e">
        <f t="shared" si="1"/>
        <v>#REF!</v>
      </c>
      <c r="O11" s="104"/>
    </row>
    <row r="12" spans="1:19">
      <c r="A12" s="65">
        <v>45911</v>
      </c>
      <c r="B12" s="82">
        <f>+Ventas!H220</f>
        <v>0</v>
      </c>
      <c r="C12" s="82"/>
      <c r="D12" s="82">
        <f t="shared" si="0"/>
        <v>0</v>
      </c>
      <c r="F12" s="65">
        <v>45911</v>
      </c>
      <c r="G12" s="82"/>
      <c r="H12" s="151" t="e">
        <f>+D12+H11-10000-6000-9000</f>
        <v>#REF!</v>
      </c>
      <c r="I12" s="82"/>
      <c r="J12" s="82"/>
      <c r="K12" s="82"/>
      <c r="L12" s="82"/>
      <c r="M12" s="82" t="e">
        <f t="shared" si="1"/>
        <v>#REF!</v>
      </c>
      <c r="O12" s="104"/>
      <c r="P12" s="104"/>
      <c r="Q12" s="104"/>
      <c r="R12" s="104"/>
    </row>
    <row r="13" spans="1:19">
      <c r="A13" s="65">
        <v>45912</v>
      </c>
      <c r="B13" s="82" t="e">
        <f>+GETPIVOTDATA("GANANCIA",Ventas!$G$1,"FECHA",DATE(2025,9,12))</f>
        <v>#REF!</v>
      </c>
      <c r="C13" s="82"/>
      <c r="D13" s="82" t="e">
        <f t="shared" si="0"/>
        <v>#REF!</v>
      </c>
      <c r="F13" s="65">
        <v>45912</v>
      </c>
      <c r="G13" s="82"/>
      <c r="H13" s="151" t="e">
        <f>+D13+H12-7000-20000</f>
        <v>#REF!</v>
      </c>
      <c r="I13" s="82"/>
      <c r="J13" s="82"/>
      <c r="K13" s="82"/>
      <c r="L13" s="82"/>
      <c r="M13" s="82" t="e">
        <f t="shared" si="1"/>
        <v>#REF!</v>
      </c>
      <c r="O13" s="104"/>
      <c r="P13" s="104"/>
      <c r="Q13" s="104"/>
      <c r="R13" s="104"/>
    </row>
    <row r="14" spans="1:19">
      <c r="A14" s="65">
        <v>45913</v>
      </c>
      <c r="B14" s="82" t="e">
        <f>+GETPIVOTDATA("GANANCIA",Ventas!$G$1,"FECHA",DATE(2025,9,13))</f>
        <v>#REF!</v>
      </c>
      <c r="C14" s="82"/>
      <c r="D14" s="82" t="e">
        <f t="shared" si="0"/>
        <v>#REF!</v>
      </c>
      <c r="F14" s="65">
        <v>45913</v>
      </c>
      <c r="G14" s="82">
        <f>592832+155000+20000</f>
        <v>767832</v>
      </c>
      <c r="H14" s="151" t="e">
        <f>+D14+H13-19000-14000-8000</f>
        <v>#REF!</v>
      </c>
      <c r="I14" s="82"/>
      <c r="J14" s="82"/>
      <c r="K14" s="82"/>
      <c r="L14" s="82"/>
      <c r="M14" s="82" t="e">
        <f t="shared" si="1"/>
        <v>#REF!</v>
      </c>
      <c r="O14" s="104"/>
      <c r="P14" s="104"/>
      <c r="Q14" s="104"/>
      <c r="R14" s="104"/>
    </row>
    <row r="15" spans="1:19">
      <c r="A15" s="65">
        <v>45914</v>
      </c>
      <c r="B15" s="82">
        <f>+Ventas!H223</f>
        <v>0</v>
      </c>
      <c r="C15" s="82"/>
      <c r="D15" s="82">
        <f t="shared" si="0"/>
        <v>0</v>
      </c>
      <c r="F15" s="65">
        <v>45914</v>
      </c>
      <c r="G15" s="82"/>
      <c r="H15" s="151" t="e">
        <f>+D15+H14-23000+48000</f>
        <v>#REF!</v>
      </c>
      <c r="I15" s="82"/>
      <c r="J15" s="82"/>
      <c r="K15" s="82"/>
      <c r="L15" s="82"/>
      <c r="M15" s="82" t="e">
        <f t="shared" si="1"/>
        <v>#REF!</v>
      </c>
      <c r="O15" s="104"/>
      <c r="P15" s="104"/>
      <c r="Q15" s="104"/>
      <c r="R15" s="104"/>
    </row>
    <row r="16" spans="1:19">
      <c r="A16" s="65">
        <v>45915</v>
      </c>
      <c r="B16" s="82">
        <f>+Ventas!H224</f>
        <v>0</v>
      </c>
      <c r="C16" s="82"/>
      <c r="D16" s="82">
        <f t="shared" si="0"/>
        <v>0</v>
      </c>
      <c r="F16" s="65">
        <v>45915</v>
      </c>
      <c r="G16" s="82"/>
      <c r="H16" s="151" t="e">
        <f>+D16+H15-9000-46000-25000+24000</f>
        <v>#REF!</v>
      </c>
      <c r="I16" s="82"/>
      <c r="J16" s="82"/>
      <c r="K16" s="82"/>
      <c r="L16" s="82"/>
      <c r="M16" s="82" t="e">
        <f t="shared" si="1"/>
        <v>#REF!</v>
      </c>
      <c r="S16" s="104"/>
    </row>
    <row r="17" spans="1:20">
      <c r="A17" s="65">
        <v>45916</v>
      </c>
      <c r="B17" s="82">
        <f>+Ventas!H225</f>
        <v>0</v>
      </c>
      <c r="C17" s="82"/>
      <c r="D17" s="82">
        <f t="shared" si="0"/>
        <v>0</v>
      </c>
      <c r="F17" s="65">
        <v>45916</v>
      </c>
      <c r="G17" s="82"/>
      <c r="H17" s="151" t="e">
        <f>+D17+H16-3900</f>
        <v>#REF!</v>
      </c>
      <c r="I17" s="82"/>
      <c r="J17" s="82"/>
      <c r="K17" s="82"/>
      <c r="L17" s="82"/>
      <c r="M17" s="82" t="e">
        <f t="shared" si="1"/>
        <v>#REF!</v>
      </c>
      <c r="O17" s="104"/>
      <c r="P17" s="104"/>
      <c r="R17" s="104"/>
      <c r="S17" s="104"/>
      <c r="T17" s="104"/>
    </row>
    <row r="18" spans="1:20">
      <c r="A18" s="65">
        <v>45917</v>
      </c>
      <c r="B18" s="82">
        <f>+Ventas!H226</f>
        <v>0</v>
      </c>
      <c r="C18" s="82"/>
      <c r="D18" s="82">
        <f t="shared" si="0"/>
        <v>0</v>
      </c>
      <c r="F18" s="65">
        <v>45917</v>
      </c>
      <c r="G18" s="82"/>
      <c r="H18" s="151" t="e">
        <f>+D18+H17+5000-26000</f>
        <v>#REF!</v>
      </c>
      <c r="I18" s="82"/>
      <c r="J18" s="82"/>
      <c r="K18" s="82"/>
      <c r="L18" s="82"/>
      <c r="M18" s="82" t="e">
        <f t="shared" si="1"/>
        <v>#REF!</v>
      </c>
      <c r="O18" s="104"/>
      <c r="P18" s="104"/>
      <c r="Q18" s="104"/>
      <c r="R18" s="104"/>
    </row>
    <row r="19" spans="1:20">
      <c r="A19" s="65">
        <v>45918</v>
      </c>
      <c r="B19" s="82" t="e">
        <f>+GETPIVOTDATA("GANANCIA",Ventas!$G$1,"FECHA",DATE(2025,9,18))</f>
        <v>#REF!</v>
      </c>
      <c r="C19" s="82"/>
      <c r="D19" s="82" t="e">
        <f t="shared" si="0"/>
        <v>#REF!</v>
      </c>
      <c r="F19" s="65">
        <v>45918</v>
      </c>
      <c r="G19" s="82">
        <v>1124731</v>
      </c>
      <c r="H19" s="151" t="e">
        <f>+D19+H18-90000+100000+200000-65000</f>
        <v>#REF!</v>
      </c>
      <c r="I19" s="82"/>
      <c r="J19" s="82"/>
      <c r="K19" s="82"/>
      <c r="L19" s="82">
        <v>0</v>
      </c>
      <c r="M19" s="82" t="e">
        <f t="shared" si="1"/>
        <v>#REF!</v>
      </c>
      <c r="O19" s="104"/>
      <c r="P19" s="104"/>
      <c r="R19" s="104"/>
      <c r="S19" s="104"/>
    </row>
    <row r="20" spans="1:20">
      <c r="A20" s="65">
        <v>45919</v>
      </c>
      <c r="B20" s="82" t="e">
        <f>+GETPIVOTDATA("GANANCIA",Ventas!$G$1,"FECHA",DATE(2025,9,19))</f>
        <v>#REF!</v>
      </c>
      <c r="C20" s="82"/>
      <c r="D20" s="82" t="e">
        <f t="shared" si="0"/>
        <v>#REF!</v>
      </c>
      <c r="F20" s="65">
        <v>45919</v>
      </c>
      <c r="G20" s="82"/>
      <c r="H20" s="151" t="e">
        <f>+D20+H19-20000</f>
        <v>#REF!</v>
      </c>
      <c r="I20" s="82"/>
      <c r="J20" s="82"/>
      <c r="K20" s="82"/>
      <c r="L20" s="82"/>
      <c r="M20" s="82" t="e">
        <f t="shared" si="1"/>
        <v>#REF!</v>
      </c>
      <c r="O20" s="104"/>
      <c r="P20" s="104"/>
    </row>
    <row r="21" spans="1:20">
      <c r="A21" s="65">
        <v>45920</v>
      </c>
      <c r="B21" s="82" t="e">
        <f>+GETPIVOTDATA("GANANCIA",Ventas!$G$1,"FECHA",DATE(2025,9,20))</f>
        <v>#REF!</v>
      </c>
      <c r="C21" s="82"/>
      <c r="D21" s="82" t="e">
        <f t="shared" si="0"/>
        <v>#REF!</v>
      </c>
      <c r="F21" s="65">
        <v>45920</v>
      </c>
      <c r="G21" s="82">
        <v>924831</v>
      </c>
      <c r="H21" s="151" t="e">
        <f t="shared" si="2"/>
        <v>#REF!</v>
      </c>
      <c r="I21" s="82"/>
      <c r="J21" s="82"/>
      <c r="K21" s="82"/>
      <c r="L21" s="82"/>
      <c r="M21" s="82" t="e">
        <f t="shared" si="1"/>
        <v>#REF!</v>
      </c>
      <c r="P21" s="104"/>
      <c r="S21" s="104"/>
      <c r="T21" s="104"/>
    </row>
    <row r="22" spans="1:20">
      <c r="A22" s="65">
        <v>45921</v>
      </c>
      <c r="B22" s="82" t="e">
        <f>+GETPIVOTDATA("GANANCIA",Ventas!$G$1,"FECHA",DATE(2025,9,21))</f>
        <v>#REF!</v>
      </c>
      <c r="C22" s="82"/>
      <c r="D22" s="82" t="e">
        <f t="shared" si="0"/>
        <v>#REF!</v>
      </c>
      <c r="F22" s="65">
        <v>45921</v>
      </c>
      <c r="G22" s="82"/>
      <c r="H22" s="151" t="e">
        <f t="shared" si="2"/>
        <v>#REF!</v>
      </c>
      <c r="I22" s="82"/>
      <c r="J22" s="82"/>
      <c r="K22" s="82"/>
      <c r="L22" s="82"/>
      <c r="M22" s="82" t="e">
        <f t="shared" si="1"/>
        <v>#REF!</v>
      </c>
    </row>
    <row r="23" spans="1:20">
      <c r="A23" s="65">
        <v>45922</v>
      </c>
      <c r="B23" s="82">
        <f>+Ventas!H231</f>
        <v>0</v>
      </c>
      <c r="C23" s="82"/>
      <c r="D23" s="82">
        <f t="shared" si="0"/>
        <v>0</v>
      </c>
      <c r="F23" s="65">
        <v>45922</v>
      </c>
      <c r="G23" s="82"/>
      <c r="H23" s="151" t="e">
        <f>+D23+H22+3200-5000+72000-48000-12000</f>
        <v>#REF!</v>
      </c>
      <c r="I23" s="82"/>
      <c r="J23" s="82"/>
      <c r="K23" s="82"/>
      <c r="L23" s="82"/>
      <c r="M23" s="82" t="e">
        <f t="shared" si="1"/>
        <v>#REF!</v>
      </c>
      <c r="P23" s="104"/>
      <c r="S23" s="104"/>
    </row>
    <row r="24" spans="1:20">
      <c r="A24" s="65">
        <v>45923</v>
      </c>
      <c r="B24" s="82">
        <f>+Ventas!H232</f>
        <v>0</v>
      </c>
      <c r="C24" s="82"/>
      <c r="D24" s="82">
        <f t="shared" si="0"/>
        <v>0</v>
      </c>
      <c r="F24" s="65">
        <v>45923</v>
      </c>
      <c r="G24" s="82"/>
      <c r="H24" s="151" t="e">
        <f t="shared" si="2"/>
        <v>#REF!</v>
      </c>
      <c r="I24" s="82"/>
      <c r="J24" s="82"/>
      <c r="K24" s="82"/>
      <c r="L24" s="82"/>
      <c r="M24" s="82" t="e">
        <f t="shared" si="1"/>
        <v>#REF!</v>
      </c>
      <c r="O24" s="104"/>
      <c r="P24" s="104"/>
    </row>
    <row r="25" spans="1:20">
      <c r="A25" s="65">
        <v>45924</v>
      </c>
      <c r="B25" s="82" t="e">
        <f>+GETPIVOTDATA("GANANCIA",Ventas!$G$1,"FECHA",DATE(2025,9,24))</f>
        <v>#REF!</v>
      </c>
      <c r="C25" s="82"/>
      <c r="D25" s="82" t="e">
        <f t="shared" si="0"/>
        <v>#REF!</v>
      </c>
      <c r="F25" s="65">
        <v>45924</v>
      </c>
      <c r="G25" s="82"/>
      <c r="H25" s="151" t="e">
        <f t="shared" si="2"/>
        <v>#REF!</v>
      </c>
      <c r="I25" s="82"/>
      <c r="J25" s="82"/>
      <c r="K25" s="82"/>
      <c r="L25" s="82"/>
      <c r="M25" s="82" t="e">
        <f t="shared" si="1"/>
        <v>#REF!</v>
      </c>
      <c r="O25" s="104"/>
      <c r="P25" s="104"/>
      <c r="S25" s="104"/>
    </row>
    <row r="26" spans="1:20">
      <c r="A26" s="65">
        <v>45925</v>
      </c>
      <c r="B26" s="82">
        <f>+Ventas!H234</f>
        <v>0</v>
      </c>
      <c r="C26" s="82"/>
      <c r="D26" s="82">
        <f t="shared" si="0"/>
        <v>0</v>
      </c>
      <c r="F26" s="65">
        <v>45925</v>
      </c>
      <c r="G26" s="82"/>
      <c r="H26" s="151" t="e">
        <f t="shared" si="2"/>
        <v>#REF!</v>
      </c>
      <c r="I26" s="82"/>
      <c r="J26" s="82"/>
      <c r="K26" s="82"/>
      <c r="L26" s="82"/>
      <c r="M26" s="82" t="e">
        <f t="shared" si="1"/>
        <v>#REF!</v>
      </c>
      <c r="O26" s="104"/>
      <c r="P26" s="104"/>
      <c r="S26" s="104"/>
    </row>
    <row r="27" spans="1:20">
      <c r="A27" s="65">
        <v>45926</v>
      </c>
      <c r="B27" s="82"/>
      <c r="C27" s="82"/>
      <c r="D27" s="82">
        <f t="shared" si="0"/>
        <v>0</v>
      </c>
      <c r="F27" s="65">
        <v>45926</v>
      </c>
      <c r="G27" s="82"/>
      <c r="H27" s="151" t="e">
        <f>+D27+H26-234627</f>
        <v>#REF!</v>
      </c>
      <c r="I27" s="82"/>
      <c r="J27" s="82"/>
      <c r="K27" s="82"/>
      <c r="L27" s="82"/>
      <c r="M27" s="82" t="e">
        <f t="shared" si="1"/>
        <v>#REF!</v>
      </c>
      <c r="P27" s="104"/>
      <c r="S27" s="104"/>
      <c r="T27" s="65"/>
    </row>
    <row r="28" spans="1:20">
      <c r="A28" s="65">
        <v>45927</v>
      </c>
      <c r="B28" s="82" t="e">
        <f>+GETPIVOTDATA("GANANCIA",Ventas!$G$1,"FECHA",DATE(2025,9,27))</f>
        <v>#REF!</v>
      </c>
      <c r="C28" s="82"/>
      <c r="D28" s="82" t="e">
        <f t="shared" si="0"/>
        <v>#REF!</v>
      </c>
      <c r="F28" s="65">
        <v>45927</v>
      </c>
      <c r="G28" s="82"/>
      <c r="H28" s="151" t="e">
        <f t="shared" si="2"/>
        <v>#REF!</v>
      </c>
      <c r="I28" s="82"/>
      <c r="J28" s="82"/>
      <c r="K28" s="82"/>
      <c r="L28" s="82"/>
      <c r="M28" s="82" t="e">
        <f t="shared" si="1"/>
        <v>#REF!</v>
      </c>
    </row>
    <row r="29" spans="1:20">
      <c r="A29" s="65">
        <v>45928</v>
      </c>
      <c r="B29" s="82" t="e">
        <f>+GETPIVOTDATA("GANANCIA",Ventas!$G$1,"FECHA",DATE(2025,9,28))</f>
        <v>#REF!</v>
      </c>
      <c r="C29" s="82"/>
      <c r="D29" s="82" t="e">
        <f t="shared" si="0"/>
        <v>#REF!</v>
      </c>
      <c r="F29" s="65">
        <v>45928</v>
      </c>
      <c r="G29" s="82"/>
      <c r="H29" s="151" t="e">
        <f t="shared" si="2"/>
        <v>#REF!</v>
      </c>
      <c r="I29" s="82"/>
      <c r="J29" s="82"/>
      <c r="K29" s="82"/>
      <c r="L29" s="82"/>
      <c r="M29" s="82" t="e">
        <f t="shared" si="1"/>
        <v>#REF!</v>
      </c>
    </row>
    <row r="30" spans="1:20">
      <c r="A30" s="65">
        <v>45929</v>
      </c>
      <c r="B30" s="82" t="e">
        <f>+GETPIVOTDATA("GANANCIA",Ventas!$G$1,"FECHA",DATE(2025,9,29))</f>
        <v>#REF!</v>
      </c>
      <c r="C30" s="82"/>
      <c r="D30" s="82" t="e">
        <f t="shared" si="0"/>
        <v>#REF!</v>
      </c>
      <c r="F30" s="65">
        <v>45929</v>
      </c>
      <c r="G30" s="82"/>
      <c r="H30" s="151" t="e">
        <f>+D30+H29+56000-18500+8000</f>
        <v>#REF!</v>
      </c>
      <c r="I30" s="82"/>
      <c r="J30" s="82"/>
      <c r="K30" s="82"/>
      <c r="L30" s="82"/>
      <c r="M30" s="82" t="e">
        <f t="shared" si="1"/>
        <v>#REF!</v>
      </c>
    </row>
    <row r="31" spans="1:20">
      <c r="A31" s="65">
        <v>45930</v>
      </c>
      <c r="B31" s="82" t="e">
        <f>+GETPIVOTDATA("GANANCIA",Ventas!$G$1,"FECHA",DATE(2025,9,30))</f>
        <v>#REF!</v>
      </c>
      <c r="C31" s="82"/>
      <c r="D31" s="82" t="e">
        <f t="shared" si="0"/>
        <v>#REF!</v>
      </c>
      <c r="F31" s="65">
        <v>45930</v>
      </c>
      <c r="G31" s="82"/>
      <c r="H31" s="151" t="e">
        <f t="shared" si="2"/>
        <v>#REF!</v>
      </c>
      <c r="I31" s="82"/>
      <c r="J31" s="82"/>
      <c r="K31" s="82"/>
      <c r="L31" s="82"/>
      <c r="M31" s="82" t="e">
        <f t="shared" si="1"/>
        <v>#REF!</v>
      </c>
    </row>
    <row r="32" spans="1:20">
      <c r="A32" s="65">
        <v>45900</v>
      </c>
      <c r="B32" s="82"/>
      <c r="C32" s="82"/>
      <c r="D32" s="82">
        <f t="shared" si="0"/>
        <v>0</v>
      </c>
      <c r="F32" s="65">
        <v>45900</v>
      </c>
      <c r="G32" s="82"/>
      <c r="H32" s="151" t="e">
        <f t="shared" si="2"/>
        <v>#REF!</v>
      </c>
      <c r="I32" s="82"/>
      <c r="J32" s="82"/>
      <c r="K32" s="82"/>
      <c r="L32" s="82"/>
      <c r="M32" s="82" t="e">
        <f t="shared" si="1"/>
        <v>#REF!</v>
      </c>
    </row>
    <row r="33" spans="1:7">
      <c r="A33" s="65"/>
      <c r="B33" s="82"/>
      <c r="C33" s="104"/>
      <c r="D33" s="104" t="e">
        <f>+D2+D3+D4+D5+D6+D7+D8+D9+D10+D11+D12+D13+D14+D15+D16+D17+D18+D19+D20+D21+D22+D23+D24+D25+D26+D27+D28+D29+D30+D31+D32</f>
        <v>#REF!</v>
      </c>
      <c r="G33" s="82"/>
    </row>
    <row r="34" spans="1:7">
      <c r="B34" s="82"/>
      <c r="G34" s="82"/>
    </row>
    <row r="35" spans="1:7">
      <c r="B35" s="82"/>
      <c r="G35" s="82"/>
    </row>
    <row r="36" spans="1:7">
      <c r="B36" s="82"/>
      <c r="G36" s="82"/>
    </row>
    <row r="37" spans="1:7">
      <c r="B37" s="82"/>
      <c r="G37" s="82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7C4D6E-A145-4D64-999B-8A0E5B56DD5E}">
  <dimension ref="A1:T37"/>
  <sheetViews>
    <sheetView topLeftCell="A10" workbookViewId="0">
      <selection activeCell="H33" sqref="H33"/>
    </sheetView>
  </sheetViews>
  <sheetFormatPr defaultColWidth="10.7109375" defaultRowHeight="12.95"/>
  <cols>
    <col min="2" max="2" width="11.85546875" bestFit="1" customWidth="1"/>
    <col min="3" max="3" width="10.28515625" bestFit="1" customWidth="1"/>
    <col min="4" max="4" width="16.85546875" bestFit="1" customWidth="1"/>
    <col min="7" max="7" width="13" bestFit="1" customWidth="1"/>
    <col min="8" max="8" width="13.42578125" customWidth="1"/>
    <col min="9" max="9" width="11.42578125" bestFit="1" customWidth="1"/>
    <col min="12" max="12" width="11.42578125" bestFit="1" customWidth="1"/>
    <col min="13" max="13" width="13" bestFit="1" customWidth="1"/>
    <col min="15" max="15" width="13" bestFit="1" customWidth="1"/>
    <col min="16" max="16" width="11.85546875" bestFit="1" customWidth="1"/>
    <col min="18" max="18" width="14.85546875" bestFit="1" customWidth="1"/>
    <col min="19" max="19" width="11.42578125" bestFit="1" customWidth="1"/>
  </cols>
  <sheetData>
    <row r="1" spans="1:19" ht="27.95">
      <c r="A1" s="48" t="s">
        <v>1352</v>
      </c>
      <c r="B1" s="48" t="s">
        <v>1356</v>
      </c>
      <c r="C1" s="48" t="s">
        <v>1411</v>
      </c>
      <c r="D1" s="49" t="s">
        <v>1412</v>
      </c>
      <c r="E1" s="95"/>
      <c r="F1" s="48" t="s">
        <v>1352</v>
      </c>
      <c r="G1" s="48" t="s">
        <v>1413</v>
      </c>
      <c r="H1" s="150" t="s">
        <v>1414</v>
      </c>
      <c r="I1" s="96" t="s">
        <v>1415</v>
      </c>
      <c r="J1" s="85" t="s">
        <v>1416</v>
      </c>
      <c r="K1" s="85" t="s">
        <v>571</v>
      </c>
      <c r="L1" s="85" t="s">
        <v>1417</v>
      </c>
      <c r="M1" s="48" t="s">
        <v>1418</v>
      </c>
    </row>
    <row r="2" spans="1:19">
      <c r="A2" s="65">
        <v>45931</v>
      </c>
      <c r="B2" s="82" t="e">
        <f>+GETPIVOTDATA("GANANCIA",Ventas!$G$1,"FECHA",DATE(2025,10,1))</f>
        <v>#REF!</v>
      </c>
      <c r="C2" s="82"/>
      <c r="D2" s="82" t="e">
        <f>+B2-C2</f>
        <v>#REF!</v>
      </c>
      <c r="F2" s="65">
        <v>45931</v>
      </c>
      <c r="G2" s="82"/>
      <c r="H2" s="151" t="e">
        <f>+D2-6400-158900+'P&amp;G SEPTIEMBRE'!H32</f>
        <v>#REF!</v>
      </c>
      <c r="J2" s="82"/>
      <c r="K2" s="82"/>
      <c r="L2" s="82"/>
      <c r="M2" s="82" t="e">
        <f>+G2-H2-J2-I2-K2-L2</f>
        <v>#REF!</v>
      </c>
      <c r="O2" s="104"/>
    </row>
    <row r="3" spans="1:19">
      <c r="A3" s="65">
        <v>45932</v>
      </c>
      <c r="B3" s="82"/>
      <c r="C3" s="82"/>
      <c r="D3" s="82">
        <f t="shared" ref="D3:D32" si="0">+B3-C3</f>
        <v>0</v>
      </c>
      <c r="F3" s="65">
        <v>45932</v>
      </c>
      <c r="G3" s="82"/>
      <c r="H3" s="151" t="e">
        <f>+D3+H2</f>
        <v>#REF!</v>
      </c>
      <c r="I3" s="82"/>
      <c r="J3" s="82"/>
      <c r="K3" s="82"/>
      <c r="L3" s="82"/>
      <c r="M3" s="82" t="e">
        <f t="shared" ref="M3:M32" si="1">+G3-H3-J3-I3-K3-L3</f>
        <v>#REF!</v>
      </c>
    </row>
    <row r="4" spans="1:19">
      <c r="A4" s="65">
        <v>45933</v>
      </c>
      <c r="B4" s="82" t="e">
        <f>+GETPIVOTDATA("GANANCIA",Ventas!$G$1,"FECHA",DATE(2025,10,3))</f>
        <v>#REF!</v>
      </c>
      <c r="C4" s="82"/>
      <c r="D4" s="82" t="e">
        <f t="shared" si="0"/>
        <v>#REF!</v>
      </c>
      <c r="F4" s="65">
        <v>45933</v>
      </c>
      <c r="G4" s="82"/>
      <c r="H4" s="151" t="e">
        <f>+D4+H3-57627</f>
        <v>#REF!</v>
      </c>
      <c r="I4" s="82"/>
      <c r="J4" s="82"/>
      <c r="K4" s="82"/>
      <c r="L4" s="82"/>
      <c r="M4" s="82" t="e">
        <f t="shared" si="1"/>
        <v>#REF!</v>
      </c>
    </row>
    <row r="5" spans="1:19">
      <c r="A5" s="65">
        <v>45934</v>
      </c>
      <c r="B5" s="82" t="e">
        <f>+GETPIVOTDATA("GANANCIA",Ventas!$G$1,"FECHA",DATE(2025,10,4))</f>
        <v>#REF!</v>
      </c>
      <c r="C5" s="82"/>
      <c r="D5" s="82" t="e">
        <f t="shared" si="0"/>
        <v>#REF!</v>
      </c>
      <c r="F5" s="65">
        <v>45934</v>
      </c>
      <c r="G5" s="82"/>
      <c r="H5" s="151" t="e">
        <f>+D5+H4+16000+10000</f>
        <v>#REF!</v>
      </c>
      <c r="I5" s="82"/>
      <c r="J5" s="82"/>
      <c r="K5" s="82"/>
      <c r="L5" s="82"/>
      <c r="M5" s="82" t="e">
        <f t="shared" si="1"/>
        <v>#REF!</v>
      </c>
      <c r="O5" s="104"/>
    </row>
    <row r="6" spans="1:19">
      <c r="A6" s="65">
        <v>45935</v>
      </c>
      <c r="B6" s="82" t="e">
        <f>+GETPIVOTDATA("GANANCIA",Ventas!$G$1,"FECHA",DATE(2025,10,5))</f>
        <v>#REF!</v>
      </c>
      <c r="C6" s="82"/>
      <c r="D6" s="82" t="e">
        <f t="shared" si="0"/>
        <v>#REF!</v>
      </c>
      <c r="F6" s="65">
        <v>45935</v>
      </c>
      <c r="G6" s="82"/>
      <c r="H6" s="151" t="e">
        <f>+D6+H5</f>
        <v>#REF!</v>
      </c>
      <c r="I6" s="82"/>
      <c r="J6" s="82"/>
      <c r="K6" s="82"/>
      <c r="L6" s="82"/>
      <c r="M6" s="82" t="e">
        <f t="shared" si="1"/>
        <v>#REF!</v>
      </c>
      <c r="O6" s="104"/>
    </row>
    <row r="7" spans="1:19">
      <c r="A7" s="65">
        <v>45936</v>
      </c>
      <c r="B7" s="82"/>
      <c r="C7" s="82"/>
      <c r="D7" s="82">
        <f t="shared" si="0"/>
        <v>0</v>
      </c>
      <c r="F7" s="65">
        <v>45936</v>
      </c>
      <c r="G7" s="82"/>
      <c r="H7" s="151" t="e">
        <f>+D7+H6-20000</f>
        <v>#REF!</v>
      </c>
      <c r="I7" s="82"/>
      <c r="J7" s="82"/>
      <c r="K7" s="82"/>
      <c r="L7" s="82"/>
      <c r="M7" s="82" t="e">
        <f t="shared" si="1"/>
        <v>#REF!</v>
      </c>
    </row>
    <row r="8" spans="1:19">
      <c r="A8" s="65">
        <v>45937</v>
      </c>
      <c r="B8" s="82" t="e">
        <f>+GETPIVOTDATA("GANANCIA",Ventas!$G$1,"FECHA",DATE(2025,10,7))</f>
        <v>#REF!</v>
      </c>
      <c r="C8" s="82"/>
      <c r="D8" s="82" t="e">
        <f t="shared" si="0"/>
        <v>#REF!</v>
      </c>
      <c r="F8" s="65">
        <v>45937</v>
      </c>
      <c r="G8" s="82"/>
      <c r="H8" s="151" t="e">
        <f>+D8+H7-40000+64000-15000-5000</f>
        <v>#REF!</v>
      </c>
      <c r="I8" s="82"/>
      <c r="J8" s="82"/>
      <c r="K8" s="82"/>
      <c r="L8" s="82"/>
      <c r="M8" s="82" t="e">
        <f t="shared" si="1"/>
        <v>#REF!</v>
      </c>
      <c r="O8" s="104"/>
    </row>
    <row r="9" spans="1:19">
      <c r="A9" s="65">
        <v>45938</v>
      </c>
      <c r="B9" s="82" t="e">
        <f>+GETPIVOTDATA("GANANCIA",Ventas!$G$1,"FECHA",DATE(2025,10,8))</f>
        <v>#REF!</v>
      </c>
      <c r="C9" s="82"/>
      <c r="D9" s="82" t="e">
        <f t="shared" si="0"/>
        <v>#REF!</v>
      </c>
      <c r="F9" s="65">
        <v>45938</v>
      </c>
      <c r="G9" s="82"/>
      <c r="H9" s="151" t="e">
        <f>+D9+H8-3000-8000</f>
        <v>#REF!</v>
      </c>
      <c r="I9" s="82"/>
      <c r="J9" s="82"/>
      <c r="K9" s="82"/>
      <c r="L9" s="82"/>
      <c r="M9" s="82" t="e">
        <f t="shared" si="1"/>
        <v>#REF!</v>
      </c>
      <c r="O9" s="104"/>
    </row>
    <row r="10" spans="1:19">
      <c r="A10" s="65">
        <v>45939</v>
      </c>
      <c r="B10" s="82" t="e">
        <f>+GETPIVOTDATA("GANANCIA",Ventas!$G$1,"FECHA",DATE(2025,10,9))</f>
        <v>#REF!</v>
      </c>
      <c r="C10" s="82"/>
      <c r="D10" s="82" t="e">
        <f t="shared" si="0"/>
        <v>#REF!</v>
      </c>
      <c r="F10" s="65">
        <v>45939</v>
      </c>
      <c r="G10" s="82"/>
      <c r="H10" s="151" t="e">
        <f t="shared" ref="H10:H27" si="2">+D10+H9</f>
        <v>#REF!</v>
      </c>
      <c r="I10" s="82"/>
      <c r="J10" s="82"/>
      <c r="K10" s="82"/>
      <c r="L10" s="82"/>
      <c r="M10" s="82" t="e">
        <f t="shared" si="1"/>
        <v>#REF!</v>
      </c>
    </row>
    <row r="11" spans="1:19">
      <c r="A11" s="65">
        <v>45940</v>
      </c>
      <c r="B11" s="82" t="e">
        <f>+GETPIVOTDATA("GANANCIA",Ventas!$G$1,"FECHA",DATE(2025,10,10))</f>
        <v>#REF!</v>
      </c>
      <c r="C11" s="82"/>
      <c r="D11" s="82" t="e">
        <f t="shared" si="0"/>
        <v>#REF!</v>
      </c>
      <c r="F11" s="65">
        <v>45940</v>
      </c>
      <c r="G11" s="82"/>
      <c r="H11" s="151" t="e">
        <f>+D11+H10-17000-7000</f>
        <v>#REF!</v>
      </c>
      <c r="I11" s="82"/>
      <c r="J11" s="82"/>
      <c r="K11" s="82"/>
      <c r="L11" s="82"/>
      <c r="M11" s="82" t="e">
        <f t="shared" si="1"/>
        <v>#REF!</v>
      </c>
      <c r="O11" s="104"/>
    </row>
    <row r="12" spans="1:19">
      <c r="A12" s="65">
        <v>45941</v>
      </c>
      <c r="B12" s="82" t="e">
        <f>+GETPIVOTDATA("GANANCIA",Ventas!$G$1,"FECHA",DATE(2025,10,11))</f>
        <v>#REF!</v>
      </c>
      <c r="C12" s="82"/>
      <c r="D12" s="82" t="e">
        <f t="shared" si="0"/>
        <v>#REF!</v>
      </c>
      <c r="F12" s="65">
        <v>45941</v>
      </c>
      <c r="G12" s="82"/>
      <c r="H12" s="151" t="e">
        <f t="shared" si="2"/>
        <v>#REF!</v>
      </c>
      <c r="I12" s="82"/>
      <c r="J12" s="82"/>
      <c r="K12" s="82"/>
      <c r="L12" s="82"/>
      <c r="M12" s="82" t="e">
        <f t="shared" si="1"/>
        <v>#REF!</v>
      </c>
      <c r="O12" s="104"/>
      <c r="P12" s="104"/>
      <c r="Q12" s="104"/>
      <c r="R12" s="104"/>
    </row>
    <row r="13" spans="1:19">
      <c r="A13" s="65">
        <v>45942</v>
      </c>
      <c r="B13" s="82" t="e">
        <f>+GETPIVOTDATA("GANANCIA",Ventas!$G$1,"FECHA",DATE(2025,10,12))</f>
        <v>#REF!</v>
      </c>
      <c r="C13" s="82"/>
      <c r="D13" s="82" t="e">
        <f t="shared" si="0"/>
        <v>#REF!</v>
      </c>
      <c r="F13" s="65">
        <v>45942</v>
      </c>
      <c r="G13" s="82"/>
      <c r="H13" s="151" t="e">
        <f t="shared" si="2"/>
        <v>#REF!</v>
      </c>
      <c r="I13" s="82"/>
      <c r="J13" s="82"/>
      <c r="K13" s="82"/>
      <c r="L13" s="82"/>
      <c r="M13" s="82" t="e">
        <f t="shared" si="1"/>
        <v>#REF!</v>
      </c>
      <c r="O13" s="104"/>
      <c r="P13" s="104"/>
      <c r="Q13" s="104"/>
      <c r="R13" s="104"/>
    </row>
    <row r="14" spans="1:19">
      <c r="A14" s="65">
        <v>45943</v>
      </c>
      <c r="B14" s="82" t="e">
        <f>+GETPIVOTDATA("GANANCIA",Ventas!$G$1,"FECHA",DATE(2025,10,13))</f>
        <v>#REF!</v>
      </c>
      <c r="C14" s="82"/>
      <c r="D14" s="82" t="e">
        <f t="shared" si="0"/>
        <v>#REF!</v>
      </c>
      <c r="F14" s="65">
        <v>45943</v>
      </c>
      <c r="G14" s="82"/>
      <c r="H14" s="151" t="e">
        <f t="shared" si="2"/>
        <v>#REF!</v>
      </c>
      <c r="I14" s="82"/>
      <c r="J14" s="82"/>
      <c r="K14" s="82"/>
      <c r="L14" s="82"/>
      <c r="M14" s="82" t="e">
        <f t="shared" si="1"/>
        <v>#REF!</v>
      </c>
      <c r="O14" s="104"/>
      <c r="P14" s="104"/>
      <c r="Q14" s="104"/>
      <c r="R14" s="104"/>
    </row>
    <row r="15" spans="1:19">
      <c r="A15" s="65">
        <v>45944</v>
      </c>
      <c r="B15" s="82" t="e">
        <f>+GETPIVOTDATA("GANANCIA",Ventas!$G$1,"FECHA",DATE(2025,10,14))</f>
        <v>#REF!</v>
      </c>
      <c r="C15" s="82"/>
      <c r="D15" s="82" t="e">
        <f t="shared" si="0"/>
        <v>#REF!</v>
      </c>
      <c r="F15" s="65">
        <v>45944</v>
      </c>
      <c r="G15" s="82"/>
      <c r="H15" s="151" t="e">
        <f t="shared" si="2"/>
        <v>#REF!</v>
      </c>
      <c r="I15" s="82"/>
      <c r="J15" s="82"/>
      <c r="K15" s="82"/>
      <c r="L15" s="82"/>
      <c r="M15" s="82" t="e">
        <f t="shared" si="1"/>
        <v>#REF!</v>
      </c>
      <c r="O15" s="104"/>
      <c r="P15" s="104"/>
      <c r="Q15" s="104"/>
      <c r="R15" s="104"/>
    </row>
    <row r="16" spans="1:19">
      <c r="A16" s="65">
        <v>45945</v>
      </c>
      <c r="B16" s="82" t="e">
        <f>+GETPIVOTDATA("GANANCIA",Ventas!$G$1,"FECHA",DATE(2025,10,15))</f>
        <v>#REF!</v>
      </c>
      <c r="C16" s="82"/>
      <c r="D16" s="82" t="e">
        <f t="shared" si="0"/>
        <v>#REF!</v>
      </c>
      <c r="F16" s="65">
        <v>45945</v>
      </c>
      <c r="G16" s="82"/>
      <c r="H16" s="151" t="e">
        <f>+D16+H15-9000-3500-6500-12000-64000</f>
        <v>#REF!</v>
      </c>
      <c r="I16" s="82"/>
      <c r="J16" s="82"/>
      <c r="K16" s="82"/>
      <c r="L16" s="82"/>
      <c r="M16" s="82" t="e">
        <f t="shared" si="1"/>
        <v>#REF!</v>
      </c>
      <c r="S16" s="104"/>
    </row>
    <row r="17" spans="1:20">
      <c r="A17" s="65">
        <v>45946</v>
      </c>
      <c r="B17" s="82" t="e">
        <f>+GETPIVOTDATA("GANANCIA",Ventas!$G$1,"FECHA",DATE(2025,10,16))</f>
        <v>#REF!</v>
      </c>
      <c r="C17" s="82"/>
      <c r="D17" s="82" t="e">
        <f t="shared" si="0"/>
        <v>#REF!</v>
      </c>
      <c r="F17" s="65">
        <v>45946</v>
      </c>
      <c r="G17" s="82"/>
      <c r="H17" s="151" t="e">
        <f>+D17+H16-8500</f>
        <v>#REF!</v>
      </c>
      <c r="I17" s="82"/>
      <c r="J17" s="82"/>
      <c r="K17" s="82"/>
      <c r="L17" s="82"/>
      <c r="M17" s="82" t="e">
        <f t="shared" si="1"/>
        <v>#REF!</v>
      </c>
      <c r="O17" s="104"/>
      <c r="P17" s="104"/>
      <c r="R17" s="104"/>
      <c r="S17" s="104"/>
      <c r="T17" s="104"/>
    </row>
    <row r="18" spans="1:20">
      <c r="A18" s="65">
        <v>45947</v>
      </c>
      <c r="B18" s="82" t="e">
        <f>+GETPIVOTDATA("GANANCIA",Ventas!$G$1,"FECHA",DATE(2025,10,17))</f>
        <v>#REF!</v>
      </c>
      <c r="C18" s="82"/>
      <c r="D18" s="82" t="e">
        <f t="shared" si="0"/>
        <v>#REF!</v>
      </c>
      <c r="F18" s="65">
        <v>45947</v>
      </c>
      <c r="G18" s="82"/>
      <c r="H18" s="151" t="e">
        <f>+D18+H17+64000-100000</f>
        <v>#REF!</v>
      </c>
      <c r="I18" s="82"/>
      <c r="J18" s="82"/>
      <c r="K18" s="82"/>
      <c r="L18" s="82"/>
      <c r="M18" s="82" t="e">
        <f t="shared" si="1"/>
        <v>#REF!</v>
      </c>
      <c r="O18" s="104"/>
      <c r="P18" s="104"/>
      <c r="Q18" s="104"/>
      <c r="R18" s="104"/>
    </row>
    <row r="19" spans="1:20">
      <c r="A19" s="65">
        <v>45948</v>
      </c>
      <c r="B19" s="82" t="e">
        <f>+GETPIVOTDATA("GANANCIA",Ventas!$G$1,"FECHA",DATE(2025,10,18))</f>
        <v>#REF!</v>
      </c>
      <c r="C19" s="82"/>
      <c r="D19" s="82" t="e">
        <f t="shared" si="0"/>
        <v>#REF!</v>
      </c>
      <c r="F19" s="65">
        <v>45948</v>
      </c>
      <c r="G19" s="82"/>
      <c r="H19" s="151" t="e">
        <f t="shared" si="2"/>
        <v>#REF!</v>
      </c>
      <c r="I19" s="82"/>
      <c r="J19" s="82"/>
      <c r="K19" s="82"/>
      <c r="L19" s="82">
        <v>0</v>
      </c>
      <c r="M19" s="82" t="e">
        <f t="shared" si="1"/>
        <v>#REF!</v>
      </c>
      <c r="O19" s="104"/>
      <c r="P19" s="104"/>
      <c r="R19" s="104"/>
      <c r="S19" s="104"/>
    </row>
    <row r="20" spans="1:20">
      <c r="A20" s="65">
        <v>45949</v>
      </c>
      <c r="B20" s="82" t="e">
        <f>+GETPIVOTDATA("GANANCIA",Ventas!$G$1,"FECHA",DATE(2025,10,19))</f>
        <v>#REF!</v>
      </c>
      <c r="C20" s="82"/>
      <c r="D20" s="82" t="e">
        <f t="shared" si="0"/>
        <v>#REF!</v>
      </c>
      <c r="F20" s="65">
        <v>45949</v>
      </c>
      <c r="G20" s="82"/>
      <c r="H20" s="151" t="e">
        <f>+D20+H19</f>
        <v>#REF!</v>
      </c>
      <c r="I20" s="82"/>
      <c r="J20" s="82"/>
      <c r="K20" s="82"/>
      <c r="L20" s="82"/>
      <c r="M20" s="82" t="e">
        <f t="shared" si="1"/>
        <v>#REF!</v>
      </c>
      <c r="O20" s="104"/>
      <c r="P20" s="104"/>
    </row>
    <row r="21" spans="1:20">
      <c r="A21" s="65">
        <v>45950</v>
      </c>
      <c r="B21" s="82" t="e">
        <f>+GETPIVOTDATA("GANANCIA",Ventas!$G$1,"FECHA",DATE(2025,10,20))</f>
        <v>#REF!</v>
      </c>
      <c r="C21" s="82"/>
      <c r="D21" s="82" t="e">
        <f t="shared" si="0"/>
        <v>#REF!</v>
      </c>
      <c r="F21" s="65">
        <v>45950</v>
      </c>
      <c r="G21" s="82"/>
      <c r="H21" s="151" t="e">
        <f>+D21+H20-8240-3200-34100</f>
        <v>#REF!</v>
      </c>
      <c r="I21" s="82"/>
      <c r="J21" s="82"/>
      <c r="K21" s="82"/>
      <c r="L21" s="82"/>
      <c r="M21" s="82" t="e">
        <f t="shared" si="1"/>
        <v>#REF!</v>
      </c>
      <c r="P21" s="104"/>
      <c r="S21" s="104"/>
      <c r="T21" s="104"/>
    </row>
    <row r="22" spans="1:20">
      <c r="A22" s="65">
        <v>45951</v>
      </c>
      <c r="B22" s="82" t="e">
        <f>+GETPIVOTDATA("GANANCIA",Ventas!$G$1,"FECHA",DATE(2025,10,21))</f>
        <v>#REF!</v>
      </c>
      <c r="C22" s="82"/>
      <c r="D22" s="82" t="e">
        <f t="shared" si="0"/>
        <v>#REF!</v>
      </c>
      <c r="F22" s="65">
        <v>45951</v>
      </c>
      <c r="G22" s="82"/>
      <c r="H22" s="151" t="e">
        <f>+D22+H21+64000</f>
        <v>#REF!</v>
      </c>
      <c r="I22" s="82"/>
      <c r="J22" s="82"/>
      <c r="K22" s="82"/>
      <c r="L22" s="82"/>
      <c r="M22" s="82" t="e">
        <f t="shared" si="1"/>
        <v>#REF!</v>
      </c>
    </row>
    <row r="23" spans="1:20">
      <c r="A23" s="65">
        <v>45952</v>
      </c>
      <c r="B23" s="82" t="e">
        <f>+GETPIVOTDATA("GANANCIA",Ventas!$G$1,"FECHA",DATE(2025,10,22))</f>
        <v>#REF!</v>
      </c>
      <c r="C23" s="82"/>
      <c r="D23" s="82" t="e">
        <f t="shared" si="0"/>
        <v>#REF!</v>
      </c>
      <c r="F23" s="65">
        <v>45952</v>
      </c>
      <c r="G23" s="82"/>
      <c r="H23" s="151" t="e">
        <f>+D23+H22-8000-25000-8300-3200</f>
        <v>#REF!</v>
      </c>
      <c r="I23" s="82"/>
      <c r="J23" s="82"/>
      <c r="K23" s="82"/>
      <c r="L23" s="82"/>
      <c r="M23" s="82" t="e">
        <f t="shared" si="1"/>
        <v>#REF!</v>
      </c>
      <c r="P23" s="104"/>
      <c r="S23" s="104"/>
    </row>
    <row r="24" spans="1:20">
      <c r="A24" s="65">
        <v>45953</v>
      </c>
      <c r="B24" s="82"/>
      <c r="C24" s="82"/>
      <c r="D24" s="82">
        <f t="shared" si="0"/>
        <v>0</v>
      </c>
      <c r="F24" s="65">
        <v>45953</v>
      </c>
      <c r="G24" s="82"/>
      <c r="H24" s="151" t="e">
        <f>+D24+H23-8400</f>
        <v>#REF!</v>
      </c>
      <c r="I24" s="82"/>
      <c r="J24" s="82"/>
      <c r="K24" s="82"/>
      <c r="L24" s="82"/>
      <c r="M24" s="82" t="e">
        <f t="shared" si="1"/>
        <v>#REF!</v>
      </c>
      <c r="O24" s="104"/>
      <c r="P24" s="104"/>
    </row>
    <row r="25" spans="1:20">
      <c r="A25" s="65">
        <v>45954</v>
      </c>
      <c r="B25" s="82" t="e">
        <f>+GETPIVOTDATA("GANANCIA",Ventas!$G$1,"FECHA",DATE(2025,10,24))</f>
        <v>#REF!</v>
      </c>
      <c r="C25" s="82"/>
      <c r="D25" s="82" t="e">
        <f t="shared" si="0"/>
        <v>#REF!</v>
      </c>
      <c r="F25" s="65">
        <v>45954</v>
      </c>
      <c r="G25" s="82"/>
      <c r="H25" s="151" t="e">
        <f>+D25+H24-16000-15000</f>
        <v>#REF!</v>
      </c>
      <c r="I25" s="82"/>
      <c r="J25" s="82"/>
      <c r="K25" s="82"/>
      <c r="L25" s="82"/>
      <c r="M25" s="82" t="e">
        <f t="shared" si="1"/>
        <v>#REF!</v>
      </c>
      <c r="O25" s="104"/>
      <c r="P25" s="104"/>
      <c r="S25" s="104"/>
    </row>
    <row r="26" spans="1:20">
      <c r="A26" s="65">
        <v>45955</v>
      </c>
      <c r="B26" s="82"/>
      <c r="C26" s="82"/>
      <c r="D26" s="82">
        <f t="shared" si="0"/>
        <v>0</v>
      </c>
      <c r="F26" s="65">
        <v>45955</v>
      </c>
      <c r="G26" s="82"/>
      <c r="H26" s="151" t="e">
        <f>+D26+H25-20000</f>
        <v>#REF!</v>
      </c>
      <c r="I26" s="82"/>
      <c r="J26" s="82"/>
      <c r="K26" s="82"/>
      <c r="L26" s="82"/>
      <c r="M26" s="82" t="e">
        <f t="shared" si="1"/>
        <v>#REF!</v>
      </c>
      <c r="O26" s="104"/>
      <c r="P26" s="104"/>
      <c r="S26" s="104"/>
    </row>
    <row r="27" spans="1:20">
      <c r="A27" s="65">
        <v>45956</v>
      </c>
      <c r="B27" s="82"/>
      <c r="C27" s="82"/>
      <c r="D27" s="82">
        <f t="shared" si="0"/>
        <v>0</v>
      </c>
      <c r="F27" s="65">
        <v>45956</v>
      </c>
      <c r="G27" s="82"/>
      <c r="H27" s="151" t="e">
        <f t="shared" si="2"/>
        <v>#REF!</v>
      </c>
      <c r="I27" s="82"/>
      <c r="J27" s="82"/>
      <c r="K27" s="82"/>
      <c r="L27" s="82"/>
      <c r="M27" s="82" t="e">
        <f t="shared" si="1"/>
        <v>#REF!</v>
      </c>
      <c r="P27" s="104"/>
      <c r="S27" s="104"/>
      <c r="T27" s="65"/>
    </row>
    <row r="28" spans="1:20">
      <c r="A28" s="65">
        <v>45957</v>
      </c>
      <c r="B28" s="82" t="e">
        <f>+GETPIVOTDATA("GANANCIA",Ventas!$G$1,"FECHA",DATE(2025,10,27))</f>
        <v>#REF!</v>
      </c>
      <c r="C28" s="82"/>
      <c r="D28" s="82" t="e">
        <f t="shared" si="0"/>
        <v>#REF!</v>
      </c>
      <c r="F28" s="65">
        <v>45957</v>
      </c>
      <c r="G28" s="82"/>
      <c r="H28" s="151" t="e">
        <f>+D28+H27-7000-8500+20000+64000</f>
        <v>#REF!</v>
      </c>
      <c r="I28" s="82"/>
      <c r="J28" s="82"/>
      <c r="K28" s="82"/>
      <c r="L28" s="82"/>
      <c r="M28" s="82" t="e">
        <f t="shared" si="1"/>
        <v>#REF!</v>
      </c>
    </row>
    <row r="29" spans="1:20">
      <c r="A29" s="65">
        <v>45958</v>
      </c>
      <c r="B29" s="82">
        <f>+Ventas!H261</f>
        <v>0</v>
      </c>
      <c r="C29" s="82"/>
      <c r="D29" s="82">
        <f t="shared" si="0"/>
        <v>0</v>
      </c>
      <c r="F29" s="65">
        <v>45958</v>
      </c>
      <c r="G29" s="82"/>
      <c r="H29" s="151" t="e">
        <f>+D29+H28-14000</f>
        <v>#REF!</v>
      </c>
      <c r="I29" s="82"/>
      <c r="J29" s="82"/>
      <c r="K29" s="82"/>
      <c r="L29" s="82"/>
      <c r="M29" s="82" t="e">
        <f t="shared" si="1"/>
        <v>#REF!</v>
      </c>
    </row>
    <row r="30" spans="1:20">
      <c r="A30" s="65">
        <v>45959</v>
      </c>
      <c r="B30" s="82" t="e">
        <f>+GETPIVOTDATA("GANANCIA",Ventas!$G$1,"FECHA",DATE(2025,10,29))</f>
        <v>#REF!</v>
      </c>
      <c r="C30" s="82"/>
      <c r="D30" s="82" t="e">
        <f t="shared" si="0"/>
        <v>#REF!</v>
      </c>
      <c r="F30" s="65">
        <v>45959</v>
      </c>
      <c r="G30" s="82"/>
      <c r="H30" s="151" t="e">
        <f>+D30+H29-8400</f>
        <v>#REF!</v>
      </c>
      <c r="I30" s="82"/>
      <c r="J30" s="82"/>
      <c r="K30" s="82"/>
      <c r="L30" s="82"/>
      <c r="M30" s="82" t="e">
        <f t="shared" si="1"/>
        <v>#REF!</v>
      </c>
    </row>
    <row r="31" spans="1:20">
      <c r="A31" s="65">
        <v>45960</v>
      </c>
      <c r="B31" s="82" t="e">
        <f>+GETPIVOTDATA("GANANCIA",Ventas!$G$1,"FECHA",DATE(2024,10,30))</f>
        <v>#REF!</v>
      </c>
      <c r="C31" s="82"/>
      <c r="D31" s="82" t="e">
        <f t="shared" si="0"/>
        <v>#REF!</v>
      </c>
      <c r="F31" s="65">
        <v>45960</v>
      </c>
      <c r="G31" s="82"/>
      <c r="H31" s="151" t="e">
        <f>+D31+H30-28000</f>
        <v>#REF!</v>
      </c>
      <c r="I31" s="82"/>
      <c r="J31" s="82"/>
      <c r="K31" s="82"/>
      <c r="L31" s="82"/>
      <c r="M31" s="82" t="e">
        <f t="shared" si="1"/>
        <v>#REF!</v>
      </c>
    </row>
    <row r="32" spans="1:20">
      <c r="A32" s="65">
        <v>45961</v>
      </c>
      <c r="B32" s="82" t="e">
        <f>+GETPIVOTDATA("GANANCIA",Ventas!$G$1,"FECHA",DATE(2025,10,31))</f>
        <v>#REF!</v>
      </c>
      <c r="C32" s="82"/>
      <c r="D32" s="82" t="e">
        <f t="shared" si="0"/>
        <v>#REF!</v>
      </c>
      <c r="F32" s="65">
        <v>45961</v>
      </c>
      <c r="G32" s="82"/>
      <c r="H32" s="151" t="e">
        <f>+D32+H31-8500</f>
        <v>#REF!</v>
      </c>
      <c r="I32" s="82"/>
      <c r="J32" s="82"/>
      <c r="K32" s="82"/>
      <c r="L32" s="82"/>
      <c r="M32" s="82" t="e">
        <f t="shared" si="1"/>
        <v>#REF!</v>
      </c>
    </row>
    <row r="33" spans="1:7">
      <c r="A33" s="65"/>
      <c r="B33" s="82"/>
      <c r="C33" s="104"/>
      <c r="D33" s="104" t="e">
        <f>+D2+D3+D4+D5+D6+D7+D8+D9+D10+D11+D12+D13+D14+D15+D16+D17+D18+D19+D20+D21+D22+D23+D24+D25+D26+D27+D28+D29+D30+D31+D32</f>
        <v>#REF!</v>
      </c>
      <c r="G33" s="82"/>
    </row>
    <row r="34" spans="1:7">
      <c r="B34" s="82"/>
      <c r="G34" s="82"/>
    </row>
    <row r="35" spans="1:7">
      <c r="B35" s="82"/>
      <c r="G35" s="82"/>
    </row>
    <row r="36" spans="1:7">
      <c r="B36" s="82"/>
      <c r="G36" s="82"/>
    </row>
    <row r="37" spans="1:7">
      <c r="B37" s="82"/>
      <c r="G37" s="82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1EEC6-691F-489A-809A-FF69106B7454}">
  <dimension ref="A1:T37"/>
  <sheetViews>
    <sheetView workbookViewId="0">
      <selection activeCell="E43" sqref="E43"/>
    </sheetView>
  </sheetViews>
  <sheetFormatPr defaultColWidth="10.7109375" defaultRowHeight="12.95"/>
  <cols>
    <col min="2" max="2" width="11.85546875" bestFit="1" customWidth="1"/>
    <col min="3" max="3" width="10.28515625" bestFit="1" customWidth="1"/>
    <col min="4" max="4" width="16.85546875" bestFit="1" customWidth="1"/>
    <col min="7" max="7" width="13.42578125" bestFit="1" customWidth="1"/>
    <col min="8" max="8" width="13.42578125" customWidth="1"/>
    <col min="9" max="9" width="11.42578125" bestFit="1" customWidth="1"/>
    <col min="12" max="12" width="11.42578125" bestFit="1" customWidth="1"/>
    <col min="13" max="13" width="13" bestFit="1" customWidth="1"/>
    <col min="15" max="15" width="13" bestFit="1" customWidth="1"/>
    <col min="16" max="16" width="11.85546875" bestFit="1" customWidth="1"/>
    <col min="18" max="18" width="14.85546875" bestFit="1" customWidth="1"/>
    <col min="19" max="19" width="11.42578125" bestFit="1" customWidth="1"/>
  </cols>
  <sheetData>
    <row r="1" spans="1:19" ht="27.95">
      <c r="A1" s="48" t="s">
        <v>1352</v>
      </c>
      <c r="B1" s="48" t="s">
        <v>1356</v>
      </c>
      <c r="C1" s="48" t="s">
        <v>1411</v>
      </c>
      <c r="D1" s="49" t="s">
        <v>1412</v>
      </c>
      <c r="E1" s="95"/>
      <c r="F1" s="48" t="s">
        <v>1352</v>
      </c>
      <c r="G1" s="48" t="s">
        <v>1413</v>
      </c>
      <c r="H1" s="150" t="s">
        <v>1414</v>
      </c>
      <c r="I1" s="96" t="s">
        <v>1415</v>
      </c>
      <c r="J1" s="85" t="s">
        <v>1416</v>
      </c>
      <c r="K1" s="85" t="s">
        <v>571</v>
      </c>
      <c r="L1" s="85" t="s">
        <v>1417</v>
      </c>
      <c r="M1" s="48" t="s">
        <v>1418</v>
      </c>
    </row>
    <row r="2" spans="1:19">
      <c r="A2" s="65">
        <v>45962</v>
      </c>
      <c r="B2" s="82" t="e">
        <f>+GETPIVOTDATA("GANANCIA",Ventas!$G$1,"FECHA",DATE(2025,11,1))</f>
        <v>#REF!</v>
      </c>
      <c r="C2" s="82"/>
      <c r="D2" s="82" t="e">
        <f>+B2-C2</f>
        <v>#REF!</v>
      </c>
      <c r="F2" s="65">
        <v>45931</v>
      </c>
      <c r="G2" s="82"/>
      <c r="H2" s="151" t="e">
        <f>+B2-C2+'P&amp;G OCTUBRE'!H32</f>
        <v>#REF!</v>
      </c>
      <c r="J2" s="82"/>
      <c r="K2" s="82"/>
      <c r="L2" s="82"/>
      <c r="M2" s="82" t="e">
        <f>+G2-H2-J2-I2-K2-L2</f>
        <v>#REF!</v>
      </c>
      <c r="O2" s="104"/>
    </row>
    <row r="3" spans="1:19">
      <c r="A3" s="65">
        <v>45963</v>
      </c>
      <c r="B3" s="82" t="e">
        <f>+GETPIVOTDATA("GANANCIA",Ventas!$G$1,"FECHA",DATE(2025,11,2))</f>
        <v>#REF!</v>
      </c>
      <c r="C3" s="82"/>
      <c r="D3" s="82" t="e">
        <f t="shared" ref="D3:D32" si="0">+B3-C3</f>
        <v>#REF!</v>
      </c>
      <c r="F3" s="65">
        <v>45932</v>
      </c>
      <c r="G3" s="82"/>
      <c r="H3" s="151" t="e">
        <f>+B3-C3+H2</f>
        <v>#REF!</v>
      </c>
      <c r="I3" s="82"/>
      <c r="J3" s="82"/>
      <c r="K3" s="82"/>
      <c r="L3" s="82"/>
      <c r="M3" s="82" t="e">
        <f t="shared" ref="M3:M32" si="1">+G3-H3-J3-I3-K3-L3</f>
        <v>#REF!</v>
      </c>
    </row>
    <row r="4" spans="1:19">
      <c r="A4" s="65">
        <v>45964</v>
      </c>
      <c r="B4" s="82" t="e">
        <f>+GETPIVOTDATA("GANANCIA",Ventas!$G$1,"FECHA",DATE(2025,11,3))</f>
        <v>#REF!</v>
      </c>
      <c r="C4" s="82"/>
      <c r="D4" s="82" t="e">
        <f t="shared" si="0"/>
        <v>#REF!</v>
      </c>
      <c r="F4" s="65">
        <v>45933</v>
      </c>
      <c r="G4" s="82"/>
      <c r="H4" s="151" t="e">
        <f t="shared" ref="H4:H32" si="2">+B4-C4+H3</f>
        <v>#REF!</v>
      </c>
      <c r="I4" s="82"/>
      <c r="J4" s="82"/>
      <c r="K4" s="82"/>
      <c r="L4" s="82"/>
      <c r="M4" s="82" t="e">
        <f t="shared" si="1"/>
        <v>#REF!</v>
      </c>
    </row>
    <row r="5" spans="1:19">
      <c r="A5" s="65">
        <v>45965</v>
      </c>
      <c r="B5" s="82"/>
      <c r="C5" s="82"/>
      <c r="D5" s="82">
        <f t="shared" si="0"/>
        <v>0</v>
      </c>
      <c r="F5" s="65">
        <v>45934</v>
      </c>
      <c r="G5" s="82"/>
      <c r="H5" s="151" t="e">
        <f>+B5-C5+H4+56000-20000</f>
        <v>#REF!</v>
      </c>
      <c r="I5" s="82"/>
      <c r="J5" s="82"/>
      <c r="K5" s="82"/>
      <c r="L5" s="82"/>
      <c r="M5" s="82" t="e">
        <f t="shared" si="1"/>
        <v>#REF!</v>
      </c>
      <c r="O5" s="104"/>
    </row>
    <row r="6" spans="1:19">
      <c r="A6" s="65">
        <v>45966</v>
      </c>
      <c r="B6" s="82" t="e">
        <f>+GETPIVOTDATA("GANANCIA",Ventas!$G$1,"FECHA",DATE(2025,11,5))</f>
        <v>#REF!</v>
      </c>
      <c r="C6" s="82"/>
      <c r="D6" s="82" t="e">
        <f t="shared" si="0"/>
        <v>#REF!</v>
      </c>
      <c r="F6" s="65">
        <v>45935</v>
      </c>
      <c r="G6" s="82"/>
      <c r="H6" s="151" t="e">
        <f>+B6-C6+H5-3200-15600-9500-53700</f>
        <v>#REF!</v>
      </c>
      <c r="I6" s="82"/>
      <c r="J6" s="82"/>
      <c r="K6" s="82"/>
      <c r="L6" s="82"/>
      <c r="M6" s="82" t="e">
        <f t="shared" si="1"/>
        <v>#REF!</v>
      </c>
      <c r="O6" s="104"/>
    </row>
    <row r="7" spans="1:19">
      <c r="A7" s="65">
        <v>45967</v>
      </c>
      <c r="B7" s="82" t="e">
        <f>+GETPIVOTDATA("GANANCIA",Ventas!$G$1,"FECHA",DATE(2025,11,6))</f>
        <v>#REF!</v>
      </c>
      <c r="C7" s="82"/>
      <c r="D7" s="82" t="e">
        <f t="shared" si="0"/>
        <v>#REF!</v>
      </c>
      <c r="F7" s="65">
        <v>45936</v>
      </c>
      <c r="G7" s="82"/>
      <c r="H7" s="151" t="e">
        <f>+B7-C7+H6-20000-19000-3200-8400-4200</f>
        <v>#REF!</v>
      </c>
      <c r="I7" s="82"/>
      <c r="J7" s="82"/>
      <c r="K7" s="82"/>
      <c r="L7" s="82"/>
      <c r="M7" s="82" t="e">
        <f t="shared" si="1"/>
        <v>#REF!</v>
      </c>
    </row>
    <row r="8" spans="1:19">
      <c r="A8" s="65">
        <v>45968</v>
      </c>
      <c r="B8" s="82" t="e">
        <f>+GETPIVOTDATA("GANANCIA",Ventas!$G$1,"FECHA",DATE(2025,11,7))</f>
        <v>#REF!</v>
      </c>
      <c r="C8" s="82"/>
      <c r="D8" s="82" t="e">
        <f t="shared" si="0"/>
        <v>#REF!</v>
      </c>
      <c r="F8" s="65">
        <v>45937</v>
      </c>
      <c r="G8" s="82"/>
      <c r="H8" s="151" t="e">
        <f t="shared" si="2"/>
        <v>#REF!</v>
      </c>
      <c r="I8" s="82"/>
      <c r="J8" s="82"/>
      <c r="K8" s="82"/>
      <c r="L8" s="82"/>
      <c r="M8" s="82" t="e">
        <f t="shared" si="1"/>
        <v>#REF!</v>
      </c>
      <c r="O8" s="104"/>
    </row>
    <row r="9" spans="1:19">
      <c r="A9" s="65">
        <v>45969</v>
      </c>
      <c r="B9" s="82">
        <f>+Ventas!H271</f>
        <v>0</v>
      </c>
      <c r="C9" s="82"/>
      <c r="D9" s="82">
        <f t="shared" si="0"/>
        <v>0</v>
      </c>
      <c r="F9" s="65">
        <v>45938</v>
      </c>
      <c r="G9" s="82"/>
      <c r="H9" s="151" t="e">
        <f t="shared" si="2"/>
        <v>#REF!</v>
      </c>
      <c r="I9" s="82"/>
      <c r="J9" s="82"/>
      <c r="K9" s="82"/>
      <c r="L9" s="82"/>
      <c r="M9" s="82" t="e">
        <f t="shared" si="1"/>
        <v>#REF!</v>
      </c>
      <c r="O9" s="104"/>
    </row>
    <row r="10" spans="1:19">
      <c r="A10" s="65">
        <v>45970</v>
      </c>
      <c r="B10" s="82">
        <f>+Ventas!H272</f>
        <v>0</v>
      </c>
      <c r="C10" s="82"/>
      <c r="D10" s="82">
        <f t="shared" si="0"/>
        <v>0</v>
      </c>
      <c r="F10" s="65">
        <v>45939</v>
      </c>
      <c r="G10" s="82">
        <f>949425+O15+P15</f>
        <v>1121425</v>
      </c>
      <c r="H10" s="151" t="e">
        <f>+B10-C10+H9-3200+64000</f>
        <v>#REF!</v>
      </c>
      <c r="I10" s="82"/>
      <c r="J10" s="82"/>
      <c r="K10" s="82"/>
      <c r="L10" s="82"/>
      <c r="M10" s="82" t="e">
        <f t="shared" si="1"/>
        <v>#REF!</v>
      </c>
    </row>
    <row r="11" spans="1:19">
      <c r="A11" s="65">
        <v>45971</v>
      </c>
      <c r="B11" s="82">
        <f>+Ventas!H273</f>
        <v>0</v>
      </c>
      <c r="C11" s="82"/>
      <c r="D11" s="82">
        <f t="shared" si="0"/>
        <v>0</v>
      </c>
      <c r="F11" s="65">
        <v>45940</v>
      </c>
      <c r="G11" s="82"/>
      <c r="H11" s="151" t="e">
        <f t="shared" si="2"/>
        <v>#REF!</v>
      </c>
      <c r="I11" s="82"/>
      <c r="J11" s="82"/>
      <c r="K11" s="82"/>
      <c r="L11" s="82"/>
      <c r="M11" s="82" t="e">
        <f t="shared" si="1"/>
        <v>#REF!</v>
      </c>
      <c r="O11" s="104"/>
    </row>
    <row r="12" spans="1:19">
      <c r="A12" s="65">
        <v>45972</v>
      </c>
      <c r="B12" s="82">
        <f>+Ventas!H274</f>
        <v>0</v>
      </c>
      <c r="C12" s="82"/>
      <c r="D12" s="82">
        <f t="shared" si="0"/>
        <v>0</v>
      </c>
      <c r="F12" s="65">
        <v>45941</v>
      </c>
      <c r="G12" s="82">
        <f>1010826+O15+P15</f>
        <v>1182826</v>
      </c>
      <c r="H12" s="151" t="e">
        <f>+B12-C12+H11-8000-5000-13000-8300</f>
        <v>#REF!</v>
      </c>
      <c r="I12" s="82"/>
      <c r="J12" s="82"/>
      <c r="K12" s="82"/>
      <c r="L12" s="82"/>
      <c r="M12" s="82" t="e">
        <f t="shared" si="1"/>
        <v>#REF!</v>
      </c>
      <c r="O12" s="104"/>
      <c r="P12" s="104"/>
      <c r="Q12" s="104"/>
      <c r="R12" s="104"/>
    </row>
    <row r="13" spans="1:19">
      <c r="A13" s="65">
        <v>45973</v>
      </c>
      <c r="B13" s="82" t="e">
        <f>+GETPIVOTDATA("GANANCIA",Ventas!$G$1,"FECHA",DATE(2025,11,12))</f>
        <v>#REF!</v>
      </c>
      <c r="C13" s="82"/>
      <c r="D13" s="82" t="e">
        <f t="shared" si="0"/>
        <v>#REF!</v>
      </c>
      <c r="F13" s="65">
        <v>45942</v>
      </c>
      <c r="G13" s="82">
        <f>754549+P15+O15</f>
        <v>926549</v>
      </c>
      <c r="H13" s="151" t="e">
        <f>+D13+H12-9400-100000</f>
        <v>#REF!</v>
      </c>
      <c r="I13" s="82"/>
      <c r="J13" s="82"/>
      <c r="K13" s="82"/>
      <c r="L13" s="82"/>
      <c r="M13" s="82" t="e">
        <f t="shared" si="1"/>
        <v>#REF!</v>
      </c>
      <c r="O13" s="104"/>
      <c r="P13" s="104"/>
      <c r="Q13" s="104"/>
      <c r="R13" s="104"/>
    </row>
    <row r="14" spans="1:19">
      <c r="A14" s="65">
        <v>45974</v>
      </c>
      <c r="B14" s="82" t="e">
        <f>+GETPIVOTDATA("GANANCIA",Ventas!$G$1,"FECHA",DATE(2025,11,13))</f>
        <v>#REF!</v>
      </c>
      <c r="C14" s="82"/>
      <c r="D14" s="82" t="e">
        <f t="shared" si="0"/>
        <v>#REF!</v>
      </c>
      <c r="F14" s="65">
        <v>45943</v>
      </c>
      <c r="G14" s="82"/>
      <c r="H14" s="151" t="e">
        <f>+B14-C14+H13-33000-9000-9000</f>
        <v>#REF!</v>
      </c>
      <c r="I14" s="82"/>
      <c r="J14" s="82"/>
      <c r="K14" s="82"/>
      <c r="L14" s="82"/>
      <c r="M14" s="82" t="e">
        <f t="shared" si="1"/>
        <v>#REF!</v>
      </c>
      <c r="O14" s="104" t="s">
        <v>1556</v>
      </c>
      <c r="P14" s="104" t="s">
        <v>1557</v>
      </c>
      <c r="Q14" s="104"/>
      <c r="R14" s="104"/>
    </row>
    <row r="15" spans="1:19">
      <c r="A15" s="65">
        <v>45975</v>
      </c>
      <c r="B15" s="82"/>
      <c r="C15" s="82"/>
      <c r="D15" s="82">
        <f t="shared" si="0"/>
        <v>0</v>
      </c>
      <c r="F15" s="65">
        <v>45944</v>
      </c>
      <c r="G15" s="82"/>
      <c r="H15" s="151" t="e">
        <f>+B15-C15+H14-8000</f>
        <v>#REF!</v>
      </c>
      <c r="I15" s="82"/>
      <c r="J15" s="82"/>
      <c r="K15" s="82"/>
      <c r="L15" s="82"/>
      <c r="M15" s="82" t="e">
        <f t="shared" si="1"/>
        <v>#REF!</v>
      </c>
      <c r="O15" s="104">
        <f>108000+36000</f>
        <v>144000</v>
      </c>
      <c r="P15" s="104">
        <f>56000-28000</f>
        <v>28000</v>
      </c>
      <c r="Q15" s="104"/>
      <c r="R15" s="104"/>
    </row>
    <row r="16" spans="1:19">
      <c r="A16" s="65">
        <v>45976</v>
      </c>
      <c r="B16" s="82" t="e">
        <f>+GETPIVOTDATA("GANANCIA",Ventas!$G$1,"FECHA",DATE(2025,11,15))</f>
        <v>#REF!</v>
      </c>
      <c r="C16" s="82"/>
      <c r="D16" s="82" t="e">
        <f t="shared" si="0"/>
        <v>#REF!</v>
      </c>
      <c r="F16" s="65">
        <v>45945</v>
      </c>
      <c r="G16" s="82"/>
      <c r="H16" s="151" t="e">
        <f t="shared" si="2"/>
        <v>#REF!</v>
      </c>
      <c r="I16" s="82"/>
      <c r="J16" s="82"/>
      <c r="K16" s="82"/>
      <c r="L16" s="82"/>
      <c r="M16" s="82" t="e">
        <f t="shared" si="1"/>
        <v>#REF!</v>
      </c>
      <c r="S16" s="104"/>
    </row>
    <row r="17" spans="1:20">
      <c r="A17" s="65">
        <v>45977</v>
      </c>
      <c r="B17" s="82"/>
      <c r="C17" s="82"/>
      <c r="D17" s="82">
        <f t="shared" si="0"/>
        <v>0</v>
      </c>
      <c r="F17" s="65">
        <v>45946</v>
      </c>
      <c r="G17" s="82"/>
      <c r="H17" s="151" t="e">
        <f>+B17-C17+H16-69000-29000-14000-4000-3900</f>
        <v>#REF!</v>
      </c>
      <c r="I17" s="82"/>
      <c r="J17" s="82"/>
      <c r="K17" s="82"/>
      <c r="L17" s="82"/>
      <c r="M17" s="82" t="e">
        <f t="shared" si="1"/>
        <v>#REF!</v>
      </c>
      <c r="O17" s="104"/>
      <c r="P17" s="104"/>
      <c r="R17" s="104"/>
      <c r="S17" s="104"/>
      <c r="T17" s="104"/>
    </row>
    <row r="18" spans="1:20">
      <c r="A18" s="65">
        <v>45978</v>
      </c>
      <c r="B18" s="82" t="e">
        <f>+GETPIVOTDATA("GANANCIA",Ventas!$G$1,"FECHA",DATE(2025,11,17))</f>
        <v>#REF!</v>
      </c>
      <c r="C18" s="82"/>
      <c r="D18" s="82" t="e">
        <f t="shared" si="0"/>
        <v>#REF!</v>
      </c>
      <c r="F18" s="65">
        <v>45947</v>
      </c>
      <c r="G18" s="82">
        <f>557437+O15+P15</f>
        <v>729437</v>
      </c>
      <c r="H18" s="151" t="e">
        <f t="shared" si="2"/>
        <v>#REF!</v>
      </c>
      <c r="I18" s="82"/>
      <c r="J18" s="82"/>
      <c r="K18" s="82"/>
      <c r="L18" s="82"/>
      <c r="M18" s="82" t="e">
        <f t="shared" si="1"/>
        <v>#REF!</v>
      </c>
      <c r="O18" s="104"/>
      <c r="P18" s="104"/>
      <c r="Q18" s="104"/>
      <c r="R18" s="104"/>
    </row>
    <row r="19" spans="1:20">
      <c r="A19" s="65">
        <v>45979</v>
      </c>
      <c r="B19" s="82" t="e">
        <f>+GETPIVOTDATA("GANANCIA",Ventas!$G$1,"FECHA",DATE(2025,11,18))</f>
        <v>#REF!</v>
      </c>
      <c r="C19" s="82"/>
      <c r="D19" s="82" t="e">
        <f t="shared" si="0"/>
        <v>#REF!</v>
      </c>
      <c r="F19" s="65">
        <v>45948</v>
      </c>
      <c r="G19" s="82"/>
      <c r="H19" s="151" t="e">
        <f>+B19-C19+H18-3200-8323-45600-15000+48000</f>
        <v>#REF!</v>
      </c>
      <c r="I19" s="82"/>
      <c r="J19" s="82"/>
      <c r="K19" s="82"/>
      <c r="L19" s="82">
        <v>0</v>
      </c>
      <c r="M19" s="82" t="e">
        <f t="shared" si="1"/>
        <v>#REF!</v>
      </c>
      <c r="O19" s="104"/>
      <c r="P19" s="104"/>
      <c r="R19" s="104"/>
      <c r="S19" s="104"/>
    </row>
    <row r="20" spans="1:20">
      <c r="A20" s="65">
        <v>45980</v>
      </c>
      <c r="B20" s="82" t="e">
        <f>+GETPIVOTDATA("GANANCIA",Ventas!$G$1,"FECHA",DATE(2025,11,19))</f>
        <v>#REF!</v>
      </c>
      <c r="C20" s="82"/>
      <c r="D20" s="82" t="e">
        <f t="shared" si="0"/>
        <v>#REF!</v>
      </c>
      <c r="F20" s="65">
        <v>45949</v>
      </c>
      <c r="G20" s="82"/>
      <c r="H20" s="151" t="e">
        <f>+B20-C20+H19-3200-6200</f>
        <v>#REF!</v>
      </c>
      <c r="I20" s="82"/>
      <c r="J20" s="82"/>
      <c r="K20" s="82"/>
      <c r="L20" s="82"/>
      <c r="M20" s="82" t="e">
        <f t="shared" si="1"/>
        <v>#REF!</v>
      </c>
      <c r="O20" s="104"/>
      <c r="P20" s="104"/>
    </row>
    <row r="21" spans="1:20">
      <c r="A21" s="65">
        <v>45981</v>
      </c>
      <c r="B21" s="82">
        <f>+Ventas!H281</f>
        <v>0</v>
      </c>
      <c r="C21" s="82"/>
      <c r="D21" s="82">
        <f t="shared" si="0"/>
        <v>0</v>
      </c>
      <c r="F21" s="65">
        <v>45950</v>
      </c>
      <c r="G21" s="82"/>
      <c r="H21" s="151" t="e">
        <f>+B21-C21+H20-3200-3200-6000-22000</f>
        <v>#REF!</v>
      </c>
      <c r="I21" s="82"/>
      <c r="J21" s="82"/>
      <c r="K21" s="82"/>
      <c r="L21" s="82"/>
      <c r="M21" s="82" t="e">
        <f t="shared" si="1"/>
        <v>#REF!</v>
      </c>
      <c r="P21" s="104"/>
      <c r="S21" s="104"/>
      <c r="T21" s="104"/>
    </row>
    <row r="22" spans="1:20">
      <c r="A22" s="65">
        <v>45982</v>
      </c>
      <c r="B22" s="82" t="e">
        <f>+GETPIVOTDATA("GANANCIA",Ventas!$G$1,"FECHA",DATE(2025,11,21))</f>
        <v>#REF!</v>
      </c>
      <c r="C22" s="82"/>
      <c r="D22" s="82" t="e">
        <f t="shared" si="0"/>
        <v>#REF!</v>
      </c>
      <c r="F22" s="65">
        <v>45951</v>
      </c>
      <c r="G22" s="82"/>
      <c r="H22" s="151" t="e">
        <f>+B22-C22+H21-15000</f>
        <v>#REF!</v>
      </c>
      <c r="I22" s="82"/>
      <c r="J22" s="82"/>
      <c r="K22" s="82"/>
      <c r="L22" s="82"/>
      <c r="M22" s="82" t="e">
        <f t="shared" si="1"/>
        <v>#REF!</v>
      </c>
    </row>
    <row r="23" spans="1:20">
      <c r="A23" s="65">
        <v>45983</v>
      </c>
      <c r="B23" s="82" t="e">
        <f>+GETPIVOTDATA("GANANCIA",Ventas!$G$1,"FECHA",DATE(2025,11,22))</f>
        <v>#REF!</v>
      </c>
      <c r="C23" s="82"/>
      <c r="D23" s="82" t="e">
        <f t="shared" si="0"/>
        <v>#REF!</v>
      </c>
      <c r="F23" s="65">
        <v>45952</v>
      </c>
      <c r="G23" s="82"/>
      <c r="H23" s="151" t="e">
        <f>+B23-C23+H22-38600</f>
        <v>#REF!</v>
      </c>
      <c r="I23" s="82"/>
      <c r="J23" s="82"/>
      <c r="K23" s="82"/>
      <c r="L23" s="82"/>
      <c r="M23" s="82" t="e">
        <f t="shared" si="1"/>
        <v>#REF!</v>
      </c>
      <c r="P23" s="104"/>
      <c r="S23" s="104"/>
    </row>
    <row r="24" spans="1:20">
      <c r="A24" s="65">
        <v>45984</v>
      </c>
      <c r="B24" s="82" t="e">
        <f>+GETPIVOTDATA("GANANCIA",Ventas!$G$1,"FECHA",DATE(2025,11,23))</f>
        <v>#REF!</v>
      </c>
      <c r="C24" s="82"/>
      <c r="D24" s="82" t="e">
        <f t="shared" si="0"/>
        <v>#REF!</v>
      </c>
      <c r="F24" s="65">
        <v>45953</v>
      </c>
      <c r="G24" s="82"/>
      <c r="H24" s="151" t="e">
        <f t="shared" si="2"/>
        <v>#REF!</v>
      </c>
      <c r="I24" s="82"/>
      <c r="J24" s="82"/>
      <c r="K24" s="82"/>
      <c r="L24" s="82"/>
      <c r="M24" s="82" t="e">
        <f t="shared" si="1"/>
        <v>#REF!</v>
      </c>
      <c r="O24" s="104"/>
      <c r="P24" s="104"/>
    </row>
    <row r="25" spans="1:20">
      <c r="A25" s="65">
        <v>45985</v>
      </c>
      <c r="B25" s="82" t="e">
        <f>+GETPIVOTDATA("GANANCIA",Ventas!$G$1,"FECHA",DATE(2025,11,24))</f>
        <v>#REF!</v>
      </c>
      <c r="C25" s="82"/>
      <c r="D25" s="82" t="e">
        <f t="shared" si="0"/>
        <v>#REF!</v>
      </c>
      <c r="F25" s="65">
        <v>45954</v>
      </c>
      <c r="G25" s="82"/>
      <c r="H25" s="151" t="e">
        <f>+B25-C25+H24-12990-3200-19400</f>
        <v>#REF!</v>
      </c>
      <c r="I25" s="82"/>
      <c r="J25" s="82"/>
      <c r="K25" s="82"/>
      <c r="L25" s="82"/>
      <c r="M25" s="82" t="e">
        <f t="shared" si="1"/>
        <v>#REF!</v>
      </c>
      <c r="O25" s="104"/>
      <c r="P25" s="104"/>
      <c r="S25" s="104"/>
    </row>
    <row r="26" spans="1:20">
      <c r="A26" s="65">
        <v>45986</v>
      </c>
      <c r="B26" s="82" t="e">
        <f>+GETPIVOTDATA("GANANCIA",Ventas!$G$1,"FECHA",DATE(2025,11,25))</f>
        <v>#REF!</v>
      </c>
      <c r="C26" s="82"/>
      <c r="D26" s="82" t="e">
        <f t="shared" si="0"/>
        <v>#REF!</v>
      </c>
      <c r="F26" s="65">
        <v>45955</v>
      </c>
      <c r="G26" s="82"/>
      <c r="H26" s="151" t="e">
        <f>+B26-C26+H25+64000+500-3200</f>
        <v>#REF!</v>
      </c>
      <c r="I26" s="82"/>
      <c r="J26" s="82"/>
      <c r="K26" s="82"/>
      <c r="L26" s="82"/>
      <c r="M26" s="82" t="e">
        <f t="shared" si="1"/>
        <v>#REF!</v>
      </c>
      <c r="O26" s="104"/>
      <c r="P26" s="104"/>
      <c r="S26" s="104"/>
    </row>
    <row r="27" spans="1:20">
      <c r="A27" s="65">
        <v>45987</v>
      </c>
      <c r="B27" s="82" t="e">
        <f>+GETPIVOTDATA("GANANCIA",Ventas!$G$1,"FECHA",DATE(2025,11,26))</f>
        <v>#REF!</v>
      </c>
      <c r="C27" s="82"/>
      <c r="D27" s="82" t="e">
        <f t="shared" si="0"/>
        <v>#REF!</v>
      </c>
      <c r="F27" s="65">
        <v>45956</v>
      </c>
      <c r="G27" s="82"/>
      <c r="H27" s="151" t="e">
        <f>+B27-C27+H26-9000-5000-2000</f>
        <v>#REF!</v>
      </c>
      <c r="I27" s="82"/>
      <c r="J27" s="82"/>
      <c r="K27" s="82"/>
      <c r="L27" s="82"/>
      <c r="M27" s="82" t="e">
        <f t="shared" si="1"/>
        <v>#REF!</v>
      </c>
      <c r="P27" s="104"/>
      <c r="S27" s="104"/>
      <c r="T27" s="65"/>
    </row>
    <row r="28" spans="1:20">
      <c r="A28" s="65">
        <v>45988</v>
      </c>
      <c r="B28" s="82" t="e">
        <f>+GETPIVOTDATA("GANANCIA",Ventas!$G$1,"FECHA",DATE(2025,11,27))</f>
        <v>#REF!</v>
      </c>
      <c r="C28" s="82"/>
      <c r="D28" s="82" t="e">
        <f t="shared" si="0"/>
        <v>#REF!</v>
      </c>
      <c r="F28" s="65">
        <v>45957</v>
      </c>
      <c r="G28" s="82"/>
      <c r="H28" s="151" t="e">
        <f>+B28-C28+H27-8400</f>
        <v>#REF!</v>
      </c>
      <c r="I28" s="82"/>
      <c r="J28" s="82"/>
      <c r="K28" s="82"/>
      <c r="L28" s="82"/>
      <c r="M28" s="82" t="e">
        <f t="shared" si="1"/>
        <v>#REF!</v>
      </c>
    </row>
    <row r="29" spans="1:20">
      <c r="A29" s="65">
        <v>45989</v>
      </c>
      <c r="B29" s="82" t="e">
        <f>+GETPIVOTDATA("GANANCIA",Ventas!$G$1,"FECHA",DATE(2025,11,28))</f>
        <v>#REF!</v>
      </c>
      <c r="C29" s="82"/>
      <c r="D29" s="82" t="e">
        <f t="shared" si="0"/>
        <v>#REF!</v>
      </c>
      <c r="F29" s="65">
        <v>45958</v>
      </c>
      <c r="G29" s="82"/>
      <c r="H29" s="151" t="e">
        <f>+B29-C29+H28-3200-25000</f>
        <v>#REF!</v>
      </c>
      <c r="I29" s="82"/>
      <c r="J29" s="82"/>
      <c r="K29" s="82"/>
      <c r="L29" s="82"/>
      <c r="M29" s="82" t="e">
        <f t="shared" si="1"/>
        <v>#REF!</v>
      </c>
    </row>
    <row r="30" spans="1:20">
      <c r="A30" s="65">
        <v>45990</v>
      </c>
      <c r="B30" s="82" t="e">
        <f>+GETPIVOTDATA("GANANCIA",Ventas!$G$1,"FECHA",DATE(2025,11,29))</f>
        <v>#REF!</v>
      </c>
      <c r="C30" s="82"/>
      <c r="D30" s="82" t="e">
        <f t="shared" si="0"/>
        <v>#REF!</v>
      </c>
      <c r="F30" s="65">
        <v>45959</v>
      </c>
      <c r="G30" s="82"/>
      <c r="H30" s="151" t="e">
        <f t="shared" si="2"/>
        <v>#REF!</v>
      </c>
      <c r="I30" s="82"/>
      <c r="J30" s="82"/>
      <c r="K30" s="82"/>
      <c r="L30" s="82"/>
      <c r="M30" s="82" t="e">
        <f t="shared" si="1"/>
        <v>#REF!</v>
      </c>
    </row>
    <row r="31" spans="1:20">
      <c r="A31" s="65">
        <v>45991</v>
      </c>
      <c r="B31" s="82" t="e">
        <f>+GETPIVOTDATA("GANANCIA",Ventas!$G$1,"FECHA",DATE(2025,11,30))</f>
        <v>#REF!</v>
      </c>
      <c r="C31" s="82"/>
      <c r="D31" s="82" t="e">
        <f t="shared" si="0"/>
        <v>#REF!</v>
      </c>
      <c r="F31" s="65">
        <v>45960</v>
      </c>
      <c r="G31" s="82">
        <f>782664+O15+P15</f>
        <v>954664</v>
      </c>
      <c r="H31" s="151" t="e">
        <f>+B31-C31+H30-23900</f>
        <v>#REF!</v>
      </c>
      <c r="I31" s="82"/>
      <c r="J31" s="82"/>
      <c r="K31" s="82"/>
      <c r="L31" s="82"/>
      <c r="M31" s="82" t="e">
        <f t="shared" si="1"/>
        <v>#REF!</v>
      </c>
    </row>
    <row r="32" spans="1:20">
      <c r="A32" s="65">
        <v>45992</v>
      </c>
      <c r="B32" s="82"/>
      <c r="C32" s="82"/>
      <c r="D32" s="82">
        <f t="shared" si="0"/>
        <v>0</v>
      </c>
      <c r="F32" s="65">
        <v>45961</v>
      </c>
      <c r="G32" s="82"/>
      <c r="H32" s="151" t="e">
        <f t="shared" si="2"/>
        <v>#REF!</v>
      </c>
      <c r="I32" s="82"/>
      <c r="J32" s="82"/>
      <c r="K32" s="82"/>
      <c r="L32" s="82"/>
      <c r="M32" s="82" t="e">
        <f t="shared" si="1"/>
        <v>#REF!</v>
      </c>
    </row>
    <row r="33" spans="1:7">
      <c r="A33" s="65"/>
      <c r="B33" s="82"/>
      <c r="C33" s="104"/>
      <c r="D33" s="104" t="e">
        <f>+D2+D3+D4+D5+D6+D7+D8+D9+D10+D11+D12+D13+D14+D15+D16+D17+D18+D19+D20+D21+D22+D23+D24+D25+D26+D27+D28+D29+D30+D31+D32</f>
        <v>#REF!</v>
      </c>
      <c r="G33" s="82"/>
    </row>
    <row r="34" spans="1:7">
      <c r="B34" s="82"/>
      <c r="G34" s="82"/>
    </row>
    <row r="35" spans="1:7">
      <c r="B35" s="82"/>
      <c r="G35" s="82"/>
    </row>
    <row r="36" spans="1:7">
      <c r="B36" s="82"/>
      <c r="G36" s="82"/>
    </row>
    <row r="37" spans="1:7">
      <c r="B37" s="82"/>
      <c r="G37" s="82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C0B5FB-FB26-4604-A824-0B4369C8F669}">
  <dimension ref="A1:T37"/>
  <sheetViews>
    <sheetView topLeftCell="A9" workbookViewId="0">
      <selection activeCell="I2" sqref="H2:I15"/>
    </sheetView>
  </sheetViews>
  <sheetFormatPr defaultColWidth="10.7109375" defaultRowHeight="12.95"/>
  <cols>
    <col min="2" max="2" width="15.28515625" bestFit="1" customWidth="1"/>
    <col min="3" max="3" width="10.28515625" bestFit="1" customWidth="1"/>
    <col min="4" max="4" width="16.85546875" bestFit="1" customWidth="1"/>
    <col min="7" max="7" width="13.42578125" bestFit="1" customWidth="1"/>
    <col min="8" max="8" width="13.42578125" customWidth="1"/>
    <col min="9" max="9" width="11.42578125" bestFit="1" customWidth="1"/>
    <col min="12" max="12" width="11.42578125" bestFit="1" customWidth="1"/>
    <col min="13" max="13" width="13" bestFit="1" customWidth="1"/>
    <col min="15" max="15" width="13" bestFit="1" customWidth="1"/>
    <col min="16" max="16" width="11.85546875" bestFit="1" customWidth="1"/>
    <col min="18" max="18" width="14.85546875" bestFit="1" customWidth="1"/>
    <col min="19" max="19" width="11.42578125" bestFit="1" customWidth="1"/>
  </cols>
  <sheetData>
    <row r="1" spans="1:19" ht="27.95">
      <c r="A1" s="48" t="s">
        <v>1352</v>
      </c>
      <c r="B1" s="48" t="s">
        <v>1356</v>
      </c>
      <c r="C1" s="48" t="s">
        <v>1411</v>
      </c>
      <c r="D1" s="49" t="s">
        <v>1412</v>
      </c>
      <c r="E1" s="95"/>
      <c r="F1" s="48" t="s">
        <v>1352</v>
      </c>
      <c r="G1" s="48" t="s">
        <v>1413</v>
      </c>
      <c r="H1" s="150" t="s">
        <v>1414</v>
      </c>
      <c r="I1" s="96" t="s">
        <v>1415</v>
      </c>
      <c r="J1" s="85" t="s">
        <v>1416</v>
      </c>
      <c r="K1" s="85" t="s">
        <v>571</v>
      </c>
      <c r="L1" s="85" t="s">
        <v>1417</v>
      </c>
      <c r="M1" s="48" t="s">
        <v>1418</v>
      </c>
    </row>
    <row r="2" spans="1:19">
      <c r="A2" s="65">
        <v>45992</v>
      </c>
      <c r="B2" s="82"/>
      <c r="C2" s="82"/>
      <c r="D2" s="82"/>
      <c r="F2" s="65">
        <v>45931</v>
      </c>
      <c r="G2" s="82"/>
      <c r="H2" s="151" t="e">
        <f>+D2+'P&amp;G NOVIEMBRE'!H31-4300</f>
        <v>#REF!</v>
      </c>
      <c r="J2" s="82"/>
      <c r="K2" s="82"/>
      <c r="L2" s="82"/>
      <c r="M2" s="82" t="e">
        <f>+G2-H2-J2-I2-K2-L2</f>
        <v>#REF!</v>
      </c>
      <c r="O2" s="104"/>
    </row>
    <row r="3" spans="1:19">
      <c r="A3" s="65">
        <v>45993</v>
      </c>
      <c r="B3" s="82"/>
      <c r="C3" s="82"/>
      <c r="D3" s="82"/>
      <c r="F3" s="65">
        <v>45932</v>
      </c>
      <c r="G3" s="82"/>
      <c r="H3" s="151" t="e">
        <f>D3+H2-3200-6400+64000</f>
        <v>#REF!</v>
      </c>
      <c r="I3" s="82"/>
      <c r="J3" s="82"/>
      <c r="K3" s="82"/>
      <c r="L3" s="82"/>
      <c r="M3" s="82" t="e">
        <f t="shared" ref="M3:M32" si="0">+G3-H3-J3-I3-K3-L3</f>
        <v>#REF!</v>
      </c>
    </row>
    <row r="4" spans="1:19">
      <c r="A4" s="65">
        <v>45994</v>
      </c>
      <c r="B4" s="82"/>
      <c r="C4" s="82"/>
      <c r="D4" s="82"/>
      <c r="F4" s="65">
        <v>45933</v>
      </c>
      <c r="G4" s="82"/>
      <c r="H4" s="151" t="e">
        <f>D4+H3-9000-6000-5000</f>
        <v>#REF!</v>
      </c>
      <c r="I4" s="82"/>
      <c r="J4" s="82"/>
      <c r="K4" s="82"/>
      <c r="L4" s="82"/>
      <c r="M4" s="82" t="e">
        <f t="shared" si="0"/>
        <v>#REF!</v>
      </c>
    </row>
    <row r="5" spans="1:19">
      <c r="A5" s="65">
        <v>45995</v>
      </c>
      <c r="B5" s="82"/>
      <c r="C5" s="82"/>
      <c r="D5" s="82"/>
      <c r="F5" s="65">
        <v>45934</v>
      </c>
      <c r="G5" s="82"/>
      <c r="H5" s="151" t="e">
        <f>D5+H4-9620+100000+10000-9617</f>
        <v>#REF!</v>
      </c>
      <c r="I5" s="82"/>
      <c r="J5" s="82"/>
      <c r="K5" s="82"/>
      <c r="L5" s="82"/>
      <c r="M5" s="82" t="e">
        <f t="shared" si="0"/>
        <v>#REF!</v>
      </c>
      <c r="O5" s="104"/>
    </row>
    <row r="6" spans="1:19">
      <c r="A6" s="65">
        <v>45996</v>
      </c>
      <c r="B6" s="82"/>
      <c r="C6" s="82"/>
      <c r="D6" s="82"/>
      <c r="F6" s="65">
        <v>45935</v>
      </c>
      <c r="G6" s="82"/>
      <c r="H6" s="151" t="e">
        <f>D6+H5-9490</f>
        <v>#REF!</v>
      </c>
      <c r="I6" s="82"/>
      <c r="J6" s="82"/>
      <c r="K6" s="82"/>
      <c r="L6" s="82"/>
      <c r="M6" s="82" t="e">
        <f t="shared" si="0"/>
        <v>#REF!</v>
      </c>
      <c r="O6" s="104"/>
    </row>
    <row r="7" spans="1:19">
      <c r="A7" s="65">
        <v>45997</v>
      </c>
      <c r="B7" s="82"/>
      <c r="C7" s="82"/>
      <c r="D7" s="82"/>
      <c r="F7" s="65">
        <v>45936</v>
      </c>
      <c r="G7" s="82"/>
      <c r="H7" s="151" t="e">
        <f>D7+H6-15600</f>
        <v>#REF!</v>
      </c>
      <c r="I7" s="82"/>
      <c r="J7" s="82"/>
      <c r="K7" s="82"/>
      <c r="L7" s="82"/>
      <c r="M7" s="82" t="e">
        <f t="shared" si="0"/>
        <v>#REF!</v>
      </c>
      <c r="P7" s="104"/>
    </row>
    <row r="8" spans="1:19">
      <c r="A8" s="65">
        <v>45998</v>
      </c>
      <c r="B8" s="82"/>
      <c r="C8" s="82"/>
      <c r="D8" s="82"/>
      <c r="F8" s="65">
        <v>45937</v>
      </c>
      <c r="G8" s="82"/>
      <c r="H8" s="151" t="e">
        <f>D8+H7-8400-14900</f>
        <v>#REF!</v>
      </c>
      <c r="I8" s="82"/>
      <c r="J8" s="82"/>
      <c r="K8" s="82"/>
      <c r="L8" s="82"/>
      <c r="M8" s="82" t="e">
        <f t="shared" si="0"/>
        <v>#REF!</v>
      </c>
      <c r="O8" s="104"/>
    </row>
    <row r="9" spans="1:19">
      <c r="A9" s="65">
        <v>45999</v>
      </c>
      <c r="B9" s="82"/>
      <c r="C9" s="82"/>
      <c r="D9" s="82"/>
      <c r="F9" s="65">
        <v>45938</v>
      </c>
      <c r="G9" s="82"/>
      <c r="H9" s="151" t="e">
        <f>D9+H8+56000</f>
        <v>#REF!</v>
      </c>
      <c r="I9" s="82"/>
      <c r="J9" s="82"/>
      <c r="K9" s="82"/>
      <c r="L9" s="82"/>
      <c r="M9" s="82" t="e">
        <f t="shared" si="0"/>
        <v>#REF!</v>
      </c>
      <c r="O9" s="104"/>
    </row>
    <row r="10" spans="1:19">
      <c r="A10" s="65">
        <v>46000</v>
      </c>
      <c r="B10" s="82"/>
      <c r="C10" s="82"/>
      <c r="D10" s="82"/>
      <c r="F10" s="65">
        <v>45939</v>
      </c>
      <c r="G10" s="82"/>
      <c r="H10" s="151" t="e">
        <f t="shared" ref="H10:H32" si="1">D10+H9</f>
        <v>#REF!</v>
      </c>
      <c r="I10" s="82"/>
      <c r="J10" s="82"/>
      <c r="K10" s="82"/>
      <c r="L10" s="82"/>
      <c r="M10" s="82" t="e">
        <f t="shared" si="0"/>
        <v>#REF!</v>
      </c>
    </row>
    <row r="11" spans="1:19">
      <c r="A11" s="65">
        <v>46001</v>
      </c>
      <c r="B11" s="82"/>
      <c r="C11" s="82"/>
      <c r="D11" s="82"/>
      <c r="F11" s="65">
        <v>45940</v>
      </c>
      <c r="G11" s="82"/>
      <c r="H11" s="151" t="e">
        <f>D11+H10-4200-9300</f>
        <v>#REF!</v>
      </c>
      <c r="I11" s="82"/>
      <c r="J11" s="82"/>
      <c r="K11" s="82"/>
      <c r="L11" s="82"/>
      <c r="M11" s="82" t="e">
        <f t="shared" si="0"/>
        <v>#REF!</v>
      </c>
      <c r="O11" s="104"/>
    </row>
    <row r="12" spans="1:19">
      <c r="A12" s="65">
        <v>46002</v>
      </c>
      <c r="B12" s="82"/>
      <c r="C12" s="82"/>
      <c r="D12" s="82"/>
      <c r="F12" s="65">
        <v>45941</v>
      </c>
      <c r="G12" s="82"/>
      <c r="H12" s="151" t="e">
        <f>D12+H11-7900-21700-9172+1165000-1140062-28000</f>
        <v>#REF!</v>
      </c>
      <c r="I12" s="82"/>
      <c r="J12" s="82"/>
      <c r="K12" s="82"/>
      <c r="L12" s="82"/>
      <c r="M12" s="82" t="e">
        <f t="shared" si="0"/>
        <v>#REF!</v>
      </c>
      <c r="O12" s="104"/>
      <c r="Q12" s="104"/>
      <c r="R12" s="104"/>
    </row>
    <row r="13" spans="1:19">
      <c r="A13" s="65">
        <v>46003</v>
      </c>
      <c r="B13" s="82"/>
      <c r="C13" s="82"/>
      <c r="D13" s="82"/>
      <c r="F13" s="65">
        <v>45942</v>
      </c>
      <c r="G13" s="82"/>
      <c r="H13" s="151" t="e">
        <f>D13+H12-10200-8300</f>
        <v>#REF!</v>
      </c>
      <c r="I13" s="82"/>
      <c r="J13" s="82"/>
      <c r="K13" s="82"/>
      <c r="L13" s="82"/>
      <c r="M13" s="82" t="e">
        <f t="shared" si="0"/>
        <v>#REF!</v>
      </c>
      <c r="O13" s="104"/>
      <c r="P13" s="104"/>
      <c r="Q13" s="104"/>
      <c r="R13" s="104"/>
    </row>
    <row r="14" spans="1:19">
      <c r="A14" s="65">
        <v>46004</v>
      </c>
      <c r="B14" s="82"/>
      <c r="C14" s="82"/>
      <c r="D14" s="82"/>
      <c r="F14" s="65">
        <v>45943</v>
      </c>
      <c r="G14" s="82"/>
      <c r="H14" s="151" t="e">
        <f>D14+H13-2500</f>
        <v>#REF!</v>
      </c>
      <c r="I14" s="82"/>
      <c r="J14" s="82"/>
      <c r="K14" s="82"/>
      <c r="L14" s="82"/>
      <c r="M14" s="82" t="e">
        <f t="shared" si="0"/>
        <v>#REF!</v>
      </c>
      <c r="O14" s="104"/>
      <c r="P14" s="104" t="s">
        <v>1558</v>
      </c>
      <c r="Q14" s="104"/>
      <c r="R14" s="104"/>
    </row>
    <row r="15" spans="1:19">
      <c r="A15" s="65">
        <v>46005</v>
      </c>
      <c r="B15" s="82"/>
      <c r="C15" s="82"/>
      <c r="D15" s="82"/>
      <c r="F15" s="65">
        <v>45944</v>
      </c>
      <c r="G15" s="82"/>
      <c r="H15" s="151" t="e">
        <f>D15+H14-25500</f>
        <v>#REF!</v>
      </c>
      <c r="I15" s="82"/>
      <c r="J15" s="82"/>
      <c r="K15" s="82"/>
      <c r="L15" s="82"/>
      <c r="M15" s="82" t="e">
        <f t="shared" si="0"/>
        <v>#REF!</v>
      </c>
      <c r="O15" s="104"/>
      <c r="P15" s="104">
        <v>65000</v>
      </c>
      <c r="Q15" s="104"/>
      <c r="R15" s="104"/>
    </row>
    <row r="16" spans="1:19">
      <c r="A16" s="65">
        <v>46006</v>
      </c>
      <c r="B16" s="82"/>
      <c r="C16" s="82"/>
      <c r="D16" s="82"/>
      <c r="F16" s="65">
        <v>45945</v>
      </c>
      <c r="G16" s="82"/>
      <c r="H16" s="151" t="e">
        <f t="shared" si="1"/>
        <v>#REF!</v>
      </c>
      <c r="I16" s="82"/>
      <c r="J16" s="82"/>
      <c r="K16" s="82"/>
      <c r="L16" s="82"/>
      <c r="M16" s="82" t="e">
        <f t="shared" si="0"/>
        <v>#REF!</v>
      </c>
      <c r="P16" s="104"/>
      <c r="S16" s="104"/>
    </row>
    <row r="17" spans="1:20">
      <c r="A17" s="65">
        <v>46007</v>
      </c>
      <c r="B17" s="82"/>
      <c r="C17" s="82"/>
      <c r="D17" s="82"/>
      <c r="F17" s="65">
        <v>45946</v>
      </c>
      <c r="G17" s="82"/>
      <c r="H17" s="151" t="e">
        <f>D17+H16-4000</f>
        <v>#REF!</v>
      </c>
      <c r="I17" s="82"/>
      <c r="J17" s="82"/>
      <c r="K17" s="82"/>
      <c r="L17" s="82"/>
      <c r="M17" s="82" t="e">
        <f t="shared" si="0"/>
        <v>#REF!</v>
      </c>
      <c r="O17" s="104"/>
      <c r="P17" s="104"/>
      <c r="R17" s="104"/>
      <c r="S17" s="104"/>
      <c r="T17" s="104"/>
    </row>
    <row r="18" spans="1:20">
      <c r="A18" s="65">
        <v>46008</v>
      </c>
      <c r="B18" s="82"/>
      <c r="C18" s="82"/>
      <c r="D18" s="82"/>
      <c r="F18" s="65">
        <v>45947</v>
      </c>
      <c r="G18" s="82"/>
      <c r="H18" s="151" t="e">
        <f>D18+H17-11000</f>
        <v>#REF!</v>
      </c>
      <c r="I18" s="82"/>
      <c r="J18" s="82"/>
      <c r="K18" s="82"/>
      <c r="L18" s="82"/>
      <c r="M18" s="82" t="e">
        <f t="shared" si="0"/>
        <v>#REF!</v>
      </c>
      <c r="O18" s="104"/>
      <c r="P18" s="104"/>
      <c r="Q18" s="104"/>
      <c r="R18" s="104"/>
    </row>
    <row r="19" spans="1:20">
      <c r="A19" s="65">
        <v>46009</v>
      </c>
      <c r="B19" s="82"/>
      <c r="C19" s="82"/>
      <c r="D19" s="82"/>
      <c r="F19" s="65">
        <v>45948</v>
      </c>
      <c r="G19" s="82"/>
      <c r="H19" s="151" t="e">
        <f>D19+H18-20000-8900-2500</f>
        <v>#REF!</v>
      </c>
      <c r="I19" s="82"/>
      <c r="J19" s="82"/>
      <c r="K19" s="82"/>
      <c r="L19" s="82">
        <v>0</v>
      </c>
      <c r="M19" s="82" t="e">
        <f t="shared" si="0"/>
        <v>#REF!</v>
      </c>
      <c r="O19" s="104"/>
      <c r="P19" s="104"/>
      <c r="R19" s="104"/>
      <c r="S19" s="104"/>
    </row>
    <row r="20" spans="1:20">
      <c r="A20" s="65">
        <v>46010</v>
      </c>
      <c r="B20" s="82"/>
      <c r="C20" s="82"/>
      <c r="D20" s="82"/>
      <c r="F20" s="65">
        <v>45949</v>
      </c>
      <c r="G20" s="82"/>
      <c r="H20" s="151" t="e">
        <f>D20+H19+150000-80000</f>
        <v>#REF!</v>
      </c>
      <c r="I20" s="82"/>
      <c r="J20" s="82"/>
      <c r="K20" s="82"/>
      <c r="L20" s="82"/>
      <c r="M20" s="82" t="e">
        <f t="shared" si="0"/>
        <v>#REF!</v>
      </c>
      <c r="O20" s="104"/>
      <c r="P20" s="104"/>
    </row>
    <row r="21" spans="1:20">
      <c r="A21" s="65">
        <v>46011</v>
      </c>
      <c r="B21" s="82"/>
      <c r="C21" s="82"/>
      <c r="D21" s="82"/>
      <c r="F21" s="65">
        <v>45950</v>
      </c>
      <c r="G21" s="82"/>
      <c r="H21" s="151" t="e">
        <f>D21+H20-15000-49000-9500+150000+20000</f>
        <v>#REF!</v>
      </c>
      <c r="I21" s="82"/>
      <c r="J21" s="82"/>
      <c r="K21" s="82"/>
      <c r="L21" s="82"/>
      <c r="M21" s="82" t="e">
        <f t="shared" si="0"/>
        <v>#REF!</v>
      </c>
      <c r="P21" s="104"/>
      <c r="S21" s="104"/>
      <c r="T21" s="104"/>
    </row>
    <row r="22" spans="1:20">
      <c r="A22" s="65">
        <v>46012</v>
      </c>
      <c r="B22" s="82"/>
      <c r="C22" s="82"/>
      <c r="D22" s="82"/>
      <c r="F22" s="65">
        <v>45951</v>
      </c>
      <c r="G22" s="82"/>
      <c r="H22" s="151" t="e">
        <f>D22+H21-700000</f>
        <v>#REF!</v>
      </c>
      <c r="I22" s="82"/>
      <c r="J22" s="82"/>
      <c r="K22" s="82"/>
      <c r="L22" s="82"/>
      <c r="M22" s="82" t="e">
        <f t="shared" si="0"/>
        <v>#REF!</v>
      </c>
    </row>
    <row r="23" spans="1:20">
      <c r="A23" s="65">
        <v>46013</v>
      </c>
      <c r="B23" s="82"/>
      <c r="C23" s="82"/>
      <c r="D23" s="82"/>
      <c r="F23" s="65">
        <v>45952</v>
      </c>
      <c r="G23" s="82"/>
      <c r="H23" s="151" t="e">
        <f t="shared" si="1"/>
        <v>#REF!</v>
      </c>
      <c r="I23" s="82"/>
      <c r="J23" s="82"/>
      <c r="K23" s="82"/>
      <c r="L23" s="82"/>
      <c r="M23" s="82" t="e">
        <f t="shared" si="0"/>
        <v>#REF!</v>
      </c>
      <c r="P23" s="104"/>
      <c r="S23" s="104"/>
    </row>
    <row r="24" spans="1:20">
      <c r="A24" s="65">
        <v>46014</v>
      </c>
      <c r="B24" s="82"/>
      <c r="C24" s="82"/>
      <c r="D24" s="82"/>
      <c r="F24" s="65">
        <v>45953</v>
      </c>
      <c r="G24" s="82"/>
      <c r="H24" s="151" t="e">
        <f t="shared" si="1"/>
        <v>#REF!</v>
      </c>
      <c r="I24" s="82"/>
      <c r="J24" s="82"/>
      <c r="K24" s="82"/>
      <c r="L24" s="82"/>
      <c r="M24" s="82" t="e">
        <f t="shared" si="0"/>
        <v>#REF!</v>
      </c>
      <c r="O24" s="104"/>
      <c r="P24" s="104"/>
    </row>
    <row r="25" spans="1:20">
      <c r="A25" s="65">
        <v>46015</v>
      </c>
      <c r="B25" s="82"/>
      <c r="C25" s="82"/>
      <c r="D25" s="82"/>
      <c r="F25" s="65">
        <v>45954</v>
      </c>
      <c r="G25" s="82"/>
      <c r="H25" s="151" t="e">
        <f>D25+H24-20000</f>
        <v>#REF!</v>
      </c>
      <c r="I25" s="82"/>
      <c r="J25" s="82"/>
      <c r="K25" s="82"/>
      <c r="L25" s="82"/>
      <c r="M25" s="82" t="e">
        <f t="shared" si="0"/>
        <v>#REF!</v>
      </c>
      <c r="O25" s="104"/>
      <c r="P25" s="104"/>
      <c r="S25" s="104"/>
    </row>
    <row r="26" spans="1:20">
      <c r="A26" s="65">
        <v>46016</v>
      </c>
      <c r="B26" s="82"/>
      <c r="C26" s="82"/>
      <c r="D26" s="82"/>
      <c r="F26" s="65">
        <v>45955</v>
      </c>
      <c r="G26" s="82"/>
      <c r="H26" s="151" t="e">
        <f t="shared" si="1"/>
        <v>#REF!</v>
      </c>
      <c r="I26" s="82"/>
      <c r="J26" s="82"/>
      <c r="K26" s="82"/>
      <c r="L26" s="82"/>
      <c r="M26" s="82" t="e">
        <f t="shared" si="0"/>
        <v>#REF!</v>
      </c>
      <c r="O26" s="104"/>
      <c r="P26" s="104"/>
      <c r="S26" s="104"/>
    </row>
    <row r="27" spans="1:20">
      <c r="A27" s="65">
        <v>46017</v>
      </c>
      <c r="B27" s="82"/>
      <c r="C27" s="82"/>
      <c r="D27" s="82"/>
      <c r="F27" s="65">
        <v>45956</v>
      </c>
      <c r="G27" s="82"/>
      <c r="H27" s="151" t="e">
        <f t="shared" si="1"/>
        <v>#REF!</v>
      </c>
      <c r="I27" s="82"/>
      <c r="J27" s="82"/>
      <c r="K27" s="82"/>
      <c r="L27" s="82"/>
      <c r="M27" s="82" t="e">
        <f t="shared" si="0"/>
        <v>#REF!</v>
      </c>
      <c r="P27" s="104"/>
      <c r="S27" s="104"/>
      <c r="T27" s="65"/>
    </row>
    <row r="28" spans="1:20">
      <c r="A28" s="65">
        <v>46018</v>
      </c>
      <c r="B28" s="82"/>
      <c r="C28" s="82"/>
      <c r="D28" s="82"/>
      <c r="F28" s="65">
        <v>45957</v>
      </c>
      <c r="G28" s="82"/>
      <c r="H28" s="151" t="e">
        <f>D28+H27-40200-65000-104-48-160-658-260-18300</f>
        <v>#REF!</v>
      </c>
      <c r="I28" s="82"/>
      <c r="J28" s="82"/>
      <c r="K28" s="82"/>
      <c r="L28" s="82"/>
      <c r="M28" s="82" t="e">
        <f t="shared" si="0"/>
        <v>#REF!</v>
      </c>
    </row>
    <row r="29" spans="1:20">
      <c r="A29" s="65">
        <v>46019</v>
      </c>
      <c r="B29" s="82"/>
      <c r="C29" s="82"/>
      <c r="D29" s="82"/>
      <c r="F29" s="65">
        <v>45958</v>
      </c>
      <c r="G29" s="82"/>
      <c r="H29" s="151" t="e">
        <f>D29+H28+61000</f>
        <v>#REF!</v>
      </c>
      <c r="I29" s="82"/>
      <c r="J29" s="82"/>
      <c r="K29" s="82"/>
      <c r="L29" s="82"/>
      <c r="M29" s="82" t="e">
        <f t="shared" si="0"/>
        <v>#REF!</v>
      </c>
    </row>
    <row r="30" spans="1:20">
      <c r="A30" s="65">
        <v>46020</v>
      </c>
      <c r="B30" s="82"/>
      <c r="C30" s="82"/>
      <c r="D30" s="82"/>
      <c r="F30" s="65">
        <v>45959</v>
      </c>
      <c r="G30" s="82"/>
      <c r="H30" s="151" t="e">
        <f>D30+H29-40000</f>
        <v>#REF!</v>
      </c>
      <c r="I30" s="82"/>
      <c r="J30" s="82"/>
      <c r="K30" s="82"/>
      <c r="L30" s="82"/>
      <c r="M30" s="82" t="e">
        <f t="shared" si="0"/>
        <v>#REF!</v>
      </c>
    </row>
    <row r="31" spans="1:20">
      <c r="A31" s="65">
        <v>46021</v>
      </c>
      <c r="B31" s="82"/>
      <c r="C31" s="82"/>
      <c r="D31" s="82"/>
      <c r="F31" s="65">
        <v>45960</v>
      </c>
      <c r="G31" s="82"/>
      <c r="H31" s="151" t="e">
        <f t="shared" si="1"/>
        <v>#REF!</v>
      </c>
      <c r="I31" s="82"/>
      <c r="J31" s="82"/>
      <c r="K31" s="82"/>
      <c r="L31" s="82"/>
      <c r="M31" s="82" t="e">
        <f t="shared" si="0"/>
        <v>#REF!</v>
      </c>
    </row>
    <row r="32" spans="1:20">
      <c r="A32" s="65">
        <v>46022</v>
      </c>
      <c r="B32" s="82"/>
      <c r="C32" s="82"/>
      <c r="D32" s="82">
        <f t="shared" ref="D32" si="2">+B32-C32</f>
        <v>0</v>
      </c>
      <c r="F32" s="65">
        <v>45961</v>
      </c>
      <c r="G32" s="82"/>
      <c r="H32" s="151" t="e">
        <f t="shared" si="1"/>
        <v>#REF!</v>
      </c>
      <c r="I32" s="82"/>
      <c r="J32" s="82"/>
      <c r="K32" s="82"/>
      <c r="L32" s="82"/>
      <c r="M32" s="82" t="e">
        <f t="shared" si="0"/>
        <v>#REF!</v>
      </c>
    </row>
    <row r="33" spans="1:7">
      <c r="A33" s="65"/>
      <c r="B33" s="82"/>
      <c r="C33" s="104"/>
      <c r="D33" s="104">
        <f>+D2+D3+D4+D5+D6+D7+D8+D9+D10+D11+D12+D13+D14+D15+D16+D17+D18+D19+D20+D21+D22+D23+D24+D25+D26+D27+D28+D29+D30+D31+D32</f>
        <v>0</v>
      </c>
      <c r="G33" s="82"/>
    </row>
    <row r="34" spans="1:7">
      <c r="B34" s="82"/>
      <c r="G34" s="82"/>
    </row>
    <row r="35" spans="1:7">
      <c r="B35" s="82"/>
      <c r="G35" s="82"/>
    </row>
    <row r="36" spans="1:7">
      <c r="B36" s="82"/>
      <c r="G36" s="82"/>
    </row>
    <row r="37" spans="1:7">
      <c r="B37" s="82"/>
      <c r="G37" s="82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473122-246A-4FBF-B75E-B35E05C85400}">
  <dimension ref="A1:M22"/>
  <sheetViews>
    <sheetView topLeftCell="G1" workbookViewId="0">
      <selection activeCell="H3" sqref="H3"/>
    </sheetView>
  </sheetViews>
  <sheetFormatPr defaultColWidth="10.7109375" defaultRowHeight="12.95"/>
  <cols>
    <col min="2" max="2" width="14" bestFit="1" customWidth="1"/>
    <col min="3" max="4" width="12.85546875" bestFit="1" customWidth="1"/>
    <col min="5" max="5" width="24.7109375" bestFit="1" customWidth="1"/>
    <col min="6" max="6" width="13.42578125" bestFit="1" customWidth="1"/>
    <col min="7" max="9" width="28.42578125" bestFit="1" customWidth="1"/>
  </cols>
  <sheetData>
    <row r="1" spans="1:11">
      <c r="B1" t="s">
        <v>1559</v>
      </c>
      <c r="C1" t="s">
        <v>1560</v>
      </c>
      <c r="D1" t="s">
        <v>1561</v>
      </c>
      <c r="E1" s="193" t="s">
        <v>1562</v>
      </c>
      <c r="F1" s="193"/>
      <c r="G1" s="193"/>
      <c r="H1" s="193"/>
    </row>
    <row r="2" spans="1:11">
      <c r="A2" t="s">
        <v>1563</v>
      </c>
      <c r="D2">
        <v>12</v>
      </c>
      <c r="E2">
        <v>38000</v>
      </c>
      <c r="F2" s="145" t="s">
        <v>1564</v>
      </c>
      <c r="G2" s="137">
        <v>1266.6666666666599</v>
      </c>
      <c r="H2">
        <v>45000</v>
      </c>
      <c r="I2" s="145" t="s">
        <v>1564</v>
      </c>
      <c r="J2" s="145">
        <v>1500</v>
      </c>
    </row>
    <row r="3" spans="1:11">
      <c r="A3" t="s">
        <v>1565</v>
      </c>
      <c r="B3" s="82">
        <v>803571</v>
      </c>
      <c r="C3" s="82">
        <v>170940</v>
      </c>
      <c r="D3" s="82">
        <f>44900*12</f>
        <v>538800</v>
      </c>
      <c r="E3" s="145" t="s">
        <v>1444</v>
      </c>
      <c r="F3" s="145">
        <v>21</v>
      </c>
      <c r="G3" s="82">
        <f>+G2*F3</f>
        <v>26599.999999999858</v>
      </c>
      <c r="H3" s="114" t="s">
        <v>1430</v>
      </c>
      <c r="I3" s="145">
        <v>30</v>
      </c>
      <c r="J3">
        <f>+J2*I3</f>
        <v>45000</v>
      </c>
    </row>
    <row r="4" spans="1:11">
      <c r="D4" s="104">
        <f>+D3-C3</f>
        <v>367860</v>
      </c>
      <c r="E4" s="145" t="s">
        <v>1566</v>
      </c>
      <c r="F4" s="145">
        <v>25</v>
      </c>
      <c r="G4" s="82">
        <f>+G2*F4</f>
        <v>31666.666666666497</v>
      </c>
      <c r="H4" s="145" t="s">
        <v>1426</v>
      </c>
      <c r="I4" s="145">
        <v>25</v>
      </c>
      <c r="J4">
        <f>+J2*I4</f>
        <v>37500</v>
      </c>
    </row>
    <row r="5" spans="1:11">
      <c r="E5" s="145" t="s">
        <v>1450</v>
      </c>
      <c r="F5" s="145">
        <v>4</v>
      </c>
      <c r="G5" s="151"/>
      <c r="H5" s="145"/>
      <c r="I5" s="145"/>
    </row>
    <row r="6" spans="1:11">
      <c r="C6" s="153" t="s">
        <v>161</v>
      </c>
      <c r="D6" s="104" t="e">
        <f>+D3-C6</f>
        <v>#VALUE!</v>
      </c>
      <c r="E6" s="145" t="s">
        <v>1453</v>
      </c>
      <c r="F6" s="145">
        <v>8</v>
      </c>
      <c r="G6" s="82"/>
      <c r="H6" s="154" t="s">
        <v>1567</v>
      </c>
      <c r="I6" s="154" t="s">
        <v>1568</v>
      </c>
      <c r="J6" s="154" t="s">
        <v>1567</v>
      </c>
    </row>
    <row r="7" spans="1:11">
      <c r="E7" s="145" t="s">
        <v>563</v>
      </c>
      <c r="F7" s="145">
        <v>15</v>
      </c>
      <c r="G7" s="151">
        <f>+G2*F7</f>
        <v>18999.999999999898</v>
      </c>
      <c r="H7" s="82">
        <v>90000</v>
      </c>
      <c r="I7" s="82">
        <f>+H7-J7</f>
        <v>7500</v>
      </c>
      <c r="J7">
        <f>+J3+J4</f>
        <v>82500</v>
      </c>
    </row>
    <row r="8" spans="1:11">
      <c r="E8" s="145" t="s">
        <v>195</v>
      </c>
      <c r="F8" s="145">
        <v>16</v>
      </c>
      <c r="G8" s="151"/>
      <c r="H8" s="145"/>
    </row>
    <row r="9" spans="1:11">
      <c r="D9">
        <f>6*44900</f>
        <v>269400</v>
      </c>
      <c r="E9" s="145" t="s">
        <v>185</v>
      </c>
      <c r="F9" s="145">
        <v>11</v>
      </c>
      <c r="G9" s="151">
        <f>+G2*F9</f>
        <v>13933.333333333259</v>
      </c>
      <c r="H9" s="145"/>
    </row>
    <row r="10" spans="1:11">
      <c r="E10" s="145" t="s">
        <v>1433</v>
      </c>
      <c r="F10" s="145">
        <v>7</v>
      </c>
      <c r="G10" s="151">
        <f>+G2*F10</f>
        <v>8866.6666666666188</v>
      </c>
      <c r="H10" s="145"/>
    </row>
    <row r="11" spans="1:11">
      <c r="E11" s="145" t="s">
        <v>1569</v>
      </c>
      <c r="F11" s="145">
        <v>9</v>
      </c>
      <c r="G11" s="151">
        <f>+G2*F11</f>
        <v>11399.99999999994</v>
      </c>
      <c r="H11" s="145"/>
    </row>
    <row r="12" spans="1:11">
      <c r="E12" s="145" t="s">
        <v>1441</v>
      </c>
      <c r="F12" s="145">
        <v>10</v>
      </c>
      <c r="G12" s="151">
        <f>+G2*F12</f>
        <v>12666.666666666599</v>
      </c>
      <c r="H12" s="145"/>
    </row>
    <row r="13" spans="1:11">
      <c r="E13" s="145" t="s">
        <v>1439</v>
      </c>
      <c r="F13" s="145">
        <v>10</v>
      </c>
      <c r="G13" s="151">
        <f>+G2*F13</f>
        <v>12666.666666666599</v>
      </c>
      <c r="H13" s="145"/>
    </row>
    <row r="14" spans="1:11">
      <c r="E14" s="154" t="s">
        <v>1567</v>
      </c>
      <c r="F14" s="154" t="s">
        <v>1568</v>
      </c>
      <c r="G14" s="154" t="s">
        <v>1567</v>
      </c>
      <c r="H14" s="145"/>
    </row>
    <row r="15" spans="1:11">
      <c r="E15" s="82">
        <v>418000</v>
      </c>
      <c r="F15" s="82">
        <f>+E15-G15</f>
        <v>281200.00000000076</v>
      </c>
      <c r="G15" s="104">
        <f>+G3+G4+G5+G6+G7+G8+G9+G10+G11+G12+G13</f>
        <v>136799.99999999924</v>
      </c>
    </row>
    <row r="16" spans="1:11">
      <c r="K16" s="145" t="s">
        <v>1570</v>
      </c>
    </row>
    <row r="17" spans="11:13">
      <c r="K17">
        <v>269400</v>
      </c>
      <c r="M17" s="104">
        <f>+J7+G15</f>
        <v>219299.99999999924</v>
      </c>
    </row>
    <row r="21" spans="11:13">
      <c r="K21" t="s">
        <v>1571</v>
      </c>
    </row>
    <row r="22" spans="11:13">
      <c r="K22">
        <v>70000</v>
      </c>
    </row>
  </sheetData>
  <mergeCells count="1">
    <mergeCell ref="E1:H1"/>
  </mergeCells>
  <hyperlinks>
    <hyperlink ref="E10" r:id="rId1" xr:uid="{1D850465-3DD4-4B3C-BDA4-A9C22B666DC5}"/>
    <hyperlink ref="H3" r:id="rId2" xr:uid="{45541B0B-1258-F341-9659-C85EAB9B30AF}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F967F-8431-4907-B265-5817D2D64CAC}">
  <dimension ref="A1:B10"/>
  <sheetViews>
    <sheetView workbookViewId="0">
      <selection activeCell="B16" sqref="B16"/>
    </sheetView>
  </sheetViews>
  <sheetFormatPr defaultColWidth="10.7109375" defaultRowHeight="12.95"/>
  <cols>
    <col min="1" max="1" width="22.140625" bestFit="1" customWidth="1"/>
    <col min="2" max="2" width="16.42578125" bestFit="1" customWidth="1"/>
  </cols>
  <sheetData>
    <row r="1" spans="1:2">
      <c r="A1" s="145" t="s">
        <v>1572</v>
      </c>
      <c r="B1" s="145" t="s">
        <v>1419</v>
      </c>
    </row>
    <row r="2" spans="1:2">
      <c r="A2" s="145" t="s">
        <v>1573</v>
      </c>
      <c r="B2" s="81" t="s">
        <v>1574</v>
      </c>
    </row>
    <row r="3" spans="1:2">
      <c r="A3" s="145" t="s">
        <v>1575</v>
      </c>
      <c r="B3" t="s">
        <v>1576</v>
      </c>
    </row>
    <row r="4" spans="1:2">
      <c r="A4" s="145" t="s">
        <v>1577</v>
      </c>
      <c r="B4" t="s">
        <v>1578</v>
      </c>
    </row>
    <row r="5" spans="1:2">
      <c r="A5" s="145" t="s">
        <v>1579</v>
      </c>
    </row>
    <row r="6" spans="1:2">
      <c r="A6" s="145" t="s">
        <v>1580</v>
      </c>
      <c r="B6" s="22" t="s">
        <v>1500</v>
      </c>
    </row>
    <row r="7" spans="1:2">
      <c r="A7" s="145" t="s">
        <v>1581</v>
      </c>
      <c r="B7" s="22" t="s">
        <v>1500</v>
      </c>
    </row>
    <row r="8" spans="1:2">
      <c r="A8" s="145" t="s">
        <v>1582</v>
      </c>
      <c r="B8" t="s">
        <v>1583</v>
      </c>
    </row>
    <row r="9" spans="1:2">
      <c r="A9" s="145"/>
    </row>
    <row r="10" spans="1:2">
      <c r="A10" s="145"/>
    </row>
  </sheetData>
  <hyperlinks>
    <hyperlink ref="B2" r:id="rId1" xr:uid="{66B92D4D-9ADC-4104-806F-DC3BA8B34C36}"/>
  </hyperlink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3"/>
  <dimension ref="A1:C1000"/>
  <sheetViews>
    <sheetView workbookViewId="0">
      <selection activeCell="D24" sqref="D24"/>
    </sheetView>
  </sheetViews>
  <sheetFormatPr defaultColWidth="12.28515625" defaultRowHeight="15" customHeight="1"/>
  <cols>
    <col min="1" max="1" width="18.42578125" customWidth="1"/>
    <col min="2" max="3" width="11.42578125" customWidth="1"/>
    <col min="4" max="26" width="10.28515625" customWidth="1"/>
  </cols>
  <sheetData>
    <row r="1" spans="1:3" ht="12.75" customHeight="1">
      <c r="A1" s="16" t="s">
        <v>1584</v>
      </c>
      <c r="B1" s="27" t="s">
        <v>8</v>
      </c>
      <c r="C1" s="27" t="s">
        <v>1585</v>
      </c>
    </row>
    <row r="2" spans="1:3" ht="12.75" customHeight="1">
      <c r="A2" s="16" t="s">
        <v>1586</v>
      </c>
      <c r="B2" s="27">
        <v>38000</v>
      </c>
      <c r="C2" s="27">
        <v>40000</v>
      </c>
    </row>
    <row r="3" spans="1:3" ht="12.75" customHeight="1">
      <c r="A3" s="16" t="s">
        <v>1587</v>
      </c>
      <c r="B3" s="27">
        <v>7600</v>
      </c>
      <c r="C3" s="27">
        <v>13000</v>
      </c>
    </row>
    <row r="4" spans="1:3" ht="12.75" customHeight="1">
      <c r="A4" s="16" t="s">
        <v>1588</v>
      </c>
      <c r="B4" s="27">
        <v>20000</v>
      </c>
      <c r="C4" s="27">
        <v>26000</v>
      </c>
    </row>
    <row r="5" spans="1:3" ht="12.75" customHeight="1">
      <c r="A5" s="16" t="s">
        <v>1589</v>
      </c>
      <c r="B5" s="27">
        <f>+B3*3</f>
        <v>22800</v>
      </c>
      <c r="C5" s="27">
        <v>35000</v>
      </c>
    </row>
    <row r="6" spans="1:3" ht="12.75" customHeight="1">
      <c r="A6" s="16" t="s">
        <v>1590</v>
      </c>
      <c r="B6" s="27">
        <v>5000</v>
      </c>
      <c r="C6" s="27">
        <v>8000</v>
      </c>
    </row>
    <row r="7" spans="1:3" ht="12.75" customHeight="1">
      <c r="A7" s="16" t="s">
        <v>1591</v>
      </c>
      <c r="B7" s="27">
        <v>16000</v>
      </c>
      <c r="C7" s="27">
        <v>20000</v>
      </c>
    </row>
    <row r="8" spans="1:3" ht="12.75" customHeight="1">
      <c r="A8" s="16" t="s">
        <v>1592</v>
      </c>
      <c r="B8" s="27">
        <v>5000</v>
      </c>
      <c r="C8" s="27">
        <v>8000</v>
      </c>
    </row>
    <row r="9" spans="1:3" ht="12.75" customHeight="1">
      <c r="A9" s="16" t="s">
        <v>1593</v>
      </c>
      <c r="B9" s="27">
        <v>5000</v>
      </c>
      <c r="C9" s="27">
        <v>10000</v>
      </c>
    </row>
    <row r="10" spans="1:3" ht="12.75" customHeight="1">
      <c r="A10" s="16" t="s">
        <v>1594</v>
      </c>
      <c r="B10" s="27">
        <v>7000</v>
      </c>
      <c r="C10" s="27">
        <v>12000</v>
      </c>
    </row>
    <row r="11" spans="1:3" ht="12.75" customHeight="1">
      <c r="A11" s="16" t="s">
        <v>1595</v>
      </c>
      <c r="B11" s="27">
        <v>5000</v>
      </c>
      <c r="C11" s="27">
        <v>8000</v>
      </c>
    </row>
    <row r="12" spans="1:3" ht="12.75" customHeight="1">
      <c r="A12" s="16" t="s">
        <v>1596</v>
      </c>
      <c r="B12" s="27">
        <v>5000</v>
      </c>
      <c r="C12" s="27">
        <v>8000</v>
      </c>
    </row>
    <row r="13" spans="1:3" ht="12.75" customHeight="1">
      <c r="A13" s="16" t="s">
        <v>1597</v>
      </c>
      <c r="B13" s="27"/>
      <c r="C13" s="27"/>
    </row>
    <row r="14" spans="1:3" ht="12.75" customHeight="1">
      <c r="A14" s="16" t="s">
        <v>1598</v>
      </c>
      <c r="B14" s="27">
        <v>15000</v>
      </c>
      <c r="C14" s="27">
        <v>25000</v>
      </c>
    </row>
    <row r="15" spans="1:3" ht="12.75" customHeight="1">
      <c r="A15" s="16" t="s">
        <v>17</v>
      </c>
      <c r="B15" s="27">
        <v>5280</v>
      </c>
      <c r="C15" s="27">
        <v>8000</v>
      </c>
    </row>
    <row r="16" spans="1:3" ht="12.75" customHeight="1">
      <c r="A16" s="16" t="s">
        <v>1599</v>
      </c>
      <c r="B16" s="27">
        <v>13500</v>
      </c>
      <c r="C16" s="27">
        <v>20000</v>
      </c>
    </row>
    <row r="17" spans="1:3" ht="12.75" customHeight="1">
      <c r="A17" s="16" t="s">
        <v>1600</v>
      </c>
      <c r="B17" s="27">
        <v>6000</v>
      </c>
      <c r="C17" s="27">
        <v>12000</v>
      </c>
    </row>
    <row r="18" spans="1:3" ht="12.75" customHeight="1">
      <c r="A18" s="16" t="s">
        <v>1601</v>
      </c>
      <c r="B18" s="27">
        <v>4500</v>
      </c>
      <c r="C18" s="27">
        <v>10000</v>
      </c>
    </row>
    <row r="19" spans="1:3" ht="12.75" customHeight="1">
      <c r="A19" s="16" t="s">
        <v>1602</v>
      </c>
      <c r="B19" s="27">
        <v>34250</v>
      </c>
      <c r="C19" s="27">
        <v>40000</v>
      </c>
    </row>
    <row r="20" spans="1:3" ht="12.75" customHeight="1">
      <c r="A20" s="16" t="s">
        <v>1603</v>
      </c>
      <c r="B20" s="27">
        <v>14000</v>
      </c>
      <c r="C20" s="27">
        <v>20000</v>
      </c>
    </row>
    <row r="21" spans="1:3" ht="12.75" customHeight="1">
      <c r="A21" s="16" t="s">
        <v>1604</v>
      </c>
      <c r="B21" s="27">
        <v>5000</v>
      </c>
      <c r="C21" s="27">
        <v>8000</v>
      </c>
    </row>
    <row r="22" spans="1:3" ht="12.75" customHeight="1">
      <c r="A22" s="16" t="s">
        <v>406</v>
      </c>
      <c r="B22" s="27">
        <v>3200</v>
      </c>
      <c r="C22" s="27">
        <v>7000</v>
      </c>
    </row>
    <row r="23" spans="1:3" ht="12.75" customHeight="1">
      <c r="A23" s="16" t="s">
        <v>1605</v>
      </c>
      <c r="B23" s="27">
        <v>2500</v>
      </c>
      <c r="C23" s="27">
        <v>8000</v>
      </c>
    </row>
    <row r="24" spans="1:3" ht="12.75" customHeight="1">
      <c r="A24" s="16" t="s">
        <v>19</v>
      </c>
      <c r="B24" s="27">
        <v>13000</v>
      </c>
      <c r="C24" s="27">
        <v>25000</v>
      </c>
    </row>
    <row r="25" spans="1:3" ht="12.75" customHeight="1">
      <c r="B25" s="27"/>
      <c r="C25" s="27"/>
    </row>
    <row r="26" spans="1:3" ht="12.75" customHeight="1">
      <c r="B26" s="27"/>
      <c r="C26" s="27"/>
    </row>
    <row r="27" spans="1:3" ht="12.75" customHeight="1">
      <c r="B27" s="27"/>
      <c r="C27" s="27"/>
    </row>
    <row r="28" spans="1:3" ht="12.75" customHeight="1">
      <c r="B28" s="27"/>
      <c r="C28" s="27"/>
    </row>
    <row r="29" spans="1:3" ht="12.75" customHeight="1">
      <c r="B29" s="27"/>
      <c r="C29" s="27"/>
    </row>
    <row r="30" spans="1:3" ht="12.75" customHeight="1">
      <c r="B30" s="27"/>
      <c r="C30" s="27"/>
    </row>
    <row r="31" spans="1:3" ht="12.75" customHeight="1">
      <c r="B31" s="27"/>
      <c r="C31" s="27"/>
    </row>
    <row r="32" spans="1:3" ht="12.75" customHeight="1">
      <c r="B32" s="27"/>
      <c r="C32" s="27"/>
    </row>
    <row r="33" spans="2:3" ht="12.75" customHeight="1">
      <c r="B33" s="27"/>
      <c r="C33" s="27"/>
    </row>
    <row r="34" spans="2:3" ht="12.75" customHeight="1">
      <c r="B34" s="27"/>
      <c r="C34" s="27"/>
    </row>
    <row r="35" spans="2:3" ht="12.75" customHeight="1">
      <c r="B35" s="27"/>
      <c r="C35" s="27"/>
    </row>
    <row r="36" spans="2:3" ht="12.75" customHeight="1">
      <c r="B36" s="27"/>
      <c r="C36" s="27"/>
    </row>
    <row r="37" spans="2:3" ht="12.75" customHeight="1">
      <c r="B37" s="27"/>
      <c r="C37" s="27"/>
    </row>
    <row r="38" spans="2:3" ht="12.75" customHeight="1">
      <c r="B38" s="27"/>
      <c r="C38" s="27"/>
    </row>
    <row r="39" spans="2:3" ht="12.75" customHeight="1">
      <c r="B39" s="27"/>
      <c r="C39" s="27"/>
    </row>
    <row r="40" spans="2:3" ht="12.75" customHeight="1">
      <c r="B40" s="27"/>
      <c r="C40" s="27"/>
    </row>
    <row r="41" spans="2:3" ht="12.75" customHeight="1">
      <c r="B41" s="27"/>
      <c r="C41" s="27"/>
    </row>
    <row r="42" spans="2:3" ht="12.75" customHeight="1">
      <c r="B42" s="27"/>
      <c r="C42" s="27"/>
    </row>
    <row r="43" spans="2:3" ht="12.75" customHeight="1">
      <c r="B43" s="27"/>
      <c r="C43" s="27"/>
    </row>
    <row r="44" spans="2:3" ht="12.75" customHeight="1">
      <c r="B44" s="27"/>
      <c r="C44" s="27"/>
    </row>
    <row r="45" spans="2:3" ht="12.75" customHeight="1">
      <c r="B45" s="27"/>
      <c r="C45" s="27"/>
    </row>
    <row r="46" spans="2:3" ht="12.75" customHeight="1">
      <c r="B46" s="27"/>
      <c r="C46" s="27"/>
    </row>
    <row r="47" spans="2:3" ht="12.75" customHeight="1">
      <c r="B47" s="27"/>
      <c r="C47" s="27"/>
    </row>
    <row r="48" spans="2:3" ht="12.75" customHeight="1">
      <c r="B48" s="27"/>
      <c r="C48" s="27"/>
    </row>
    <row r="49" spans="2:3" ht="12.75" customHeight="1">
      <c r="B49" s="27"/>
      <c r="C49" s="27"/>
    </row>
    <row r="50" spans="2:3" ht="12.75" customHeight="1">
      <c r="B50" s="27"/>
      <c r="C50" s="27"/>
    </row>
    <row r="51" spans="2:3" ht="12.75" customHeight="1">
      <c r="B51" s="27"/>
      <c r="C51" s="27"/>
    </row>
    <row r="52" spans="2:3" ht="12.75" customHeight="1">
      <c r="B52" s="27"/>
      <c r="C52" s="27"/>
    </row>
    <row r="53" spans="2:3" ht="12.75" customHeight="1">
      <c r="B53" s="27"/>
      <c r="C53" s="27"/>
    </row>
    <row r="54" spans="2:3" ht="12.75" customHeight="1">
      <c r="B54" s="27"/>
      <c r="C54" s="27"/>
    </row>
    <row r="55" spans="2:3" ht="12.75" customHeight="1">
      <c r="B55" s="27"/>
      <c r="C55" s="27"/>
    </row>
    <row r="56" spans="2:3" ht="12.75" customHeight="1">
      <c r="B56" s="27"/>
      <c r="C56" s="27"/>
    </row>
    <row r="57" spans="2:3" ht="12.75" customHeight="1">
      <c r="B57" s="27"/>
      <c r="C57" s="27"/>
    </row>
    <row r="58" spans="2:3" ht="12.75" customHeight="1">
      <c r="B58" s="27"/>
      <c r="C58" s="27"/>
    </row>
    <row r="59" spans="2:3" ht="12.75" customHeight="1">
      <c r="B59" s="27"/>
      <c r="C59" s="27"/>
    </row>
    <row r="60" spans="2:3" ht="12.75" customHeight="1">
      <c r="B60" s="27"/>
      <c r="C60" s="27"/>
    </row>
    <row r="61" spans="2:3" ht="12.75" customHeight="1">
      <c r="B61" s="27"/>
      <c r="C61" s="27"/>
    </row>
    <row r="62" spans="2:3" ht="12.75" customHeight="1">
      <c r="B62" s="27"/>
      <c r="C62" s="27"/>
    </row>
    <row r="63" spans="2:3" ht="12.75" customHeight="1">
      <c r="B63" s="27"/>
      <c r="C63" s="27"/>
    </row>
    <row r="64" spans="2:3" ht="12.75" customHeight="1">
      <c r="B64" s="27"/>
      <c r="C64" s="27"/>
    </row>
    <row r="65" spans="2:3" ht="12.75" customHeight="1">
      <c r="B65" s="27"/>
      <c r="C65" s="27"/>
    </row>
    <row r="66" spans="2:3" ht="12.75" customHeight="1">
      <c r="B66" s="27"/>
      <c r="C66" s="27"/>
    </row>
    <row r="67" spans="2:3" ht="12.75" customHeight="1">
      <c r="B67" s="27"/>
      <c r="C67" s="27"/>
    </row>
    <row r="68" spans="2:3" ht="12.75" customHeight="1">
      <c r="B68" s="27"/>
      <c r="C68" s="27"/>
    </row>
    <row r="69" spans="2:3" ht="12.75" customHeight="1">
      <c r="B69" s="27"/>
      <c r="C69" s="27"/>
    </row>
    <row r="70" spans="2:3" ht="12.75" customHeight="1">
      <c r="B70" s="27"/>
      <c r="C70" s="27"/>
    </row>
    <row r="71" spans="2:3" ht="12.75" customHeight="1">
      <c r="B71" s="27"/>
      <c r="C71" s="27"/>
    </row>
    <row r="72" spans="2:3" ht="12.75" customHeight="1">
      <c r="B72" s="27"/>
      <c r="C72" s="27"/>
    </row>
    <row r="73" spans="2:3" ht="12.75" customHeight="1">
      <c r="B73" s="27"/>
      <c r="C73" s="27"/>
    </row>
    <row r="74" spans="2:3" ht="12.75" customHeight="1">
      <c r="B74" s="27"/>
      <c r="C74" s="27"/>
    </row>
    <row r="75" spans="2:3" ht="12.75" customHeight="1">
      <c r="B75" s="27"/>
      <c r="C75" s="27"/>
    </row>
    <row r="76" spans="2:3" ht="12.75" customHeight="1">
      <c r="B76" s="27"/>
      <c r="C76" s="27"/>
    </row>
    <row r="77" spans="2:3" ht="12.75" customHeight="1">
      <c r="B77" s="27"/>
      <c r="C77" s="27"/>
    </row>
    <row r="78" spans="2:3" ht="12.75" customHeight="1">
      <c r="B78" s="27"/>
      <c r="C78" s="27"/>
    </row>
    <row r="79" spans="2:3" ht="12.75" customHeight="1">
      <c r="B79" s="27"/>
      <c r="C79" s="27"/>
    </row>
    <row r="80" spans="2:3" ht="12.75" customHeight="1">
      <c r="B80" s="27"/>
      <c r="C80" s="27"/>
    </row>
    <row r="81" spans="2:3" ht="12.75" customHeight="1">
      <c r="B81" s="27"/>
      <c r="C81" s="27"/>
    </row>
    <row r="82" spans="2:3" ht="12.75" customHeight="1">
      <c r="B82" s="27"/>
      <c r="C82" s="27"/>
    </row>
    <row r="83" spans="2:3" ht="12.75" customHeight="1">
      <c r="B83" s="27"/>
      <c r="C83" s="27"/>
    </row>
    <row r="84" spans="2:3" ht="12.75" customHeight="1">
      <c r="B84" s="27"/>
      <c r="C84" s="27"/>
    </row>
    <row r="85" spans="2:3" ht="12.75" customHeight="1">
      <c r="B85" s="27"/>
      <c r="C85" s="27"/>
    </row>
    <row r="86" spans="2:3" ht="12.75" customHeight="1">
      <c r="B86" s="27"/>
      <c r="C86" s="27"/>
    </row>
    <row r="87" spans="2:3" ht="12.75" customHeight="1">
      <c r="B87" s="27"/>
      <c r="C87" s="27"/>
    </row>
    <row r="88" spans="2:3" ht="12.75" customHeight="1">
      <c r="B88" s="27"/>
      <c r="C88" s="27"/>
    </row>
    <row r="89" spans="2:3" ht="12.75" customHeight="1">
      <c r="B89" s="27"/>
      <c r="C89" s="27"/>
    </row>
    <row r="90" spans="2:3" ht="12.75" customHeight="1">
      <c r="B90" s="27"/>
      <c r="C90" s="27"/>
    </row>
    <row r="91" spans="2:3" ht="12.75" customHeight="1">
      <c r="B91" s="27"/>
      <c r="C91" s="27"/>
    </row>
    <row r="92" spans="2:3" ht="12.75" customHeight="1">
      <c r="B92" s="27"/>
      <c r="C92" s="27"/>
    </row>
    <row r="93" spans="2:3" ht="12.75" customHeight="1">
      <c r="B93" s="27"/>
      <c r="C93" s="27"/>
    </row>
    <row r="94" spans="2:3" ht="12.75" customHeight="1">
      <c r="B94" s="27"/>
      <c r="C94" s="27"/>
    </row>
    <row r="95" spans="2:3" ht="12.75" customHeight="1">
      <c r="B95" s="27"/>
      <c r="C95" s="27"/>
    </row>
    <row r="96" spans="2:3" ht="12.75" customHeight="1">
      <c r="B96" s="27"/>
      <c r="C96" s="27"/>
    </row>
    <row r="97" spans="2:3" ht="12.75" customHeight="1">
      <c r="B97" s="27"/>
      <c r="C97" s="27"/>
    </row>
    <row r="98" spans="2:3" ht="12.75" customHeight="1">
      <c r="B98" s="27"/>
      <c r="C98" s="27"/>
    </row>
    <row r="99" spans="2:3" ht="12.75" customHeight="1">
      <c r="B99" s="27"/>
      <c r="C99" s="27"/>
    </row>
    <row r="100" spans="2:3" ht="12.75" customHeight="1">
      <c r="B100" s="27"/>
      <c r="C100" s="27"/>
    </row>
    <row r="101" spans="2:3" ht="12.75" customHeight="1">
      <c r="B101" s="27"/>
      <c r="C101" s="27"/>
    </row>
    <row r="102" spans="2:3" ht="12.75" customHeight="1">
      <c r="B102" s="27"/>
      <c r="C102" s="27"/>
    </row>
    <row r="103" spans="2:3" ht="12.75" customHeight="1">
      <c r="B103" s="27"/>
      <c r="C103" s="27"/>
    </row>
    <row r="104" spans="2:3" ht="12.75" customHeight="1">
      <c r="B104" s="27"/>
      <c r="C104" s="27"/>
    </row>
    <row r="105" spans="2:3" ht="12.75" customHeight="1">
      <c r="B105" s="27"/>
      <c r="C105" s="27"/>
    </row>
    <row r="106" spans="2:3" ht="12.75" customHeight="1">
      <c r="B106" s="27"/>
      <c r="C106" s="27"/>
    </row>
    <row r="107" spans="2:3" ht="12.75" customHeight="1">
      <c r="B107" s="27"/>
      <c r="C107" s="27"/>
    </row>
    <row r="108" spans="2:3" ht="12.75" customHeight="1">
      <c r="B108" s="27"/>
      <c r="C108" s="27"/>
    </row>
    <row r="109" spans="2:3" ht="12.75" customHeight="1">
      <c r="B109" s="27"/>
      <c r="C109" s="27"/>
    </row>
    <row r="110" spans="2:3" ht="12.75" customHeight="1">
      <c r="B110" s="27"/>
      <c r="C110" s="27"/>
    </row>
    <row r="111" spans="2:3" ht="12.75" customHeight="1">
      <c r="B111" s="27"/>
      <c r="C111" s="27"/>
    </row>
    <row r="112" spans="2:3" ht="12.75" customHeight="1">
      <c r="B112" s="27"/>
      <c r="C112" s="27"/>
    </row>
    <row r="113" spans="2:3" ht="12.75" customHeight="1">
      <c r="B113" s="27"/>
      <c r="C113" s="27"/>
    </row>
    <row r="114" spans="2:3" ht="12.75" customHeight="1">
      <c r="B114" s="27"/>
      <c r="C114" s="27"/>
    </row>
    <row r="115" spans="2:3" ht="12.75" customHeight="1">
      <c r="B115" s="27"/>
      <c r="C115" s="27"/>
    </row>
    <row r="116" spans="2:3" ht="12.75" customHeight="1">
      <c r="B116" s="27"/>
      <c r="C116" s="27"/>
    </row>
    <row r="117" spans="2:3" ht="12.75" customHeight="1">
      <c r="B117" s="27"/>
      <c r="C117" s="27"/>
    </row>
    <row r="118" spans="2:3" ht="12.75" customHeight="1">
      <c r="B118" s="27"/>
      <c r="C118" s="27"/>
    </row>
    <row r="119" spans="2:3" ht="12.75" customHeight="1">
      <c r="B119" s="27"/>
      <c r="C119" s="27"/>
    </row>
    <row r="120" spans="2:3" ht="12.75" customHeight="1">
      <c r="B120" s="27"/>
      <c r="C120" s="27"/>
    </row>
    <row r="121" spans="2:3" ht="12.75" customHeight="1">
      <c r="B121" s="27"/>
      <c r="C121" s="27"/>
    </row>
    <row r="122" spans="2:3" ht="12.75" customHeight="1">
      <c r="B122" s="27"/>
      <c r="C122" s="27"/>
    </row>
    <row r="123" spans="2:3" ht="12.75" customHeight="1">
      <c r="B123" s="27"/>
      <c r="C123" s="27"/>
    </row>
    <row r="124" spans="2:3" ht="12.75" customHeight="1">
      <c r="B124" s="27"/>
      <c r="C124" s="27"/>
    </row>
    <row r="125" spans="2:3" ht="12.75" customHeight="1">
      <c r="B125" s="27"/>
      <c r="C125" s="27"/>
    </row>
    <row r="126" spans="2:3" ht="12.75" customHeight="1">
      <c r="B126" s="27"/>
      <c r="C126" s="27"/>
    </row>
    <row r="127" spans="2:3" ht="12.75" customHeight="1">
      <c r="B127" s="27"/>
      <c r="C127" s="27"/>
    </row>
    <row r="128" spans="2:3" ht="12.75" customHeight="1">
      <c r="B128" s="27"/>
      <c r="C128" s="27"/>
    </row>
    <row r="129" spans="2:3" ht="12.75" customHeight="1">
      <c r="B129" s="27"/>
      <c r="C129" s="27"/>
    </row>
    <row r="130" spans="2:3" ht="12.75" customHeight="1">
      <c r="B130" s="27"/>
      <c r="C130" s="27"/>
    </row>
    <row r="131" spans="2:3" ht="12.75" customHeight="1">
      <c r="B131" s="27"/>
      <c r="C131" s="27"/>
    </row>
    <row r="132" spans="2:3" ht="12.75" customHeight="1">
      <c r="B132" s="27"/>
      <c r="C132" s="27"/>
    </row>
    <row r="133" spans="2:3" ht="12.75" customHeight="1">
      <c r="B133" s="27"/>
      <c r="C133" s="27"/>
    </row>
    <row r="134" spans="2:3" ht="12.75" customHeight="1">
      <c r="B134" s="27"/>
      <c r="C134" s="27"/>
    </row>
    <row r="135" spans="2:3" ht="12.75" customHeight="1">
      <c r="B135" s="27"/>
      <c r="C135" s="27"/>
    </row>
    <row r="136" spans="2:3" ht="12.75" customHeight="1">
      <c r="B136" s="27"/>
      <c r="C136" s="27"/>
    </row>
    <row r="137" spans="2:3" ht="12.75" customHeight="1">
      <c r="B137" s="27"/>
      <c r="C137" s="27"/>
    </row>
    <row r="138" spans="2:3" ht="12.75" customHeight="1">
      <c r="B138" s="27"/>
      <c r="C138" s="27"/>
    </row>
    <row r="139" spans="2:3" ht="12.75" customHeight="1">
      <c r="B139" s="27"/>
      <c r="C139" s="27"/>
    </row>
    <row r="140" spans="2:3" ht="12.75" customHeight="1">
      <c r="B140" s="27"/>
      <c r="C140" s="27"/>
    </row>
    <row r="141" spans="2:3" ht="12.75" customHeight="1">
      <c r="B141" s="27"/>
      <c r="C141" s="27"/>
    </row>
    <row r="142" spans="2:3" ht="12.75" customHeight="1">
      <c r="B142" s="27"/>
      <c r="C142" s="27"/>
    </row>
    <row r="143" spans="2:3" ht="12.75" customHeight="1">
      <c r="B143" s="27"/>
      <c r="C143" s="27"/>
    </row>
    <row r="144" spans="2:3" ht="12.75" customHeight="1">
      <c r="B144" s="27"/>
      <c r="C144" s="27"/>
    </row>
    <row r="145" spans="2:3" ht="12.75" customHeight="1">
      <c r="B145" s="27"/>
      <c r="C145" s="27"/>
    </row>
    <row r="146" spans="2:3" ht="12.75" customHeight="1">
      <c r="B146" s="27"/>
      <c r="C146" s="27"/>
    </row>
    <row r="147" spans="2:3" ht="12.75" customHeight="1">
      <c r="B147" s="27"/>
      <c r="C147" s="27"/>
    </row>
    <row r="148" spans="2:3" ht="12.75" customHeight="1">
      <c r="B148" s="27"/>
      <c r="C148" s="27"/>
    </row>
    <row r="149" spans="2:3" ht="12.75" customHeight="1">
      <c r="B149" s="27"/>
      <c r="C149" s="27"/>
    </row>
    <row r="150" spans="2:3" ht="12.75" customHeight="1">
      <c r="B150" s="27"/>
      <c r="C150" s="27"/>
    </row>
    <row r="151" spans="2:3" ht="12.75" customHeight="1">
      <c r="B151" s="27"/>
      <c r="C151" s="27"/>
    </row>
    <row r="152" spans="2:3" ht="12.75" customHeight="1">
      <c r="B152" s="27"/>
      <c r="C152" s="27"/>
    </row>
    <row r="153" spans="2:3" ht="12.75" customHeight="1">
      <c r="B153" s="27"/>
      <c r="C153" s="27"/>
    </row>
    <row r="154" spans="2:3" ht="12.75" customHeight="1">
      <c r="B154" s="27"/>
      <c r="C154" s="27"/>
    </row>
    <row r="155" spans="2:3" ht="12.75" customHeight="1">
      <c r="B155" s="27"/>
      <c r="C155" s="27"/>
    </row>
    <row r="156" spans="2:3" ht="12.75" customHeight="1">
      <c r="B156" s="27"/>
      <c r="C156" s="27"/>
    </row>
    <row r="157" spans="2:3" ht="12.75" customHeight="1">
      <c r="B157" s="27"/>
      <c r="C157" s="27"/>
    </row>
    <row r="158" spans="2:3" ht="12.75" customHeight="1">
      <c r="B158" s="27"/>
      <c r="C158" s="27"/>
    </row>
    <row r="159" spans="2:3" ht="12.75" customHeight="1">
      <c r="B159" s="27"/>
      <c r="C159" s="27"/>
    </row>
    <row r="160" spans="2:3" ht="12.75" customHeight="1">
      <c r="B160" s="27"/>
      <c r="C160" s="27"/>
    </row>
    <row r="161" spans="2:3" ht="12.75" customHeight="1">
      <c r="B161" s="27"/>
      <c r="C161" s="27"/>
    </row>
    <row r="162" spans="2:3" ht="12.75" customHeight="1">
      <c r="B162" s="27"/>
      <c r="C162" s="27"/>
    </row>
    <row r="163" spans="2:3" ht="12.75" customHeight="1">
      <c r="B163" s="27"/>
      <c r="C163" s="27"/>
    </row>
    <row r="164" spans="2:3" ht="12.75" customHeight="1">
      <c r="B164" s="27"/>
      <c r="C164" s="27"/>
    </row>
    <row r="165" spans="2:3" ht="12.75" customHeight="1">
      <c r="B165" s="27"/>
      <c r="C165" s="27"/>
    </row>
    <row r="166" spans="2:3" ht="12.75" customHeight="1">
      <c r="B166" s="27"/>
      <c r="C166" s="27"/>
    </row>
    <row r="167" spans="2:3" ht="12.75" customHeight="1">
      <c r="B167" s="27"/>
      <c r="C167" s="27"/>
    </row>
    <row r="168" spans="2:3" ht="12.75" customHeight="1">
      <c r="B168" s="27"/>
      <c r="C168" s="27"/>
    </row>
    <row r="169" spans="2:3" ht="12.75" customHeight="1">
      <c r="B169" s="27"/>
      <c r="C169" s="27"/>
    </row>
    <row r="170" spans="2:3" ht="12.75" customHeight="1">
      <c r="B170" s="27"/>
      <c r="C170" s="27"/>
    </row>
    <row r="171" spans="2:3" ht="12.75" customHeight="1">
      <c r="B171" s="27"/>
      <c r="C171" s="27"/>
    </row>
    <row r="172" spans="2:3" ht="12.75" customHeight="1">
      <c r="B172" s="27"/>
      <c r="C172" s="27"/>
    </row>
    <row r="173" spans="2:3" ht="12.75" customHeight="1">
      <c r="B173" s="27"/>
      <c r="C173" s="27"/>
    </row>
    <row r="174" spans="2:3" ht="12.75" customHeight="1">
      <c r="B174" s="27"/>
      <c r="C174" s="27"/>
    </row>
    <row r="175" spans="2:3" ht="12.75" customHeight="1">
      <c r="B175" s="27"/>
      <c r="C175" s="27"/>
    </row>
    <row r="176" spans="2:3" ht="12.75" customHeight="1">
      <c r="B176" s="27"/>
      <c r="C176" s="27"/>
    </row>
    <row r="177" spans="2:3" ht="12.75" customHeight="1">
      <c r="B177" s="27"/>
      <c r="C177" s="27"/>
    </row>
    <row r="178" spans="2:3" ht="12.75" customHeight="1">
      <c r="B178" s="27"/>
      <c r="C178" s="27"/>
    </row>
    <row r="179" spans="2:3" ht="12.75" customHeight="1">
      <c r="B179" s="27"/>
      <c r="C179" s="27"/>
    </row>
    <row r="180" spans="2:3" ht="12.75" customHeight="1">
      <c r="B180" s="27"/>
      <c r="C180" s="27"/>
    </row>
    <row r="181" spans="2:3" ht="12.75" customHeight="1">
      <c r="B181" s="27"/>
      <c r="C181" s="27"/>
    </row>
    <row r="182" spans="2:3" ht="12.75" customHeight="1">
      <c r="B182" s="27"/>
      <c r="C182" s="27"/>
    </row>
    <row r="183" spans="2:3" ht="12.75" customHeight="1">
      <c r="B183" s="27"/>
      <c r="C183" s="27"/>
    </row>
    <row r="184" spans="2:3" ht="12.75" customHeight="1">
      <c r="B184" s="27"/>
      <c r="C184" s="27"/>
    </row>
    <row r="185" spans="2:3" ht="12.75" customHeight="1">
      <c r="B185" s="27"/>
      <c r="C185" s="27"/>
    </row>
    <row r="186" spans="2:3" ht="12.75" customHeight="1">
      <c r="B186" s="27"/>
      <c r="C186" s="27"/>
    </row>
    <row r="187" spans="2:3" ht="12.75" customHeight="1">
      <c r="B187" s="27"/>
      <c r="C187" s="27"/>
    </row>
    <row r="188" spans="2:3" ht="12.75" customHeight="1">
      <c r="B188" s="27"/>
      <c r="C188" s="27"/>
    </row>
    <row r="189" spans="2:3" ht="12.75" customHeight="1">
      <c r="B189" s="27"/>
      <c r="C189" s="27"/>
    </row>
    <row r="190" spans="2:3" ht="12.75" customHeight="1">
      <c r="B190" s="27"/>
      <c r="C190" s="27"/>
    </row>
    <row r="191" spans="2:3" ht="12.75" customHeight="1">
      <c r="B191" s="27"/>
      <c r="C191" s="27"/>
    </row>
    <row r="192" spans="2:3" ht="12.75" customHeight="1">
      <c r="B192" s="27"/>
      <c r="C192" s="27"/>
    </row>
    <row r="193" spans="2:3" ht="12.75" customHeight="1">
      <c r="B193" s="27"/>
      <c r="C193" s="27"/>
    </row>
    <row r="194" spans="2:3" ht="12.75" customHeight="1">
      <c r="B194" s="27"/>
      <c r="C194" s="27"/>
    </row>
    <row r="195" spans="2:3" ht="12.75" customHeight="1">
      <c r="B195" s="27"/>
      <c r="C195" s="27"/>
    </row>
    <row r="196" spans="2:3" ht="12.75" customHeight="1">
      <c r="B196" s="27"/>
      <c r="C196" s="27"/>
    </row>
    <row r="197" spans="2:3" ht="12.75" customHeight="1">
      <c r="B197" s="27"/>
      <c r="C197" s="27"/>
    </row>
    <row r="198" spans="2:3" ht="12.75" customHeight="1">
      <c r="B198" s="27"/>
      <c r="C198" s="27"/>
    </row>
    <row r="199" spans="2:3" ht="12.75" customHeight="1">
      <c r="B199" s="27"/>
      <c r="C199" s="27"/>
    </row>
    <row r="200" spans="2:3" ht="12.75" customHeight="1">
      <c r="B200" s="27"/>
      <c r="C200" s="27"/>
    </row>
    <row r="201" spans="2:3" ht="12.75" customHeight="1">
      <c r="B201" s="27"/>
      <c r="C201" s="27"/>
    </row>
    <row r="202" spans="2:3" ht="12.75" customHeight="1">
      <c r="B202" s="27"/>
      <c r="C202" s="27"/>
    </row>
    <row r="203" spans="2:3" ht="12.75" customHeight="1">
      <c r="B203" s="27"/>
      <c r="C203" s="27"/>
    </row>
    <row r="204" spans="2:3" ht="12.75" customHeight="1">
      <c r="B204" s="27"/>
      <c r="C204" s="27"/>
    </row>
    <row r="205" spans="2:3" ht="12.75" customHeight="1">
      <c r="B205" s="27"/>
      <c r="C205" s="27"/>
    </row>
    <row r="206" spans="2:3" ht="12.75" customHeight="1">
      <c r="B206" s="27"/>
      <c r="C206" s="27"/>
    </row>
    <row r="207" spans="2:3" ht="12.75" customHeight="1">
      <c r="B207" s="27"/>
      <c r="C207" s="27"/>
    </row>
    <row r="208" spans="2:3" ht="12.75" customHeight="1">
      <c r="B208" s="27"/>
      <c r="C208" s="27"/>
    </row>
    <row r="209" spans="2:3" ht="12.75" customHeight="1">
      <c r="B209" s="27"/>
      <c r="C209" s="27"/>
    </row>
    <row r="210" spans="2:3" ht="12.75" customHeight="1">
      <c r="B210" s="27"/>
      <c r="C210" s="27"/>
    </row>
    <row r="211" spans="2:3" ht="12.75" customHeight="1">
      <c r="B211" s="27"/>
      <c r="C211" s="27"/>
    </row>
    <row r="212" spans="2:3" ht="12.75" customHeight="1">
      <c r="B212" s="27"/>
      <c r="C212" s="27"/>
    </row>
    <row r="213" spans="2:3" ht="12.75" customHeight="1">
      <c r="B213" s="27"/>
      <c r="C213" s="27"/>
    </row>
    <row r="214" spans="2:3" ht="12.75" customHeight="1">
      <c r="B214" s="27"/>
      <c r="C214" s="27"/>
    </row>
    <row r="215" spans="2:3" ht="12.75" customHeight="1">
      <c r="B215" s="27"/>
      <c r="C215" s="27"/>
    </row>
    <row r="216" spans="2:3" ht="12.75" customHeight="1">
      <c r="B216" s="27"/>
      <c r="C216" s="27"/>
    </row>
    <row r="217" spans="2:3" ht="12.75" customHeight="1">
      <c r="B217" s="27"/>
      <c r="C217" s="27"/>
    </row>
    <row r="218" spans="2:3" ht="12.75" customHeight="1">
      <c r="B218" s="27"/>
      <c r="C218" s="27"/>
    </row>
    <row r="219" spans="2:3" ht="12.75" customHeight="1">
      <c r="B219" s="27"/>
      <c r="C219" s="27"/>
    </row>
    <row r="220" spans="2:3" ht="12.75" customHeight="1">
      <c r="B220" s="27"/>
      <c r="C220" s="27"/>
    </row>
    <row r="221" spans="2:3" ht="12.75" customHeight="1">
      <c r="B221" s="27"/>
      <c r="C221" s="27"/>
    </row>
    <row r="222" spans="2:3" ht="12.75" customHeight="1">
      <c r="B222" s="27"/>
      <c r="C222" s="27"/>
    </row>
    <row r="223" spans="2:3" ht="12.75" customHeight="1">
      <c r="B223" s="27"/>
      <c r="C223" s="27"/>
    </row>
    <row r="224" spans="2:3" ht="12.75" customHeight="1">
      <c r="B224" s="27"/>
      <c r="C224" s="27"/>
    </row>
    <row r="225" spans="2:3" ht="12.75" customHeight="1">
      <c r="B225" s="27"/>
      <c r="C225" s="27"/>
    </row>
    <row r="226" spans="2:3" ht="12.75" customHeight="1">
      <c r="B226" s="27"/>
      <c r="C226" s="27"/>
    </row>
    <row r="227" spans="2:3" ht="12.75" customHeight="1">
      <c r="B227" s="27"/>
      <c r="C227" s="27"/>
    </row>
    <row r="228" spans="2:3" ht="12.75" customHeight="1">
      <c r="B228" s="27"/>
      <c r="C228" s="27"/>
    </row>
    <row r="229" spans="2:3" ht="12.75" customHeight="1">
      <c r="B229" s="27"/>
      <c r="C229" s="27"/>
    </row>
    <row r="230" spans="2:3" ht="12.75" customHeight="1">
      <c r="B230" s="27"/>
      <c r="C230" s="27"/>
    </row>
    <row r="231" spans="2:3" ht="12.75" customHeight="1">
      <c r="B231" s="27"/>
      <c r="C231" s="27"/>
    </row>
    <row r="232" spans="2:3" ht="12.75" customHeight="1">
      <c r="B232" s="27"/>
      <c r="C232" s="27"/>
    </row>
    <row r="233" spans="2:3" ht="12.75" customHeight="1">
      <c r="B233" s="27"/>
      <c r="C233" s="27"/>
    </row>
    <row r="234" spans="2:3" ht="12.75" customHeight="1">
      <c r="B234" s="27"/>
      <c r="C234" s="27"/>
    </row>
    <row r="235" spans="2:3" ht="12.75" customHeight="1">
      <c r="B235" s="27"/>
      <c r="C235" s="27"/>
    </row>
    <row r="236" spans="2:3" ht="12.75" customHeight="1">
      <c r="B236" s="27"/>
      <c r="C236" s="27"/>
    </row>
    <row r="237" spans="2:3" ht="12.75" customHeight="1">
      <c r="B237" s="27"/>
      <c r="C237" s="27"/>
    </row>
    <row r="238" spans="2:3" ht="12.75" customHeight="1">
      <c r="B238" s="27"/>
      <c r="C238" s="27"/>
    </row>
    <row r="239" spans="2:3" ht="12.75" customHeight="1">
      <c r="B239" s="27"/>
      <c r="C239" s="27"/>
    </row>
    <row r="240" spans="2:3" ht="12.75" customHeight="1">
      <c r="B240" s="27"/>
      <c r="C240" s="27"/>
    </row>
    <row r="241" spans="2:3" ht="12.75" customHeight="1">
      <c r="B241" s="27"/>
      <c r="C241" s="27"/>
    </row>
    <row r="242" spans="2:3" ht="12.75" customHeight="1">
      <c r="B242" s="27"/>
      <c r="C242" s="27"/>
    </row>
    <row r="243" spans="2:3" ht="12.75" customHeight="1">
      <c r="B243" s="27"/>
      <c r="C243" s="27"/>
    </row>
    <row r="244" spans="2:3" ht="12.75" customHeight="1">
      <c r="B244" s="27"/>
      <c r="C244" s="27"/>
    </row>
    <row r="245" spans="2:3" ht="12.75" customHeight="1">
      <c r="B245" s="27"/>
      <c r="C245" s="27"/>
    </row>
    <row r="246" spans="2:3" ht="12.75" customHeight="1">
      <c r="B246" s="27"/>
      <c r="C246" s="27"/>
    </row>
    <row r="247" spans="2:3" ht="12.75" customHeight="1">
      <c r="B247" s="27"/>
      <c r="C247" s="27"/>
    </row>
    <row r="248" spans="2:3" ht="12.75" customHeight="1">
      <c r="B248" s="27"/>
      <c r="C248" s="27"/>
    </row>
    <row r="249" spans="2:3" ht="12.75" customHeight="1">
      <c r="B249" s="27"/>
      <c r="C249" s="27"/>
    </row>
    <row r="250" spans="2:3" ht="12.75" customHeight="1">
      <c r="B250" s="27"/>
      <c r="C250" s="27"/>
    </row>
    <row r="251" spans="2:3" ht="12.75" customHeight="1">
      <c r="B251" s="27"/>
      <c r="C251" s="27"/>
    </row>
    <row r="252" spans="2:3" ht="12.75" customHeight="1">
      <c r="B252" s="27"/>
      <c r="C252" s="27"/>
    </row>
    <row r="253" spans="2:3" ht="12.75" customHeight="1">
      <c r="B253" s="27"/>
      <c r="C253" s="27"/>
    </row>
    <row r="254" spans="2:3" ht="12.75" customHeight="1">
      <c r="B254" s="27"/>
      <c r="C254" s="27"/>
    </row>
    <row r="255" spans="2:3" ht="12.75" customHeight="1">
      <c r="B255" s="27"/>
      <c r="C255" s="27"/>
    </row>
    <row r="256" spans="2:3" ht="12.75" customHeight="1">
      <c r="B256" s="27"/>
      <c r="C256" s="27"/>
    </row>
    <row r="257" spans="2:3" ht="12.75" customHeight="1">
      <c r="B257" s="27"/>
      <c r="C257" s="27"/>
    </row>
    <row r="258" spans="2:3" ht="12.75" customHeight="1">
      <c r="B258" s="27"/>
      <c r="C258" s="27"/>
    </row>
    <row r="259" spans="2:3" ht="12.75" customHeight="1">
      <c r="B259" s="27"/>
      <c r="C259" s="27"/>
    </row>
    <row r="260" spans="2:3" ht="12.75" customHeight="1">
      <c r="B260" s="27"/>
      <c r="C260" s="27"/>
    </row>
    <row r="261" spans="2:3" ht="12.75" customHeight="1">
      <c r="B261" s="27"/>
      <c r="C261" s="27"/>
    </row>
    <row r="262" spans="2:3" ht="12.75" customHeight="1">
      <c r="B262" s="27"/>
      <c r="C262" s="27"/>
    </row>
    <row r="263" spans="2:3" ht="12.75" customHeight="1">
      <c r="B263" s="27"/>
      <c r="C263" s="27"/>
    </row>
    <row r="264" spans="2:3" ht="12.75" customHeight="1">
      <c r="B264" s="27"/>
      <c r="C264" s="27"/>
    </row>
    <row r="265" spans="2:3" ht="12.75" customHeight="1">
      <c r="B265" s="27"/>
      <c r="C265" s="27"/>
    </row>
    <row r="266" spans="2:3" ht="12.75" customHeight="1">
      <c r="B266" s="27"/>
      <c r="C266" s="27"/>
    </row>
    <row r="267" spans="2:3" ht="12.75" customHeight="1">
      <c r="B267" s="27"/>
      <c r="C267" s="27"/>
    </row>
    <row r="268" spans="2:3" ht="12.75" customHeight="1">
      <c r="B268" s="27"/>
      <c r="C268" s="27"/>
    </row>
    <row r="269" spans="2:3" ht="12.75" customHeight="1">
      <c r="B269" s="27"/>
      <c r="C269" s="27"/>
    </row>
    <row r="270" spans="2:3" ht="12.75" customHeight="1">
      <c r="B270" s="27"/>
      <c r="C270" s="27"/>
    </row>
    <row r="271" spans="2:3" ht="12.75" customHeight="1">
      <c r="B271" s="27"/>
      <c r="C271" s="27"/>
    </row>
    <row r="272" spans="2:3" ht="12.75" customHeight="1">
      <c r="B272" s="27"/>
      <c r="C272" s="27"/>
    </row>
    <row r="273" spans="2:3" ht="12.75" customHeight="1">
      <c r="B273" s="27"/>
      <c r="C273" s="27"/>
    </row>
    <row r="274" spans="2:3" ht="12.75" customHeight="1">
      <c r="B274" s="27"/>
      <c r="C274" s="27"/>
    </row>
    <row r="275" spans="2:3" ht="12.75" customHeight="1">
      <c r="B275" s="27"/>
      <c r="C275" s="27"/>
    </row>
    <row r="276" spans="2:3" ht="12.75" customHeight="1">
      <c r="B276" s="27"/>
      <c r="C276" s="27"/>
    </row>
    <row r="277" spans="2:3" ht="12.75" customHeight="1">
      <c r="B277" s="27"/>
      <c r="C277" s="27"/>
    </row>
    <row r="278" spans="2:3" ht="12.75" customHeight="1">
      <c r="B278" s="27"/>
      <c r="C278" s="27"/>
    </row>
    <row r="279" spans="2:3" ht="12.75" customHeight="1">
      <c r="B279" s="27"/>
      <c r="C279" s="27"/>
    </row>
    <row r="280" spans="2:3" ht="12.75" customHeight="1">
      <c r="B280" s="27"/>
      <c r="C280" s="27"/>
    </row>
    <row r="281" spans="2:3" ht="12.75" customHeight="1">
      <c r="B281" s="27"/>
      <c r="C281" s="27"/>
    </row>
    <row r="282" spans="2:3" ht="12.75" customHeight="1">
      <c r="B282" s="27"/>
      <c r="C282" s="27"/>
    </row>
    <row r="283" spans="2:3" ht="12.75" customHeight="1">
      <c r="B283" s="27"/>
      <c r="C283" s="27"/>
    </row>
    <row r="284" spans="2:3" ht="12.75" customHeight="1">
      <c r="B284" s="27"/>
      <c r="C284" s="27"/>
    </row>
    <row r="285" spans="2:3" ht="12.75" customHeight="1">
      <c r="B285" s="27"/>
      <c r="C285" s="27"/>
    </row>
    <row r="286" spans="2:3" ht="12.75" customHeight="1">
      <c r="B286" s="27"/>
      <c r="C286" s="27"/>
    </row>
    <row r="287" spans="2:3" ht="12.75" customHeight="1">
      <c r="B287" s="27"/>
      <c r="C287" s="27"/>
    </row>
    <row r="288" spans="2:3" ht="12.75" customHeight="1">
      <c r="B288" s="27"/>
      <c r="C288" s="27"/>
    </row>
    <row r="289" spans="2:3" ht="12.75" customHeight="1">
      <c r="B289" s="27"/>
      <c r="C289" s="27"/>
    </row>
    <row r="290" spans="2:3" ht="12.75" customHeight="1">
      <c r="B290" s="27"/>
      <c r="C290" s="27"/>
    </row>
    <row r="291" spans="2:3" ht="12.75" customHeight="1">
      <c r="B291" s="27"/>
      <c r="C291" s="27"/>
    </row>
    <row r="292" spans="2:3" ht="12.75" customHeight="1">
      <c r="B292" s="27"/>
      <c r="C292" s="27"/>
    </row>
    <row r="293" spans="2:3" ht="12.75" customHeight="1">
      <c r="B293" s="27"/>
      <c r="C293" s="27"/>
    </row>
    <row r="294" spans="2:3" ht="12.75" customHeight="1">
      <c r="B294" s="27"/>
      <c r="C294" s="27"/>
    </row>
    <row r="295" spans="2:3" ht="12.75" customHeight="1">
      <c r="B295" s="27"/>
      <c r="C295" s="27"/>
    </row>
    <row r="296" spans="2:3" ht="12.75" customHeight="1">
      <c r="B296" s="27"/>
      <c r="C296" s="27"/>
    </row>
    <row r="297" spans="2:3" ht="12.75" customHeight="1">
      <c r="B297" s="27"/>
      <c r="C297" s="27"/>
    </row>
    <row r="298" spans="2:3" ht="12.75" customHeight="1">
      <c r="B298" s="27"/>
      <c r="C298" s="27"/>
    </row>
    <row r="299" spans="2:3" ht="12.75" customHeight="1">
      <c r="B299" s="27"/>
      <c r="C299" s="27"/>
    </row>
    <row r="300" spans="2:3" ht="12.75" customHeight="1">
      <c r="B300" s="27"/>
      <c r="C300" s="27"/>
    </row>
    <row r="301" spans="2:3" ht="12.75" customHeight="1">
      <c r="B301" s="27"/>
      <c r="C301" s="27"/>
    </row>
    <row r="302" spans="2:3" ht="12.75" customHeight="1">
      <c r="B302" s="27"/>
      <c r="C302" s="27"/>
    </row>
    <row r="303" spans="2:3" ht="12.75" customHeight="1">
      <c r="B303" s="27"/>
      <c r="C303" s="27"/>
    </row>
    <row r="304" spans="2:3" ht="12.75" customHeight="1">
      <c r="B304" s="27"/>
      <c r="C304" s="27"/>
    </row>
    <row r="305" spans="2:3" ht="12.75" customHeight="1">
      <c r="B305" s="27"/>
      <c r="C305" s="27"/>
    </row>
    <row r="306" spans="2:3" ht="12.75" customHeight="1">
      <c r="B306" s="27"/>
      <c r="C306" s="27"/>
    </row>
    <row r="307" spans="2:3" ht="12.75" customHeight="1">
      <c r="B307" s="27"/>
      <c r="C307" s="27"/>
    </row>
    <row r="308" spans="2:3" ht="12.75" customHeight="1">
      <c r="B308" s="27"/>
      <c r="C308" s="27"/>
    </row>
    <row r="309" spans="2:3" ht="12.75" customHeight="1">
      <c r="B309" s="27"/>
      <c r="C309" s="27"/>
    </row>
    <row r="310" spans="2:3" ht="12.75" customHeight="1">
      <c r="B310" s="27"/>
      <c r="C310" s="27"/>
    </row>
    <row r="311" spans="2:3" ht="12.75" customHeight="1">
      <c r="B311" s="27"/>
      <c r="C311" s="27"/>
    </row>
    <row r="312" spans="2:3" ht="12.75" customHeight="1">
      <c r="B312" s="27"/>
      <c r="C312" s="27"/>
    </row>
    <row r="313" spans="2:3" ht="12.75" customHeight="1">
      <c r="B313" s="27"/>
      <c r="C313" s="27"/>
    </row>
    <row r="314" spans="2:3" ht="12.75" customHeight="1">
      <c r="B314" s="27"/>
      <c r="C314" s="27"/>
    </row>
    <row r="315" spans="2:3" ht="12.75" customHeight="1">
      <c r="B315" s="27"/>
      <c r="C315" s="27"/>
    </row>
    <row r="316" spans="2:3" ht="12.75" customHeight="1">
      <c r="B316" s="27"/>
      <c r="C316" s="27"/>
    </row>
    <row r="317" spans="2:3" ht="12.75" customHeight="1">
      <c r="B317" s="27"/>
      <c r="C317" s="27"/>
    </row>
    <row r="318" spans="2:3" ht="12.75" customHeight="1">
      <c r="B318" s="27"/>
      <c r="C318" s="27"/>
    </row>
    <row r="319" spans="2:3" ht="12.75" customHeight="1">
      <c r="B319" s="27"/>
      <c r="C319" s="27"/>
    </row>
    <row r="320" spans="2:3" ht="12.75" customHeight="1">
      <c r="B320" s="27"/>
      <c r="C320" s="27"/>
    </row>
    <row r="321" spans="2:3" ht="12.75" customHeight="1">
      <c r="B321" s="27"/>
      <c r="C321" s="27"/>
    </row>
    <row r="322" spans="2:3" ht="12.75" customHeight="1">
      <c r="B322" s="27"/>
      <c r="C322" s="27"/>
    </row>
    <row r="323" spans="2:3" ht="12.75" customHeight="1">
      <c r="B323" s="27"/>
      <c r="C323" s="27"/>
    </row>
    <row r="324" spans="2:3" ht="12.75" customHeight="1">
      <c r="B324" s="27"/>
      <c r="C324" s="27"/>
    </row>
    <row r="325" spans="2:3" ht="12.75" customHeight="1">
      <c r="B325" s="27"/>
      <c r="C325" s="27"/>
    </row>
    <row r="326" spans="2:3" ht="12.75" customHeight="1">
      <c r="B326" s="27"/>
      <c r="C326" s="27"/>
    </row>
    <row r="327" spans="2:3" ht="12.75" customHeight="1">
      <c r="B327" s="27"/>
      <c r="C327" s="27"/>
    </row>
    <row r="328" spans="2:3" ht="12.75" customHeight="1">
      <c r="B328" s="27"/>
      <c r="C328" s="27"/>
    </row>
    <row r="329" spans="2:3" ht="12.75" customHeight="1">
      <c r="B329" s="27"/>
      <c r="C329" s="27"/>
    </row>
    <row r="330" spans="2:3" ht="12.75" customHeight="1">
      <c r="B330" s="27"/>
      <c r="C330" s="27"/>
    </row>
    <row r="331" spans="2:3" ht="12.75" customHeight="1">
      <c r="B331" s="27"/>
      <c r="C331" s="27"/>
    </row>
    <row r="332" spans="2:3" ht="12.75" customHeight="1">
      <c r="B332" s="27"/>
      <c r="C332" s="27"/>
    </row>
    <row r="333" spans="2:3" ht="12.75" customHeight="1">
      <c r="B333" s="27"/>
      <c r="C333" s="27"/>
    </row>
    <row r="334" spans="2:3" ht="12.75" customHeight="1">
      <c r="B334" s="27"/>
      <c r="C334" s="27"/>
    </row>
    <row r="335" spans="2:3" ht="12.75" customHeight="1">
      <c r="B335" s="27"/>
      <c r="C335" s="27"/>
    </row>
    <row r="336" spans="2:3" ht="12.75" customHeight="1">
      <c r="B336" s="27"/>
      <c r="C336" s="27"/>
    </row>
    <row r="337" spans="2:3" ht="12.75" customHeight="1">
      <c r="B337" s="27"/>
      <c r="C337" s="27"/>
    </row>
    <row r="338" spans="2:3" ht="12.75" customHeight="1">
      <c r="B338" s="27"/>
      <c r="C338" s="27"/>
    </row>
    <row r="339" spans="2:3" ht="12.75" customHeight="1">
      <c r="B339" s="27"/>
      <c r="C339" s="27"/>
    </row>
    <row r="340" spans="2:3" ht="12.75" customHeight="1">
      <c r="B340" s="27"/>
      <c r="C340" s="27"/>
    </row>
    <row r="341" spans="2:3" ht="12.75" customHeight="1">
      <c r="B341" s="27"/>
      <c r="C341" s="27"/>
    </row>
    <row r="342" spans="2:3" ht="12.75" customHeight="1">
      <c r="B342" s="27"/>
      <c r="C342" s="27"/>
    </row>
    <row r="343" spans="2:3" ht="12.75" customHeight="1">
      <c r="B343" s="27"/>
      <c r="C343" s="27"/>
    </row>
    <row r="344" spans="2:3" ht="12.75" customHeight="1">
      <c r="B344" s="27"/>
      <c r="C344" s="27"/>
    </row>
    <row r="345" spans="2:3" ht="12.75" customHeight="1">
      <c r="B345" s="27"/>
      <c r="C345" s="27"/>
    </row>
    <row r="346" spans="2:3" ht="12.75" customHeight="1">
      <c r="B346" s="27"/>
      <c r="C346" s="27"/>
    </row>
    <row r="347" spans="2:3" ht="12.75" customHeight="1">
      <c r="B347" s="27"/>
      <c r="C347" s="27"/>
    </row>
    <row r="348" spans="2:3" ht="12.75" customHeight="1">
      <c r="B348" s="27"/>
      <c r="C348" s="27"/>
    </row>
    <row r="349" spans="2:3" ht="12.75" customHeight="1">
      <c r="B349" s="27"/>
      <c r="C349" s="27"/>
    </row>
    <row r="350" spans="2:3" ht="12.75" customHeight="1">
      <c r="B350" s="27"/>
      <c r="C350" s="27"/>
    </row>
    <row r="351" spans="2:3" ht="12.75" customHeight="1">
      <c r="B351" s="27"/>
      <c r="C351" s="27"/>
    </row>
    <row r="352" spans="2:3" ht="12.75" customHeight="1">
      <c r="B352" s="27"/>
      <c r="C352" s="27"/>
    </row>
    <row r="353" spans="2:3" ht="12.75" customHeight="1">
      <c r="B353" s="27"/>
      <c r="C353" s="27"/>
    </row>
    <row r="354" spans="2:3" ht="12.75" customHeight="1">
      <c r="B354" s="27"/>
      <c r="C354" s="27"/>
    </row>
    <row r="355" spans="2:3" ht="12.75" customHeight="1">
      <c r="B355" s="27"/>
      <c r="C355" s="27"/>
    </row>
    <row r="356" spans="2:3" ht="12.75" customHeight="1">
      <c r="B356" s="27"/>
      <c r="C356" s="27"/>
    </row>
    <row r="357" spans="2:3" ht="12.75" customHeight="1">
      <c r="B357" s="27"/>
      <c r="C357" s="27"/>
    </row>
    <row r="358" spans="2:3" ht="12.75" customHeight="1">
      <c r="B358" s="27"/>
      <c r="C358" s="27"/>
    </row>
    <row r="359" spans="2:3" ht="12.75" customHeight="1">
      <c r="B359" s="27"/>
      <c r="C359" s="27"/>
    </row>
    <row r="360" spans="2:3" ht="12.75" customHeight="1">
      <c r="B360" s="27"/>
      <c r="C360" s="27"/>
    </row>
    <row r="361" spans="2:3" ht="12.75" customHeight="1">
      <c r="B361" s="27"/>
      <c r="C361" s="27"/>
    </row>
    <row r="362" spans="2:3" ht="12.75" customHeight="1">
      <c r="B362" s="27"/>
      <c r="C362" s="27"/>
    </row>
    <row r="363" spans="2:3" ht="12.75" customHeight="1">
      <c r="B363" s="27"/>
      <c r="C363" s="27"/>
    </row>
    <row r="364" spans="2:3" ht="12.75" customHeight="1">
      <c r="B364" s="27"/>
      <c r="C364" s="27"/>
    </row>
    <row r="365" spans="2:3" ht="12.75" customHeight="1">
      <c r="B365" s="27"/>
      <c r="C365" s="27"/>
    </row>
    <row r="366" spans="2:3" ht="12.75" customHeight="1">
      <c r="B366" s="27"/>
      <c r="C366" s="27"/>
    </row>
    <row r="367" spans="2:3" ht="12.75" customHeight="1">
      <c r="B367" s="27"/>
      <c r="C367" s="27"/>
    </row>
    <row r="368" spans="2:3" ht="12.75" customHeight="1">
      <c r="B368" s="27"/>
      <c r="C368" s="27"/>
    </row>
    <row r="369" spans="2:3" ht="12.75" customHeight="1">
      <c r="B369" s="27"/>
      <c r="C369" s="27"/>
    </row>
    <row r="370" spans="2:3" ht="12.75" customHeight="1">
      <c r="B370" s="27"/>
      <c r="C370" s="27"/>
    </row>
    <row r="371" spans="2:3" ht="12.75" customHeight="1">
      <c r="B371" s="27"/>
      <c r="C371" s="27"/>
    </row>
    <row r="372" spans="2:3" ht="12.75" customHeight="1">
      <c r="B372" s="27"/>
      <c r="C372" s="27"/>
    </row>
    <row r="373" spans="2:3" ht="12.75" customHeight="1">
      <c r="B373" s="27"/>
      <c r="C373" s="27"/>
    </row>
    <row r="374" spans="2:3" ht="12.75" customHeight="1">
      <c r="B374" s="27"/>
      <c r="C374" s="27"/>
    </row>
    <row r="375" spans="2:3" ht="12.75" customHeight="1">
      <c r="B375" s="27"/>
      <c r="C375" s="27"/>
    </row>
    <row r="376" spans="2:3" ht="12.75" customHeight="1">
      <c r="B376" s="27"/>
      <c r="C376" s="27"/>
    </row>
    <row r="377" spans="2:3" ht="12.75" customHeight="1">
      <c r="B377" s="27"/>
      <c r="C377" s="27"/>
    </row>
    <row r="378" spans="2:3" ht="12.75" customHeight="1">
      <c r="B378" s="27"/>
      <c r="C378" s="27"/>
    </row>
    <row r="379" spans="2:3" ht="12.75" customHeight="1">
      <c r="B379" s="27"/>
      <c r="C379" s="27"/>
    </row>
    <row r="380" spans="2:3" ht="12.75" customHeight="1">
      <c r="B380" s="27"/>
      <c r="C380" s="27"/>
    </row>
    <row r="381" spans="2:3" ht="12.75" customHeight="1">
      <c r="B381" s="27"/>
      <c r="C381" s="27"/>
    </row>
    <row r="382" spans="2:3" ht="12.75" customHeight="1">
      <c r="B382" s="27"/>
      <c r="C382" s="27"/>
    </row>
    <row r="383" spans="2:3" ht="12.75" customHeight="1">
      <c r="B383" s="27"/>
      <c r="C383" s="27"/>
    </row>
    <row r="384" spans="2:3" ht="12.75" customHeight="1">
      <c r="B384" s="27"/>
      <c r="C384" s="27"/>
    </row>
    <row r="385" spans="2:3" ht="12.75" customHeight="1">
      <c r="B385" s="27"/>
      <c r="C385" s="27"/>
    </row>
    <row r="386" spans="2:3" ht="12.75" customHeight="1">
      <c r="B386" s="27"/>
      <c r="C386" s="27"/>
    </row>
    <row r="387" spans="2:3" ht="12.75" customHeight="1">
      <c r="B387" s="27"/>
      <c r="C387" s="27"/>
    </row>
    <row r="388" spans="2:3" ht="12.75" customHeight="1">
      <c r="B388" s="27"/>
      <c r="C388" s="27"/>
    </row>
    <row r="389" spans="2:3" ht="12.75" customHeight="1">
      <c r="B389" s="27"/>
      <c r="C389" s="27"/>
    </row>
    <row r="390" spans="2:3" ht="12.75" customHeight="1">
      <c r="B390" s="27"/>
      <c r="C390" s="27"/>
    </row>
    <row r="391" spans="2:3" ht="12.75" customHeight="1">
      <c r="B391" s="27"/>
      <c r="C391" s="27"/>
    </row>
    <row r="392" spans="2:3" ht="12.75" customHeight="1">
      <c r="B392" s="27"/>
      <c r="C392" s="27"/>
    </row>
    <row r="393" spans="2:3" ht="12.75" customHeight="1">
      <c r="B393" s="27"/>
      <c r="C393" s="27"/>
    </row>
    <row r="394" spans="2:3" ht="12.75" customHeight="1">
      <c r="B394" s="27"/>
      <c r="C394" s="27"/>
    </row>
    <row r="395" spans="2:3" ht="12.75" customHeight="1">
      <c r="B395" s="27"/>
      <c r="C395" s="27"/>
    </row>
    <row r="396" spans="2:3" ht="12.75" customHeight="1">
      <c r="B396" s="27"/>
      <c r="C396" s="27"/>
    </row>
    <row r="397" spans="2:3" ht="12.75" customHeight="1">
      <c r="B397" s="27"/>
      <c r="C397" s="27"/>
    </row>
    <row r="398" spans="2:3" ht="12.75" customHeight="1">
      <c r="B398" s="27"/>
      <c r="C398" s="27"/>
    </row>
    <row r="399" spans="2:3" ht="12.75" customHeight="1">
      <c r="B399" s="27"/>
      <c r="C399" s="27"/>
    </row>
    <row r="400" spans="2:3" ht="12.75" customHeight="1">
      <c r="B400" s="27"/>
      <c r="C400" s="27"/>
    </row>
    <row r="401" spans="2:3" ht="12.75" customHeight="1">
      <c r="B401" s="27"/>
      <c r="C401" s="27"/>
    </row>
    <row r="402" spans="2:3" ht="12.75" customHeight="1">
      <c r="B402" s="27"/>
      <c r="C402" s="27"/>
    </row>
    <row r="403" spans="2:3" ht="12.75" customHeight="1">
      <c r="B403" s="27"/>
      <c r="C403" s="27"/>
    </row>
    <row r="404" spans="2:3" ht="12.75" customHeight="1">
      <c r="B404" s="27"/>
      <c r="C404" s="27"/>
    </row>
    <row r="405" spans="2:3" ht="12.75" customHeight="1">
      <c r="B405" s="27"/>
      <c r="C405" s="27"/>
    </row>
    <row r="406" spans="2:3" ht="12.75" customHeight="1">
      <c r="B406" s="27"/>
      <c r="C406" s="27"/>
    </row>
    <row r="407" spans="2:3" ht="12.75" customHeight="1">
      <c r="B407" s="27"/>
      <c r="C407" s="27"/>
    </row>
    <row r="408" spans="2:3" ht="12.75" customHeight="1">
      <c r="B408" s="27"/>
      <c r="C408" s="27"/>
    </row>
    <row r="409" spans="2:3" ht="12.75" customHeight="1">
      <c r="B409" s="27"/>
      <c r="C409" s="27"/>
    </row>
    <row r="410" spans="2:3" ht="12.75" customHeight="1">
      <c r="B410" s="27"/>
      <c r="C410" s="27"/>
    </row>
    <row r="411" spans="2:3" ht="12.75" customHeight="1">
      <c r="B411" s="27"/>
      <c r="C411" s="27"/>
    </row>
    <row r="412" spans="2:3" ht="12.75" customHeight="1">
      <c r="B412" s="27"/>
      <c r="C412" s="27"/>
    </row>
    <row r="413" spans="2:3" ht="12.75" customHeight="1">
      <c r="B413" s="27"/>
      <c r="C413" s="27"/>
    </row>
    <row r="414" spans="2:3" ht="12.75" customHeight="1">
      <c r="B414" s="27"/>
      <c r="C414" s="27"/>
    </row>
    <row r="415" spans="2:3" ht="12.75" customHeight="1">
      <c r="B415" s="27"/>
      <c r="C415" s="27"/>
    </row>
    <row r="416" spans="2:3" ht="12.75" customHeight="1">
      <c r="B416" s="27"/>
      <c r="C416" s="27"/>
    </row>
    <row r="417" spans="2:3" ht="12.75" customHeight="1">
      <c r="B417" s="27"/>
      <c r="C417" s="27"/>
    </row>
    <row r="418" spans="2:3" ht="12.75" customHeight="1">
      <c r="B418" s="27"/>
      <c r="C418" s="27"/>
    </row>
    <row r="419" spans="2:3" ht="12.75" customHeight="1">
      <c r="B419" s="27"/>
      <c r="C419" s="27"/>
    </row>
    <row r="420" spans="2:3" ht="12.75" customHeight="1">
      <c r="B420" s="27"/>
      <c r="C420" s="27"/>
    </row>
    <row r="421" spans="2:3" ht="12.75" customHeight="1">
      <c r="B421" s="27"/>
      <c r="C421" s="27"/>
    </row>
    <row r="422" spans="2:3" ht="12.75" customHeight="1">
      <c r="B422" s="27"/>
      <c r="C422" s="27"/>
    </row>
    <row r="423" spans="2:3" ht="12.75" customHeight="1">
      <c r="B423" s="27"/>
      <c r="C423" s="27"/>
    </row>
    <row r="424" spans="2:3" ht="12.75" customHeight="1">
      <c r="B424" s="27"/>
      <c r="C424" s="27"/>
    </row>
    <row r="425" spans="2:3" ht="12.75" customHeight="1">
      <c r="B425" s="27"/>
      <c r="C425" s="27"/>
    </row>
    <row r="426" spans="2:3" ht="12.75" customHeight="1">
      <c r="B426" s="27"/>
      <c r="C426" s="27"/>
    </row>
    <row r="427" spans="2:3" ht="12.75" customHeight="1">
      <c r="B427" s="27"/>
      <c r="C427" s="27"/>
    </row>
    <row r="428" spans="2:3" ht="12.75" customHeight="1">
      <c r="B428" s="27"/>
      <c r="C428" s="27"/>
    </row>
    <row r="429" spans="2:3" ht="12.75" customHeight="1">
      <c r="B429" s="27"/>
      <c r="C429" s="27"/>
    </row>
    <row r="430" spans="2:3" ht="12.75" customHeight="1">
      <c r="B430" s="27"/>
      <c r="C430" s="27"/>
    </row>
    <row r="431" spans="2:3" ht="12.75" customHeight="1">
      <c r="B431" s="27"/>
      <c r="C431" s="27"/>
    </row>
    <row r="432" spans="2:3" ht="12.75" customHeight="1">
      <c r="B432" s="27"/>
      <c r="C432" s="27"/>
    </row>
    <row r="433" spans="2:3" ht="12.75" customHeight="1">
      <c r="B433" s="27"/>
      <c r="C433" s="27"/>
    </row>
    <row r="434" spans="2:3" ht="12.75" customHeight="1">
      <c r="B434" s="27"/>
      <c r="C434" s="27"/>
    </row>
    <row r="435" spans="2:3" ht="12.75" customHeight="1">
      <c r="B435" s="27"/>
      <c r="C435" s="27"/>
    </row>
    <row r="436" spans="2:3" ht="12.75" customHeight="1">
      <c r="B436" s="27"/>
      <c r="C436" s="27"/>
    </row>
    <row r="437" spans="2:3" ht="12.75" customHeight="1">
      <c r="B437" s="27"/>
      <c r="C437" s="27"/>
    </row>
    <row r="438" spans="2:3" ht="12.75" customHeight="1">
      <c r="B438" s="27"/>
      <c r="C438" s="27"/>
    </row>
    <row r="439" spans="2:3" ht="12.75" customHeight="1">
      <c r="B439" s="27"/>
      <c r="C439" s="27"/>
    </row>
    <row r="440" spans="2:3" ht="12.75" customHeight="1">
      <c r="B440" s="27"/>
      <c r="C440" s="27"/>
    </row>
    <row r="441" spans="2:3" ht="12.75" customHeight="1">
      <c r="B441" s="27"/>
      <c r="C441" s="27"/>
    </row>
    <row r="442" spans="2:3" ht="12.75" customHeight="1">
      <c r="B442" s="27"/>
      <c r="C442" s="27"/>
    </row>
    <row r="443" spans="2:3" ht="12.75" customHeight="1">
      <c r="B443" s="27"/>
      <c r="C443" s="27"/>
    </row>
    <row r="444" spans="2:3" ht="12.75" customHeight="1">
      <c r="B444" s="27"/>
      <c r="C444" s="27"/>
    </row>
    <row r="445" spans="2:3" ht="12.75" customHeight="1">
      <c r="B445" s="27"/>
      <c r="C445" s="27"/>
    </row>
    <row r="446" spans="2:3" ht="12.75" customHeight="1">
      <c r="B446" s="27"/>
      <c r="C446" s="27"/>
    </row>
    <row r="447" spans="2:3" ht="12.75" customHeight="1">
      <c r="B447" s="27"/>
      <c r="C447" s="27"/>
    </row>
    <row r="448" spans="2:3" ht="12.75" customHeight="1">
      <c r="B448" s="27"/>
      <c r="C448" s="27"/>
    </row>
    <row r="449" spans="2:3" ht="12.75" customHeight="1">
      <c r="B449" s="27"/>
      <c r="C449" s="27"/>
    </row>
    <row r="450" spans="2:3" ht="12.75" customHeight="1">
      <c r="B450" s="27"/>
      <c r="C450" s="27"/>
    </row>
    <row r="451" spans="2:3" ht="12.75" customHeight="1">
      <c r="B451" s="27"/>
      <c r="C451" s="27"/>
    </row>
    <row r="452" spans="2:3" ht="12.75" customHeight="1">
      <c r="B452" s="27"/>
      <c r="C452" s="27"/>
    </row>
    <row r="453" spans="2:3" ht="12.75" customHeight="1">
      <c r="B453" s="27"/>
      <c r="C453" s="27"/>
    </row>
    <row r="454" spans="2:3" ht="12.75" customHeight="1">
      <c r="B454" s="27"/>
      <c r="C454" s="27"/>
    </row>
    <row r="455" spans="2:3" ht="12.75" customHeight="1">
      <c r="B455" s="27"/>
      <c r="C455" s="27"/>
    </row>
    <row r="456" spans="2:3" ht="12.75" customHeight="1">
      <c r="B456" s="27"/>
      <c r="C456" s="27"/>
    </row>
    <row r="457" spans="2:3" ht="12.75" customHeight="1">
      <c r="B457" s="27"/>
      <c r="C457" s="27"/>
    </row>
    <row r="458" spans="2:3" ht="12.75" customHeight="1">
      <c r="B458" s="27"/>
      <c r="C458" s="27"/>
    </row>
    <row r="459" spans="2:3" ht="12.75" customHeight="1">
      <c r="B459" s="27"/>
      <c r="C459" s="27"/>
    </row>
    <row r="460" spans="2:3" ht="12.75" customHeight="1">
      <c r="B460" s="27"/>
      <c r="C460" s="27"/>
    </row>
    <row r="461" spans="2:3" ht="12.75" customHeight="1">
      <c r="B461" s="27"/>
      <c r="C461" s="27"/>
    </row>
    <row r="462" spans="2:3" ht="12.75" customHeight="1">
      <c r="B462" s="27"/>
      <c r="C462" s="27"/>
    </row>
    <row r="463" spans="2:3" ht="12.75" customHeight="1">
      <c r="B463" s="27"/>
      <c r="C463" s="27"/>
    </row>
    <row r="464" spans="2:3" ht="12.75" customHeight="1">
      <c r="B464" s="27"/>
      <c r="C464" s="27"/>
    </row>
    <row r="465" spans="2:3" ht="12.75" customHeight="1">
      <c r="B465" s="27"/>
      <c r="C465" s="27"/>
    </row>
    <row r="466" spans="2:3" ht="12.75" customHeight="1">
      <c r="B466" s="27"/>
      <c r="C466" s="27"/>
    </row>
    <row r="467" spans="2:3" ht="12.75" customHeight="1">
      <c r="B467" s="27"/>
      <c r="C467" s="27"/>
    </row>
    <row r="468" spans="2:3" ht="12.75" customHeight="1">
      <c r="B468" s="27"/>
      <c r="C468" s="27"/>
    </row>
    <row r="469" spans="2:3" ht="12.75" customHeight="1">
      <c r="B469" s="27"/>
      <c r="C469" s="27"/>
    </row>
    <row r="470" spans="2:3" ht="12.75" customHeight="1">
      <c r="B470" s="27"/>
      <c r="C470" s="27"/>
    </row>
    <row r="471" spans="2:3" ht="12.75" customHeight="1">
      <c r="B471" s="27"/>
      <c r="C471" s="27"/>
    </row>
    <row r="472" spans="2:3" ht="12.75" customHeight="1">
      <c r="B472" s="27"/>
      <c r="C472" s="27"/>
    </row>
    <row r="473" spans="2:3" ht="12.75" customHeight="1">
      <c r="B473" s="27"/>
      <c r="C473" s="27"/>
    </row>
    <row r="474" spans="2:3" ht="12.75" customHeight="1">
      <c r="B474" s="27"/>
      <c r="C474" s="27"/>
    </row>
    <row r="475" spans="2:3" ht="12.75" customHeight="1">
      <c r="B475" s="27"/>
      <c r="C475" s="27"/>
    </row>
    <row r="476" spans="2:3" ht="12.75" customHeight="1">
      <c r="B476" s="27"/>
      <c r="C476" s="27"/>
    </row>
    <row r="477" spans="2:3" ht="12.75" customHeight="1">
      <c r="B477" s="27"/>
      <c r="C477" s="27"/>
    </row>
    <row r="478" spans="2:3" ht="12.75" customHeight="1">
      <c r="B478" s="27"/>
      <c r="C478" s="27"/>
    </row>
    <row r="479" spans="2:3" ht="12.75" customHeight="1">
      <c r="B479" s="27"/>
      <c r="C479" s="27"/>
    </row>
    <row r="480" spans="2:3" ht="12.75" customHeight="1">
      <c r="B480" s="27"/>
      <c r="C480" s="27"/>
    </row>
    <row r="481" spans="2:3" ht="12.75" customHeight="1">
      <c r="B481" s="27"/>
      <c r="C481" s="27"/>
    </row>
    <row r="482" spans="2:3" ht="12.75" customHeight="1">
      <c r="B482" s="27"/>
      <c r="C482" s="27"/>
    </row>
    <row r="483" spans="2:3" ht="12.75" customHeight="1">
      <c r="B483" s="27"/>
      <c r="C483" s="27"/>
    </row>
    <row r="484" spans="2:3" ht="12.75" customHeight="1">
      <c r="B484" s="27"/>
      <c r="C484" s="27"/>
    </row>
    <row r="485" spans="2:3" ht="12.75" customHeight="1">
      <c r="B485" s="27"/>
      <c r="C485" s="27"/>
    </row>
    <row r="486" spans="2:3" ht="12.75" customHeight="1">
      <c r="B486" s="27"/>
      <c r="C486" s="27"/>
    </row>
    <row r="487" spans="2:3" ht="12.75" customHeight="1">
      <c r="B487" s="27"/>
      <c r="C487" s="27"/>
    </row>
    <row r="488" spans="2:3" ht="12.75" customHeight="1">
      <c r="B488" s="27"/>
      <c r="C488" s="27"/>
    </row>
    <row r="489" spans="2:3" ht="12.75" customHeight="1">
      <c r="B489" s="27"/>
      <c r="C489" s="27"/>
    </row>
    <row r="490" spans="2:3" ht="12.75" customHeight="1">
      <c r="B490" s="27"/>
      <c r="C490" s="27"/>
    </row>
    <row r="491" spans="2:3" ht="12.75" customHeight="1">
      <c r="B491" s="27"/>
      <c r="C491" s="27"/>
    </row>
    <row r="492" spans="2:3" ht="12.75" customHeight="1">
      <c r="B492" s="27"/>
      <c r="C492" s="27"/>
    </row>
    <row r="493" spans="2:3" ht="12.75" customHeight="1">
      <c r="B493" s="27"/>
      <c r="C493" s="27"/>
    </row>
    <row r="494" spans="2:3" ht="12.75" customHeight="1">
      <c r="B494" s="27"/>
      <c r="C494" s="27"/>
    </row>
    <row r="495" spans="2:3" ht="12.75" customHeight="1">
      <c r="B495" s="27"/>
      <c r="C495" s="27"/>
    </row>
    <row r="496" spans="2:3" ht="12.75" customHeight="1">
      <c r="B496" s="27"/>
      <c r="C496" s="27"/>
    </row>
    <row r="497" spans="2:3" ht="12.75" customHeight="1">
      <c r="B497" s="27"/>
      <c r="C497" s="27"/>
    </row>
    <row r="498" spans="2:3" ht="12.75" customHeight="1">
      <c r="B498" s="27"/>
      <c r="C498" s="27"/>
    </row>
    <row r="499" spans="2:3" ht="12.75" customHeight="1">
      <c r="B499" s="27"/>
      <c r="C499" s="27"/>
    </row>
    <row r="500" spans="2:3" ht="12.75" customHeight="1">
      <c r="B500" s="27"/>
      <c r="C500" s="27"/>
    </row>
    <row r="501" spans="2:3" ht="12.75" customHeight="1">
      <c r="B501" s="27"/>
      <c r="C501" s="27"/>
    </row>
    <row r="502" spans="2:3" ht="12.75" customHeight="1">
      <c r="B502" s="27"/>
      <c r="C502" s="27"/>
    </row>
    <row r="503" spans="2:3" ht="12.75" customHeight="1">
      <c r="B503" s="27"/>
      <c r="C503" s="27"/>
    </row>
    <row r="504" spans="2:3" ht="12.75" customHeight="1">
      <c r="B504" s="27"/>
      <c r="C504" s="27"/>
    </row>
    <row r="505" spans="2:3" ht="12.75" customHeight="1">
      <c r="B505" s="27"/>
      <c r="C505" s="27"/>
    </row>
    <row r="506" spans="2:3" ht="12.75" customHeight="1">
      <c r="B506" s="27"/>
      <c r="C506" s="27"/>
    </row>
    <row r="507" spans="2:3" ht="12.75" customHeight="1">
      <c r="B507" s="27"/>
      <c r="C507" s="27"/>
    </row>
    <row r="508" spans="2:3" ht="12.75" customHeight="1">
      <c r="B508" s="27"/>
      <c r="C508" s="27"/>
    </row>
    <row r="509" spans="2:3" ht="12.75" customHeight="1">
      <c r="B509" s="27"/>
      <c r="C509" s="27"/>
    </row>
    <row r="510" spans="2:3" ht="12.75" customHeight="1">
      <c r="B510" s="27"/>
      <c r="C510" s="27"/>
    </row>
    <row r="511" spans="2:3" ht="12.75" customHeight="1">
      <c r="B511" s="27"/>
      <c r="C511" s="27"/>
    </row>
    <row r="512" spans="2:3" ht="12.75" customHeight="1">
      <c r="B512" s="27"/>
      <c r="C512" s="27"/>
    </row>
    <row r="513" spans="2:3" ht="12.75" customHeight="1">
      <c r="B513" s="27"/>
      <c r="C513" s="27"/>
    </row>
    <row r="514" spans="2:3" ht="12.75" customHeight="1">
      <c r="B514" s="27"/>
      <c r="C514" s="27"/>
    </row>
    <row r="515" spans="2:3" ht="12.75" customHeight="1">
      <c r="B515" s="27"/>
      <c r="C515" s="27"/>
    </row>
    <row r="516" spans="2:3" ht="12.75" customHeight="1">
      <c r="B516" s="27"/>
      <c r="C516" s="27"/>
    </row>
    <row r="517" spans="2:3" ht="12.75" customHeight="1">
      <c r="B517" s="27"/>
      <c r="C517" s="27"/>
    </row>
    <row r="518" spans="2:3" ht="12.75" customHeight="1">
      <c r="B518" s="27"/>
      <c r="C518" s="27"/>
    </row>
    <row r="519" spans="2:3" ht="12.75" customHeight="1">
      <c r="B519" s="27"/>
      <c r="C519" s="27"/>
    </row>
    <row r="520" spans="2:3" ht="12.75" customHeight="1">
      <c r="B520" s="27"/>
      <c r="C520" s="27"/>
    </row>
    <row r="521" spans="2:3" ht="12.75" customHeight="1">
      <c r="B521" s="27"/>
      <c r="C521" s="27"/>
    </row>
    <row r="522" spans="2:3" ht="12.75" customHeight="1">
      <c r="B522" s="27"/>
      <c r="C522" s="27"/>
    </row>
    <row r="523" spans="2:3" ht="12.75" customHeight="1">
      <c r="B523" s="27"/>
      <c r="C523" s="27"/>
    </row>
    <row r="524" spans="2:3" ht="12.75" customHeight="1">
      <c r="B524" s="27"/>
      <c r="C524" s="27"/>
    </row>
    <row r="525" spans="2:3" ht="12.75" customHeight="1">
      <c r="B525" s="27"/>
      <c r="C525" s="27"/>
    </row>
    <row r="526" spans="2:3" ht="12.75" customHeight="1">
      <c r="B526" s="27"/>
      <c r="C526" s="27"/>
    </row>
    <row r="527" spans="2:3" ht="12.75" customHeight="1">
      <c r="B527" s="27"/>
      <c r="C527" s="27"/>
    </row>
    <row r="528" spans="2:3" ht="12.75" customHeight="1">
      <c r="B528" s="27"/>
      <c r="C528" s="27"/>
    </row>
    <row r="529" spans="2:3" ht="12.75" customHeight="1">
      <c r="B529" s="27"/>
      <c r="C529" s="27"/>
    </row>
    <row r="530" spans="2:3" ht="12.75" customHeight="1">
      <c r="B530" s="27"/>
      <c r="C530" s="27"/>
    </row>
    <row r="531" spans="2:3" ht="12.75" customHeight="1">
      <c r="B531" s="27"/>
      <c r="C531" s="27"/>
    </row>
    <row r="532" spans="2:3" ht="12.75" customHeight="1">
      <c r="B532" s="27"/>
      <c r="C532" s="27"/>
    </row>
    <row r="533" spans="2:3" ht="12.75" customHeight="1">
      <c r="B533" s="27"/>
      <c r="C533" s="27"/>
    </row>
    <row r="534" spans="2:3" ht="12.75" customHeight="1">
      <c r="B534" s="27"/>
      <c r="C534" s="27"/>
    </row>
    <row r="535" spans="2:3" ht="12.75" customHeight="1">
      <c r="B535" s="27"/>
      <c r="C535" s="27"/>
    </row>
    <row r="536" spans="2:3" ht="12.75" customHeight="1">
      <c r="B536" s="27"/>
      <c r="C536" s="27"/>
    </row>
    <row r="537" spans="2:3" ht="12.75" customHeight="1">
      <c r="B537" s="27"/>
      <c r="C537" s="27"/>
    </row>
    <row r="538" spans="2:3" ht="12.75" customHeight="1">
      <c r="B538" s="27"/>
      <c r="C538" s="27"/>
    </row>
    <row r="539" spans="2:3" ht="12.75" customHeight="1">
      <c r="B539" s="27"/>
      <c r="C539" s="27"/>
    </row>
    <row r="540" spans="2:3" ht="12.75" customHeight="1">
      <c r="B540" s="27"/>
      <c r="C540" s="27"/>
    </row>
    <row r="541" spans="2:3" ht="12.75" customHeight="1">
      <c r="B541" s="27"/>
      <c r="C541" s="27"/>
    </row>
    <row r="542" spans="2:3" ht="12.75" customHeight="1">
      <c r="B542" s="27"/>
      <c r="C542" s="27"/>
    </row>
    <row r="543" spans="2:3" ht="12.75" customHeight="1">
      <c r="B543" s="27"/>
      <c r="C543" s="27"/>
    </row>
    <row r="544" spans="2:3" ht="12.75" customHeight="1">
      <c r="B544" s="27"/>
      <c r="C544" s="27"/>
    </row>
    <row r="545" spans="2:3" ht="12.75" customHeight="1">
      <c r="B545" s="27"/>
      <c r="C545" s="27"/>
    </row>
    <row r="546" spans="2:3" ht="12.75" customHeight="1">
      <c r="B546" s="27"/>
      <c r="C546" s="27"/>
    </row>
    <row r="547" spans="2:3" ht="12.75" customHeight="1">
      <c r="B547" s="27"/>
      <c r="C547" s="27"/>
    </row>
    <row r="548" spans="2:3" ht="12.75" customHeight="1">
      <c r="B548" s="27"/>
      <c r="C548" s="27"/>
    </row>
    <row r="549" spans="2:3" ht="12.75" customHeight="1">
      <c r="B549" s="27"/>
      <c r="C549" s="27"/>
    </row>
    <row r="550" spans="2:3" ht="12.75" customHeight="1">
      <c r="B550" s="27"/>
      <c r="C550" s="27"/>
    </row>
    <row r="551" spans="2:3" ht="12.75" customHeight="1">
      <c r="B551" s="27"/>
      <c r="C551" s="27"/>
    </row>
    <row r="552" spans="2:3" ht="12.75" customHeight="1">
      <c r="B552" s="27"/>
      <c r="C552" s="27"/>
    </row>
    <row r="553" spans="2:3" ht="12.75" customHeight="1">
      <c r="B553" s="27"/>
      <c r="C553" s="27"/>
    </row>
    <row r="554" spans="2:3" ht="12.75" customHeight="1">
      <c r="B554" s="27"/>
      <c r="C554" s="27"/>
    </row>
    <row r="555" spans="2:3" ht="12.75" customHeight="1">
      <c r="B555" s="27"/>
      <c r="C555" s="27"/>
    </row>
    <row r="556" spans="2:3" ht="12.75" customHeight="1">
      <c r="B556" s="27"/>
      <c r="C556" s="27"/>
    </row>
    <row r="557" spans="2:3" ht="12.75" customHeight="1">
      <c r="B557" s="27"/>
      <c r="C557" s="27"/>
    </row>
    <row r="558" spans="2:3" ht="12.75" customHeight="1">
      <c r="B558" s="27"/>
      <c r="C558" s="27"/>
    </row>
    <row r="559" spans="2:3" ht="12.75" customHeight="1">
      <c r="B559" s="27"/>
      <c r="C559" s="27"/>
    </row>
    <row r="560" spans="2:3" ht="12.75" customHeight="1">
      <c r="B560" s="27"/>
      <c r="C560" s="27"/>
    </row>
    <row r="561" spans="2:3" ht="12.75" customHeight="1">
      <c r="B561" s="27"/>
      <c r="C561" s="27"/>
    </row>
    <row r="562" spans="2:3" ht="12.75" customHeight="1">
      <c r="B562" s="27"/>
      <c r="C562" s="27"/>
    </row>
    <row r="563" spans="2:3" ht="12.75" customHeight="1">
      <c r="B563" s="27"/>
      <c r="C563" s="27"/>
    </row>
    <row r="564" spans="2:3" ht="12.75" customHeight="1">
      <c r="B564" s="27"/>
      <c r="C564" s="27"/>
    </row>
    <row r="565" spans="2:3" ht="12.75" customHeight="1">
      <c r="B565" s="27"/>
      <c r="C565" s="27"/>
    </row>
    <row r="566" spans="2:3" ht="12.75" customHeight="1">
      <c r="B566" s="27"/>
      <c r="C566" s="27"/>
    </row>
    <row r="567" spans="2:3" ht="12.75" customHeight="1">
      <c r="B567" s="27"/>
      <c r="C567" s="27"/>
    </row>
    <row r="568" spans="2:3" ht="12.75" customHeight="1">
      <c r="B568" s="27"/>
      <c r="C568" s="27"/>
    </row>
    <row r="569" spans="2:3" ht="12.75" customHeight="1">
      <c r="B569" s="27"/>
      <c r="C569" s="27"/>
    </row>
    <row r="570" spans="2:3" ht="12.75" customHeight="1">
      <c r="B570" s="27"/>
      <c r="C570" s="27"/>
    </row>
    <row r="571" spans="2:3" ht="12.75" customHeight="1">
      <c r="B571" s="27"/>
      <c r="C571" s="27"/>
    </row>
    <row r="572" spans="2:3" ht="12.75" customHeight="1">
      <c r="B572" s="27"/>
      <c r="C572" s="27"/>
    </row>
    <row r="573" spans="2:3" ht="12.75" customHeight="1">
      <c r="B573" s="27"/>
      <c r="C573" s="27"/>
    </row>
    <row r="574" spans="2:3" ht="12.75" customHeight="1">
      <c r="B574" s="27"/>
      <c r="C574" s="27"/>
    </row>
    <row r="575" spans="2:3" ht="12.75" customHeight="1">
      <c r="B575" s="27"/>
      <c r="C575" s="27"/>
    </row>
    <row r="576" spans="2:3" ht="12.75" customHeight="1">
      <c r="B576" s="27"/>
      <c r="C576" s="27"/>
    </row>
    <row r="577" spans="2:3" ht="12.75" customHeight="1">
      <c r="B577" s="27"/>
      <c r="C577" s="27"/>
    </row>
    <row r="578" spans="2:3" ht="12.75" customHeight="1">
      <c r="B578" s="27"/>
      <c r="C578" s="27"/>
    </row>
    <row r="579" spans="2:3" ht="12.75" customHeight="1">
      <c r="B579" s="27"/>
      <c r="C579" s="27"/>
    </row>
    <row r="580" spans="2:3" ht="12.75" customHeight="1">
      <c r="B580" s="27"/>
      <c r="C580" s="27"/>
    </row>
    <row r="581" spans="2:3" ht="12.75" customHeight="1">
      <c r="B581" s="27"/>
      <c r="C581" s="27"/>
    </row>
    <row r="582" spans="2:3" ht="12.75" customHeight="1">
      <c r="B582" s="27"/>
      <c r="C582" s="27"/>
    </row>
    <row r="583" spans="2:3" ht="12.75" customHeight="1">
      <c r="B583" s="27"/>
      <c r="C583" s="27"/>
    </row>
    <row r="584" spans="2:3" ht="12.75" customHeight="1">
      <c r="B584" s="27"/>
      <c r="C584" s="27"/>
    </row>
    <row r="585" spans="2:3" ht="12.75" customHeight="1">
      <c r="B585" s="27"/>
      <c r="C585" s="27"/>
    </row>
    <row r="586" spans="2:3" ht="12.75" customHeight="1">
      <c r="B586" s="27"/>
      <c r="C586" s="27"/>
    </row>
    <row r="587" spans="2:3" ht="12.75" customHeight="1">
      <c r="B587" s="27"/>
      <c r="C587" s="27"/>
    </row>
    <row r="588" spans="2:3" ht="12.75" customHeight="1">
      <c r="B588" s="27"/>
      <c r="C588" s="27"/>
    </row>
    <row r="589" spans="2:3" ht="12.75" customHeight="1">
      <c r="B589" s="27"/>
      <c r="C589" s="27"/>
    </row>
    <row r="590" spans="2:3" ht="12.75" customHeight="1">
      <c r="B590" s="27"/>
      <c r="C590" s="27"/>
    </row>
    <row r="591" spans="2:3" ht="12.75" customHeight="1">
      <c r="B591" s="27"/>
      <c r="C591" s="27"/>
    </row>
    <row r="592" spans="2:3" ht="12.75" customHeight="1">
      <c r="B592" s="27"/>
      <c r="C592" s="27"/>
    </row>
    <row r="593" spans="2:3" ht="12.75" customHeight="1">
      <c r="B593" s="27"/>
      <c r="C593" s="27"/>
    </row>
    <row r="594" spans="2:3" ht="12.75" customHeight="1">
      <c r="B594" s="27"/>
      <c r="C594" s="27"/>
    </row>
    <row r="595" spans="2:3" ht="12.75" customHeight="1">
      <c r="B595" s="27"/>
      <c r="C595" s="27"/>
    </row>
    <row r="596" spans="2:3" ht="12.75" customHeight="1">
      <c r="B596" s="27"/>
      <c r="C596" s="27"/>
    </row>
    <row r="597" spans="2:3" ht="12.75" customHeight="1">
      <c r="B597" s="27"/>
      <c r="C597" s="27"/>
    </row>
    <row r="598" spans="2:3" ht="12.75" customHeight="1">
      <c r="B598" s="27"/>
      <c r="C598" s="27"/>
    </row>
    <row r="599" spans="2:3" ht="12.75" customHeight="1">
      <c r="B599" s="27"/>
      <c r="C599" s="27"/>
    </row>
    <row r="600" spans="2:3" ht="12.75" customHeight="1">
      <c r="B600" s="27"/>
      <c r="C600" s="27"/>
    </row>
    <row r="601" spans="2:3" ht="12.75" customHeight="1">
      <c r="B601" s="27"/>
      <c r="C601" s="27"/>
    </row>
    <row r="602" spans="2:3" ht="12.75" customHeight="1">
      <c r="B602" s="27"/>
      <c r="C602" s="27"/>
    </row>
    <row r="603" spans="2:3" ht="12.75" customHeight="1">
      <c r="B603" s="27"/>
      <c r="C603" s="27"/>
    </row>
    <row r="604" spans="2:3" ht="12.75" customHeight="1">
      <c r="B604" s="27"/>
      <c r="C604" s="27"/>
    </row>
    <row r="605" spans="2:3" ht="12.75" customHeight="1">
      <c r="B605" s="27"/>
      <c r="C605" s="27"/>
    </row>
    <row r="606" spans="2:3" ht="12.75" customHeight="1">
      <c r="B606" s="27"/>
      <c r="C606" s="27"/>
    </row>
    <row r="607" spans="2:3" ht="12.75" customHeight="1">
      <c r="B607" s="27"/>
      <c r="C607" s="27"/>
    </row>
    <row r="608" spans="2:3" ht="12.75" customHeight="1">
      <c r="B608" s="27"/>
      <c r="C608" s="27"/>
    </row>
    <row r="609" spans="2:3" ht="12.75" customHeight="1">
      <c r="B609" s="27"/>
      <c r="C609" s="27"/>
    </row>
    <row r="610" spans="2:3" ht="12.75" customHeight="1">
      <c r="B610" s="27"/>
      <c r="C610" s="27"/>
    </row>
    <row r="611" spans="2:3" ht="12.75" customHeight="1">
      <c r="B611" s="27"/>
      <c r="C611" s="27"/>
    </row>
    <row r="612" spans="2:3" ht="12.75" customHeight="1">
      <c r="B612" s="27"/>
      <c r="C612" s="27"/>
    </row>
    <row r="613" spans="2:3" ht="12.75" customHeight="1">
      <c r="B613" s="27"/>
      <c r="C613" s="27"/>
    </row>
    <row r="614" spans="2:3" ht="12.75" customHeight="1">
      <c r="B614" s="27"/>
      <c r="C614" s="27"/>
    </row>
    <row r="615" spans="2:3" ht="12.75" customHeight="1">
      <c r="B615" s="27"/>
      <c r="C615" s="27"/>
    </row>
    <row r="616" spans="2:3" ht="12.75" customHeight="1">
      <c r="B616" s="27"/>
      <c r="C616" s="27"/>
    </row>
    <row r="617" spans="2:3" ht="12.75" customHeight="1">
      <c r="B617" s="27"/>
      <c r="C617" s="27"/>
    </row>
    <row r="618" spans="2:3" ht="12.75" customHeight="1">
      <c r="B618" s="27"/>
      <c r="C618" s="27"/>
    </row>
    <row r="619" spans="2:3" ht="12.75" customHeight="1">
      <c r="B619" s="27"/>
      <c r="C619" s="27"/>
    </row>
    <row r="620" spans="2:3" ht="12.75" customHeight="1">
      <c r="B620" s="27"/>
      <c r="C620" s="27"/>
    </row>
    <row r="621" spans="2:3" ht="12.75" customHeight="1">
      <c r="B621" s="27"/>
      <c r="C621" s="27"/>
    </row>
    <row r="622" spans="2:3" ht="12.75" customHeight="1">
      <c r="B622" s="27"/>
      <c r="C622" s="27"/>
    </row>
    <row r="623" spans="2:3" ht="12.75" customHeight="1">
      <c r="B623" s="27"/>
      <c r="C623" s="27"/>
    </row>
    <row r="624" spans="2:3" ht="12.75" customHeight="1">
      <c r="B624" s="27"/>
      <c r="C624" s="27"/>
    </row>
    <row r="625" spans="2:3" ht="12.75" customHeight="1">
      <c r="B625" s="27"/>
      <c r="C625" s="27"/>
    </row>
    <row r="626" spans="2:3" ht="12.75" customHeight="1">
      <c r="B626" s="27"/>
      <c r="C626" s="27"/>
    </row>
    <row r="627" spans="2:3" ht="12.75" customHeight="1">
      <c r="B627" s="27"/>
      <c r="C627" s="27"/>
    </row>
    <row r="628" spans="2:3" ht="12.75" customHeight="1">
      <c r="B628" s="27"/>
      <c r="C628" s="27"/>
    </row>
    <row r="629" spans="2:3" ht="12.75" customHeight="1">
      <c r="B629" s="27"/>
      <c r="C629" s="27"/>
    </row>
    <row r="630" spans="2:3" ht="12.75" customHeight="1">
      <c r="B630" s="27"/>
      <c r="C630" s="27"/>
    </row>
    <row r="631" spans="2:3" ht="12.75" customHeight="1">
      <c r="B631" s="27"/>
      <c r="C631" s="27"/>
    </row>
    <row r="632" spans="2:3" ht="12.75" customHeight="1">
      <c r="B632" s="27"/>
      <c r="C632" s="27"/>
    </row>
    <row r="633" spans="2:3" ht="12.75" customHeight="1">
      <c r="B633" s="27"/>
      <c r="C633" s="27"/>
    </row>
    <row r="634" spans="2:3" ht="12.75" customHeight="1">
      <c r="B634" s="27"/>
      <c r="C634" s="27"/>
    </row>
    <row r="635" spans="2:3" ht="12.75" customHeight="1">
      <c r="B635" s="27"/>
      <c r="C635" s="27"/>
    </row>
    <row r="636" spans="2:3" ht="12.75" customHeight="1">
      <c r="B636" s="27"/>
      <c r="C636" s="27"/>
    </row>
    <row r="637" spans="2:3" ht="12.75" customHeight="1">
      <c r="B637" s="27"/>
      <c r="C637" s="27"/>
    </row>
    <row r="638" spans="2:3" ht="12.75" customHeight="1">
      <c r="B638" s="27"/>
      <c r="C638" s="27"/>
    </row>
    <row r="639" spans="2:3" ht="12.75" customHeight="1">
      <c r="B639" s="27"/>
      <c r="C639" s="27"/>
    </row>
    <row r="640" spans="2:3" ht="12.75" customHeight="1">
      <c r="B640" s="27"/>
      <c r="C640" s="27"/>
    </row>
    <row r="641" spans="2:3" ht="12.75" customHeight="1">
      <c r="B641" s="27"/>
      <c r="C641" s="27"/>
    </row>
    <row r="642" spans="2:3" ht="12.75" customHeight="1">
      <c r="B642" s="27"/>
      <c r="C642" s="27"/>
    </row>
    <row r="643" spans="2:3" ht="12.75" customHeight="1">
      <c r="B643" s="27"/>
      <c r="C643" s="27"/>
    </row>
    <row r="644" spans="2:3" ht="12.75" customHeight="1">
      <c r="B644" s="27"/>
      <c r="C644" s="27"/>
    </row>
    <row r="645" spans="2:3" ht="12.75" customHeight="1">
      <c r="B645" s="27"/>
      <c r="C645" s="27"/>
    </row>
    <row r="646" spans="2:3" ht="12.75" customHeight="1">
      <c r="B646" s="27"/>
      <c r="C646" s="27"/>
    </row>
    <row r="647" spans="2:3" ht="12.75" customHeight="1">
      <c r="B647" s="27"/>
      <c r="C647" s="27"/>
    </row>
    <row r="648" spans="2:3" ht="12.75" customHeight="1">
      <c r="B648" s="27"/>
      <c r="C648" s="27"/>
    </row>
    <row r="649" spans="2:3" ht="12.75" customHeight="1">
      <c r="B649" s="27"/>
      <c r="C649" s="27"/>
    </row>
    <row r="650" spans="2:3" ht="12.75" customHeight="1">
      <c r="B650" s="27"/>
      <c r="C650" s="27"/>
    </row>
    <row r="651" spans="2:3" ht="12.75" customHeight="1">
      <c r="B651" s="27"/>
      <c r="C651" s="27"/>
    </row>
    <row r="652" spans="2:3" ht="12.75" customHeight="1">
      <c r="B652" s="27"/>
      <c r="C652" s="27"/>
    </row>
    <row r="653" spans="2:3" ht="12.75" customHeight="1">
      <c r="B653" s="27"/>
      <c r="C653" s="27"/>
    </row>
    <row r="654" spans="2:3" ht="12.75" customHeight="1">
      <c r="B654" s="27"/>
      <c r="C654" s="27"/>
    </row>
    <row r="655" spans="2:3" ht="12.75" customHeight="1">
      <c r="B655" s="27"/>
      <c r="C655" s="27"/>
    </row>
    <row r="656" spans="2:3" ht="12.75" customHeight="1">
      <c r="B656" s="27"/>
      <c r="C656" s="27"/>
    </row>
    <row r="657" spans="2:3" ht="12.75" customHeight="1">
      <c r="B657" s="27"/>
      <c r="C657" s="27"/>
    </row>
    <row r="658" spans="2:3" ht="12.75" customHeight="1">
      <c r="B658" s="27"/>
      <c r="C658" s="27"/>
    </row>
    <row r="659" spans="2:3" ht="12.75" customHeight="1">
      <c r="B659" s="27"/>
      <c r="C659" s="27"/>
    </row>
    <row r="660" spans="2:3" ht="12.75" customHeight="1">
      <c r="B660" s="27"/>
      <c r="C660" s="27"/>
    </row>
    <row r="661" spans="2:3" ht="12.75" customHeight="1">
      <c r="B661" s="27"/>
      <c r="C661" s="27"/>
    </row>
    <row r="662" spans="2:3" ht="12.75" customHeight="1">
      <c r="B662" s="27"/>
      <c r="C662" s="27"/>
    </row>
    <row r="663" spans="2:3" ht="12.75" customHeight="1">
      <c r="B663" s="27"/>
      <c r="C663" s="27"/>
    </row>
    <row r="664" spans="2:3" ht="12.75" customHeight="1">
      <c r="B664" s="27"/>
      <c r="C664" s="27"/>
    </row>
    <row r="665" spans="2:3" ht="12.75" customHeight="1">
      <c r="B665" s="27"/>
      <c r="C665" s="27"/>
    </row>
    <row r="666" spans="2:3" ht="12.75" customHeight="1">
      <c r="B666" s="27"/>
      <c r="C666" s="27"/>
    </row>
    <row r="667" spans="2:3" ht="12.75" customHeight="1">
      <c r="B667" s="27"/>
      <c r="C667" s="27"/>
    </row>
    <row r="668" spans="2:3" ht="12.75" customHeight="1">
      <c r="B668" s="27"/>
      <c r="C668" s="27"/>
    </row>
    <row r="669" spans="2:3" ht="12.75" customHeight="1">
      <c r="B669" s="27"/>
      <c r="C669" s="27"/>
    </row>
    <row r="670" spans="2:3" ht="12.75" customHeight="1">
      <c r="B670" s="27"/>
      <c r="C670" s="27"/>
    </row>
    <row r="671" spans="2:3" ht="12.75" customHeight="1">
      <c r="B671" s="27"/>
      <c r="C671" s="27"/>
    </row>
    <row r="672" spans="2:3" ht="12.75" customHeight="1">
      <c r="B672" s="27"/>
      <c r="C672" s="27"/>
    </row>
    <row r="673" spans="2:3" ht="12.75" customHeight="1">
      <c r="B673" s="27"/>
      <c r="C673" s="27"/>
    </row>
    <row r="674" spans="2:3" ht="12.75" customHeight="1">
      <c r="B674" s="27"/>
      <c r="C674" s="27"/>
    </row>
    <row r="675" spans="2:3" ht="12.75" customHeight="1">
      <c r="B675" s="27"/>
      <c r="C675" s="27"/>
    </row>
    <row r="676" spans="2:3" ht="12.75" customHeight="1">
      <c r="B676" s="27"/>
      <c r="C676" s="27"/>
    </row>
    <row r="677" spans="2:3" ht="12.75" customHeight="1">
      <c r="B677" s="27"/>
      <c r="C677" s="27"/>
    </row>
    <row r="678" spans="2:3" ht="12.75" customHeight="1">
      <c r="B678" s="27"/>
      <c r="C678" s="27"/>
    </row>
    <row r="679" spans="2:3" ht="12.75" customHeight="1">
      <c r="B679" s="27"/>
      <c r="C679" s="27"/>
    </row>
    <row r="680" spans="2:3" ht="12.75" customHeight="1">
      <c r="B680" s="27"/>
      <c r="C680" s="27"/>
    </row>
    <row r="681" spans="2:3" ht="12.75" customHeight="1">
      <c r="B681" s="27"/>
      <c r="C681" s="27"/>
    </row>
    <row r="682" spans="2:3" ht="12.75" customHeight="1">
      <c r="B682" s="27"/>
      <c r="C682" s="27"/>
    </row>
    <row r="683" spans="2:3" ht="12.75" customHeight="1">
      <c r="B683" s="27"/>
      <c r="C683" s="27"/>
    </row>
    <row r="684" spans="2:3" ht="12.75" customHeight="1">
      <c r="B684" s="27"/>
      <c r="C684" s="27"/>
    </row>
    <row r="685" spans="2:3" ht="12.75" customHeight="1">
      <c r="B685" s="27"/>
      <c r="C685" s="27"/>
    </row>
    <row r="686" spans="2:3" ht="12.75" customHeight="1">
      <c r="B686" s="27"/>
      <c r="C686" s="27"/>
    </row>
    <row r="687" spans="2:3" ht="12.75" customHeight="1">
      <c r="B687" s="27"/>
      <c r="C687" s="27"/>
    </row>
    <row r="688" spans="2:3" ht="12.75" customHeight="1">
      <c r="B688" s="27"/>
      <c r="C688" s="27"/>
    </row>
    <row r="689" spans="2:3" ht="12.75" customHeight="1">
      <c r="B689" s="27"/>
      <c r="C689" s="27"/>
    </row>
    <row r="690" spans="2:3" ht="12.75" customHeight="1">
      <c r="B690" s="27"/>
      <c r="C690" s="27"/>
    </row>
    <row r="691" spans="2:3" ht="12.75" customHeight="1">
      <c r="B691" s="27"/>
      <c r="C691" s="27"/>
    </row>
    <row r="692" spans="2:3" ht="12.75" customHeight="1">
      <c r="B692" s="27"/>
      <c r="C692" s="27"/>
    </row>
    <row r="693" spans="2:3" ht="12.75" customHeight="1">
      <c r="B693" s="27"/>
      <c r="C693" s="27"/>
    </row>
    <row r="694" spans="2:3" ht="12.75" customHeight="1">
      <c r="B694" s="27"/>
      <c r="C694" s="27"/>
    </row>
    <row r="695" spans="2:3" ht="12.75" customHeight="1">
      <c r="B695" s="27"/>
      <c r="C695" s="27"/>
    </row>
    <row r="696" spans="2:3" ht="12.75" customHeight="1">
      <c r="B696" s="27"/>
      <c r="C696" s="27"/>
    </row>
    <row r="697" spans="2:3" ht="12.75" customHeight="1">
      <c r="B697" s="27"/>
      <c r="C697" s="27"/>
    </row>
    <row r="698" spans="2:3" ht="12.75" customHeight="1">
      <c r="B698" s="27"/>
      <c r="C698" s="27"/>
    </row>
    <row r="699" spans="2:3" ht="12.75" customHeight="1">
      <c r="B699" s="27"/>
      <c r="C699" s="27"/>
    </row>
    <row r="700" spans="2:3" ht="12.75" customHeight="1">
      <c r="B700" s="27"/>
      <c r="C700" s="27"/>
    </row>
    <row r="701" spans="2:3" ht="12.75" customHeight="1">
      <c r="B701" s="27"/>
      <c r="C701" s="27"/>
    </row>
    <row r="702" spans="2:3" ht="12.75" customHeight="1">
      <c r="B702" s="27"/>
      <c r="C702" s="27"/>
    </row>
    <row r="703" spans="2:3" ht="12.75" customHeight="1">
      <c r="B703" s="27"/>
      <c r="C703" s="27"/>
    </row>
    <row r="704" spans="2:3" ht="12.75" customHeight="1">
      <c r="B704" s="27"/>
      <c r="C704" s="27"/>
    </row>
    <row r="705" spans="2:3" ht="12.75" customHeight="1">
      <c r="B705" s="27"/>
      <c r="C705" s="27"/>
    </row>
    <row r="706" spans="2:3" ht="12.75" customHeight="1">
      <c r="B706" s="27"/>
      <c r="C706" s="27"/>
    </row>
    <row r="707" spans="2:3" ht="12.75" customHeight="1">
      <c r="B707" s="27"/>
      <c r="C707" s="27"/>
    </row>
    <row r="708" spans="2:3" ht="12.75" customHeight="1">
      <c r="B708" s="27"/>
      <c r="C708" s="27"/>
    </row>
    <row r="709" spans="2:3" ht="12.75" customHeight="1">
      <c r="B709" s="27"/>
      <c r="C709" s="27"/>
    </row>
    <row r="710" spans="2:3" ht="12.75" customHeight="1">
      <c r="B710" s="27"/>
      <c r="C710" s="27"/>
    </row>
    <row r="711" spans="2:3" ht="12.75" customHeight="1">
      <c r="B711" s="27"/>
      <c r="C711" s="27"/>
    </row>
    <row r="712" spans="2:3" ht="12.75" customHeight="1">
      <c r="B712" s="27"/>
      <c r="C712" s="27"/>
    </row>
    <row r="713" spans="2:3" ht="12.75" customHeight="1">
      <c r="B713" s="27"/>
      <c r="C713" s="27"/>
    </row>
    <row r="714" spans="2:3" ht="12.75" customHeight="1">
      <c r="B714" s="27"/>
      <c r="C714" s="27"/>
    </row>
    <row r="715" spans="2:3" ht="12.75" customHeight="1">
      <c r="B715" s="27"/>
      <c r="C715" s="27"/>
    </row>
    <row r="716" spans="2:3" ht="12.75" customHeight="1">
      <c r="B716" s="27"/>
      <c r="C716" s="27"/>
    </row>
    <row r="717" spans="2:3" ht="12.75" customHeight="1">
      <c r="B717" s="27"/>
      <c r="C717" s="27"/>
    </row>
    <row r="718" spans="2:3" ht="12.75" customHeight="1">
      <c r="B718" s="27"/>
      <c r="C718" s="27"/>
    </row>
    <row r="719" spans="2:3" ht="12.75" customHeight="1">
      <c r="B719" s="27"/>
      <c r="C719" s="27"/>
    </row>
    <row r="720" spans="2:3" ht="12.75" customHeight="1">
      <c r="B720" s="27"/>
      <c r="C720" s="27"/>
    </row>
    <row r="721" spans="2:3" ht="12.75" customHeight="1">
      <c r="B721" s="27"/>
      <c r="C721" s="27"/>
    </row>
    <row r="722" spans="2:3" ht="12.75" customHeight="1">
      <c r="B722" s="27"/>
      <c r="C722" s="27"/>
    </row>
    <row r="723" spans="2:3" ht="12.75" customHeight="1">
      <c r="B723" s="27"/>
      <c r="C723" s="27"/>
    </row>
    <row r="724" spans="2:3" ht="12.75" customHeight="1">
      <c r="B724" s="27"/>
      <c r="C724" s="27"/>
    </row>
    <row r="725" spans="2:3" ht="12.75" customHeight="1">
      <c r="B725" s="27"/>
      <c r="C725" s="27"/>
    </row>
    <row r="726" spans="2:3" ht="12.75" customHeight="1">
      <c r="B726" s="27"/>
      <c r="C726" s="27"/>
    </row>
    <row r="727" spans="2:3" ht="12.75" customHeight="1">
      <c r="B727" s="27"/>
      <c r="C727" s="27"/>
    </row>
    <row r="728" spans="2:3" ht="12.75" customHeight="1">
      <c r="B728" s="27"/>
      <c r="C728" s="27"/>
    </row>
    <row r="729" spans="2:3" ht="12.75" customHeight="1">
      <c r="B729" s="27"/>
      <c r="C729" s="27"/>
    </row>
    <row r="730" spans="2:3" ht="12.75" customHeight="1">
      <c r="B730" s="27"/>
      <c r="C730" s="27"/>
    </row>
    <row r="731" spans="2:3" ht="12.75" customHeight="1">
      <c r="B731" s="27"/>
      <c r="C731" s="27"/>
    </row>
    <row r="732" spans="2:3" ht="12.75" customHeight="1">
      <c r="B732" s="27"/>
      <c r="C732" s="27"/>
    </row>
    <row r="733" spans="2:3" ht="12.75" customHeight="1">
      <c r="B733" s="27"/>
      <c r="C733" s="27"/>
    </row>
    <row r="734" spans="2:3" ht="12.75" customHeight="1">
      <c r="B734" s="27"/>
      <c r="C734" s="27"/>
    </row>
    <row r="735" spans="2:3" ht="12.75" customHeight="1">
      <c r="B735" s="27"/>
      <c r="C735" s="27"/>
    </row>
    <row r="736" spans="2:3" ht="12.75" customHeight="1">
      <c r="B736" s="27"/>
      <c r="C736" s="27"/>
    </row>
    <row r="737" spans="2:3" ht="12.75" customHeight="1">
      <c r="B737" s="27"/>
      <c r="C737" s="27"/>
    </row>
    <row r="738" spans="2:3" ht="12.75" customHeight="1">
      <c r="B738" s="27"/>
      <c r="C738" s="27"/>
    </row>
    <row r="739" spans="2:3" ht="12.75" customHeight="1">
      <c r="B739" s="27"/>
      <c r="C739" s="27"/>
    </row>
    <row r="740" spans="2:3" ht="12.75" customHeight="1">
      <c r="B740" s="27"/>
      <c r="C740" s="27"/>
    </row>
    <row r="741" spans="2:3" ht="12.75" customHeight="1">
      <c r="B741" s="27"/>
      <c r="C741" s="27"/>
    </row>
    <row r="742" spans="2:3" ht="12.75" customHeight="1">
      <c r="B742" s="27"/>
      <c r="C742" s="27"/>
    </row>
    <row r="743" spans="2:3" ht="12.75" customHeight="1">
      <c r="B743" s="27"/>
      <c r="C743" s="27"/>
    </row>
    <row r="744" spans="2:3" ht="12.75" customHeight="1">
      <c r="B744" s="27"/>
      <c r="C744" s="27"/>
    </row>
    <row r="745" spans="2:3" ht="12.75" customHeight="1">
      <c r="B745" s="27"/>
      <c r="C745" s="27"/>
    </row>
    <row r="746" spans="2:3" ht="12.75" customHeight="1">
      <c r="B746" s="27"/>
      <c r="C746" s="27"/>
    </row>
    <row r="747" spans="2:3" ht="12.75" customHeight="1">
      <c r="B747" s="27"/>
      <c r="C747" s="27"/>
    </row>
    <row r="748" spans="2:3" ht="12.75" customHeight="1">
      <c r="B748" s="27"/>
      <c r="C748" s="27"/>
    </row>
    <row r="749" spans="2:3" ht="12.75" customHeight="1">
      <c r="B749" s="27"/>
      <c r="C749" s="27"/>
    </row>
    <row r="750" spans="2:3" ht="12.75" customHeight="1">
      <c r="B750" s="27"/>
      <c r="C750" s="27"/>
    </row>
    <row r="751" spans="2:3" ht="12.75" customHeight="1">
      <c r="B751" s="27"/>
      <c r="C751" s="27"/>
    </row>
    <row r="752" spans="2:3" ht="12.75" customHeight="1">
      <c r="B752" s="27"/>
      <c r="C752" s="27"/>
    </row>
    <row r="753" spans="2:3" ht="12.75" customHeight="1">
      <c r="B753" s="27"/>
      <c r="C753" s="27"/>
    </row>
    <row r="754" spans="2:3" ht="12.75" customHeight="1">
      <c r="B754" s="27"/>
      <c r="C754" s="27"/>
    </row>
    <row r="755" spans="2:3" ht="12.75" customHeight="1">
      <c r="B755" s="27"/>
      <c r="C755" s="27"/>
    </row>
    <row r="756" spans="2:3" ht="12.75" customHeight="1">
      <c r="B756" s="27"/>
      <c r="C756" s="27"/>
    </row>
    <row r="757" spans="2:3" ht="12.75" customHeight="1">
      <c r="B757" s="27"/>
      <c r="C757" s="27"/>
    </row>
    <row r="758" spans="2:3" ht="12.75" customHeight="1">
      <c r="B758" s="27"/>
      <c r="C758" s="27"/>
    </row>
    <row r="759" spans="2:3" ht="12.75" customHeight="1">
      <c r="B759" s="27"/>
      <c r="C759" s="27"/>
    </row>
    <row r="760" spans="2:3" ht="12.75" customHeight="1">
      <c r="B760" s="27"/>
      <c r="C760" s="27"/>
    </row>
    <row r="761" spans="2:3" ht="12.75" customHeight="1">
      <c r="B761" s="27"/>
      <c r="C761" s="27"/>
    </row>
    <row r="762" spans="2:3" ht="12.75" customHeight="1">
      <c r="B762" s="27"/>
      <c r="C762" s="27"/>
    </row>
    <row r="763" spans="2:3" ht="12.75" customHeight="1">
      <c r="B763" s="27"/>
      <c r="C763" s="27"/>
    </row>
    <row r="764" spans="2:3" ht="12.75" customHeight="1">
      <c r="B764" s="27"/>
      <c r="C764" s="27"/>
    </row>
    <row r="765" spans="2:3" ht="12.75" customHeight="1">
      <c r="B765" s="27"/>
      <c r="C765" s="27"/>
    </row>
    <row r="766" spans="2:3" ht="12.75" customHeight="1">
      <c r="B766" s="27"/>
      <c r="C766" s="27"/>
    </row>
    <row r="767" spans="2:3" ht="12.75" customHeight="1">
      <c r="B767" s="27"/>
      <c r="C767" s="27"/>
    </row>
    <row r="768" spans="2:3" ht="12.75" customHeight="1">
      <c r="B768" s="27"/>
      <c r="C768" s="27"/>
    </row>
    <row r="769" spans="2:3" ht="12.75" customHeight="1">
      <c r="B769" s="27"/>
      <c r="C769" s="27"/>
    </row>
    <row r="770" spans="2:3" ht="12.75" customHeight="1">
      <c r="B770" s="27"/>
      <c r="C770" s="27"/>
    </row>
    <row r="771" spans="2:3" ht="12.75" customHeight="1">
      <c r="B771" s="27"/>
      <c r="C771" s="27"/>
    </row>
    <row r="772" spans="2:3" ht="12.75" customHeight="1">
      <c r="B772" s="27"/>
      <c r="C772" s="27"/>
    </row>
    <row r="773" spans="2:3" ht="12.75" customHeight="1">
      <c r="B773" s="27"/>
      <c r="C773" s="27"/>
    </row>
    <row r="774" spans="2:3" ht="12.75" customHeight="1">
      <c r="B774" s="27"/>
      <c r="C774" s="27"/>
    </row>
    <row r="775" spans="2:3" ht="12.75" customHeight="1">
      <c r="B775" s="27"/>
      <c r="C775" s="27"/>
    </row>
    <row r="776" spans="2:3" ht="12.75" customHeight="1">
      <c r="B776" s="27"/>
      <c r="C776" s="27"/>
    </row>
    <row r="777" spans="2:3" ht="12.75" customHeight="1">
      <c r="B777" s="27"/>
      <c r="C777" s="27"/>
    </row>
    <row r="778" spans="2:3" ht="12.75" customHeight="1">
      <c r="B778" s="27"/>
      <c r="C778" s="27"/>
    </row>
    <row r="779" spans="2:3" ht="12.75" customHeight="1">
      <c r="B779" s="27"/>
      <c r="C779" s="27"/>
    </row>
    <row r="780" spans="2:3" ht="12.75" customHeight="1">
      <c r="B780" s="27"/>
      <c r="C780" s="27"/>
    </row>
    <row r="781" spans="2:3" ht="12.75" customHeight="1">
      <c r="B781" s="27"/>
      <c r="C781" s="27"/>
    </row>
    <row r="782" spans="2:3" ht="12.75" customHeight="1">
      <c r="B782" s="27"/>
      <c r="C782" s="27"/>
    </row>
    <row r="783" spans="2:3" ht="12.75" customHeight="1">
      <c r="B783" s="27"/>
      <c r="C783" s="27"/>
    </row>
    <row r="784" spans="2:3" ht="12.75" customHeight="1">
      <c r="B784" s="27"/>
      <c r="C784" s="27"/>
    </row>
    <row r="785" spans="2:3" ht="12.75" customHeight="1">
      <c r="B785" s="27"/>
      <c r="C785" s="27"/>
    </row>
    <row r="786" spans="2:3" ht="12.75" customHeight="1">
      <c r="B786" s="27"/>
      <c r="C786" s="27"/>
    </row>
    <row r="787" spans="2:3" ht="12.75" customHeight="1">
      <c r="B787" s="27"/>
      <c r="C787" s="27"/>
    </row>
    <row r="788" spans="2:3" ht="12.75" customHeight="1">
      <c r="B788" s="27"/>
      <c r="C788" s="27"/>
    </row>
    <row r="789" spans="2:3" ht="12.75" customHeight="1">
      <c r="B789" s="27"/>
      <c r="C789" s="27"/>
    </row>
    <row r="790" spans="2:3" ht="12.75" customHeight="1">
      <c r="B790" s="27"/>
      <c r="C790" s="27"/>
    </row>
    <row r="791" spans="2:3" ht="12.75" customHeight="1">
      <c r="B791" s="27"/>
      <c r="C791" s="27"/>
    </row>
    <row r="792" spans="2:3" ht="12.75" customHeight="1">
      <c r="B792" s="27"/>
      <c r="C792" s="27"/>
    </row>
    <row r="793" spans="2:3" ht="12.75" customHeight="1">
      <c r="B793" s="27"/>
      <c r="C793" s="27"/>
    </row>
    <row r="794" spans="2:3" ht="12.75" customHeight="1">
      <c r="B794" s="27"/>
      <c r="C794" s="27"/>
    </row>
    <row r="795" spans="2:3" ht="12.75" customHeight="1">
      <c r="B795" s="27"/>
      <c r="C795" s="27"/>
    </row>
    <row r="796" spans="2:3" ht="12.75" customHeight="1">
      <c r="B796" s="27"/>
      <c r="C796" s="27"/>
    </row>
    <row r="797" spans="2:3" ht="12.75" customHeight="1">
      <c r="B797" s="27"/>
      <c r="C797" s="27"/>
    </row>
    <row r="798" spans="2:3" ht="12.75" customHeight="1">
      <c r="B798" s="27"/>
      <c r="C798" s="27"/>
    </row>
    <row r="799" spans="2:3" ht="12.75" customHeight="1">
      <c r="B799" s="27"/>
      <c r="C799" s="27"/>
    </row>
    <row r="800" spans="2:3" ht="12.75" customHeight="1">
      <c r="B800" s="27"/>
      <c r="C800" s="27"/>
    </row>
    <row r="801" spans="2:3" ht="12.75" customHeight="1">
      <c r="B801" s="27"/>
      <c r="C801" s="27"/>
    </row>
    <row r="802" spans="2:3" ht="12.75" customHeight="1">
      <c r="B802" s="27"/>
      <c r="C802" s="27"/>
    </row>
    <row r="803" spans="2:3" ht="12.75" customHeight="1">
      <c r="B803" s="27"/>
      <c r="C803" s="27"/>
    </row>
    <row r="804" spans="2:3" ht="12.75" customHeight="1">
      <c r="B804" s="27"/>
      <c r="C804" s="27"/>
    </row>
    <row r="805" spans="2:3" ht="12.75" customHeight="1">
      <c r="B805" s="27"/>
      <c r="C805" s="27"/>
    </row>
    <row r="806" spans="2:3" ht="12.75" customHeight="1">
      <c r="B806" s="27"/>
      <c r="C806" s="27"/>
    </row>
    <row r="807" spans="2:3" ht="12.75" customHeight="1">
      <c r="B807" s="27"/>
      <c r="C807" s="27"/>
    </row>
    <row r="808" spans="2:3" ht="12.75" customHeight="1">
      <c r="B808" s="27"/>
      <c r="C808" s="27"/>
    </row>
    <row r="809" spans="2:3" ht="12.75" customHeight="1">
      <c r="B809" s="27"/>
      <c r="C809" s="27"/>
    </row>
    <row r="810" spans="2:3" ht="12.75" customHeight="1">
      <c r="B810" s="27"/>
      <c r="C810" s="27"/>
    </row>
    <row r="811" spans="2:3" ht="12.75" customHeight="1">
      <c r="B811" s="27"/>
      <c r="C811" s="27"/>
    </row>
    <row r="812" spans="2:3" ht="12.75" customHeight="1">
      <c r="B812" s="27"/>
      <c r="C812" s="27"/>
    </row>
    <row r="813" spans="2:3" ht="12.75" customHeight="1">
      <c r="B813" s="27"/>
      <c r="C813" s="27"/>
    </row>
    <row r="814" spans="2:3" ht="12.75" customHeight="1">
      <c r="B814" s="27"/>
      <c r="C814" s="27"/>
    </row>
    <row r="815" spans="2:3" ht="12.75" customHeight="1">
      <c r="B815" s="27"/>
      <c r="C815" s="27"/>
    </row>
    <row r="816" spans="2:3" ht="12.75" customHeight="1">
      <c r="B816" s="27"/>
      <c r="C816" s="27"/>
    </row>
    <row r="817" spans="2:3" ht="12.75" customHeight="1">
      <c r="B817" s="27"/>
      <c r="C817" s="27"/>
    </row>
    <row r="818" spans="2:3" ht="12.75" customHeight="1">
      <c r="B818" s="27"/>
      <c r="C818" s="27"/>
    </row>
    <row r="819" spans="2:3" ht="12.75" customHeight="1">
      <c r="B819" s="27"/>
      <c r="C819" s="27"/>
    </row>
    <row r="820" spans="2:3" ht="12.75" customHeight="1">
      <c r="B820" s="27"/>
      <c r="C820" s="27"/>
    </row>
    <row r="821" spans="2:3" ht="12.75" customHeight="1">
      <c r="B821" s="27"/>
      <c r="C821" s="27"/>
    </row>
    <row r="822" spans="2:3" ht="12.75" customHeight="1">
      <c r="B822" s="27"/>
      <c r="C822" s="27"/>
    </row>
    <row r="823" spans="2:3" ht="12.75" customHeight="1">
      <c r="B823" s="27"/>
      <c r="C823" s="27"/>
    </row>
    <row r="824" spans="2:3" ht="12.75" customHeight="1">
      <c r="B824" s="27"/>
      <c r="C824" s="27"/>
    </row>
    <row r="825" spans="2:3" ht="12.75" customHeight="1">
      <c r="B825" s="27"/>
      <c r="C825" s="27"/>
    </row>
    <row r="826" spans="2:3" ht="12.75" customHeight="1">
      <c r="B826" s="27"/>
      <c r="C826" s="27"/>
    </row>
    <row r="827" spans="2:3" ht="12.75" customHeight="1">
      <c r="B827" s="27"/>
      <c r="C827" s="27"/>
    </row>
    <row r="828" spans="2:3" ht="12.75" customHeight="1">
      <c r="B828" s="27"/>
      <c r="C828" s="27"/>
    </row>
    <row r="829" spans="2:3" ht="12.75" customHeight="1">
      <c r="B829" s="27"/>
      <c r="C829" s="27"/>
    </row>
    <row r="830" spans="2:3" ht="12.75" customHeight="1">
      <c r="B830" s="27"/>
      <c r="C830" s="27"/>
    </row>
    <row r="831" spans="2:3" ht="12.75" customHeight="1">
      <c r="B831" s="27"/>
      <c r="C831" s="27"/>
    </row>
    <row r="832" spans="2:3" ht="12.75" customHeight="1">
      <c r="B832" s="27"/>
      <c r="C832" s="27"/>
    </row>
    <row r="833" spans="2:3" ht="12.75" customHeight="1">
      <c r="B833" s="27"/>
      <c r="C833" s="27"/>
    </row>
    <row r="834" spans="2:3" ht="12.75" customHeight="1">
      <c r="B834" s="27"/>
      <c r="C834" s="27"/>
    </row>
    <row r="835" spans="2:3" ht="12.75" customHeight="1">
      <c r="B835" s="27"/>
      <c r="C835" s="27"/>
    </row>
    <row r="836" spans="2:3" ht="12.75" customHeight="1">
      <c r="B836" s="27"/>
      <c r="C836" s="27"/>
    </row>
    <row r="837" spans="2:3" ht="12.75" customHeight="1">
      <c r="B837" s="27"/>
      <c r="C837" s="27"/>
    </row>
    <row r="838" spans="2:3" ht="12.75" customHeight="1">
      <c r="B838" s="27"/>
      <c r="C838" s="27"/>
    </row>
    <row r="839" spans="2:3" ht="12.75" customHeight="1">
      <c r="B839" s="27"/>
      <c r="C839" s="27"/>
    </row>
    <row r="840" spans="2:3" ht="12.75" customHeight="1">
      <c r="B840" s="27"/>
      <c r="C840" s="27"/>
    </row>
    <row r="841" spans="2:3" ht="12.75" customHeight="1">
      <c r="B841" s="27"/>
      <c r="C841" s="27"/>
    </row>
    <row r="842" spans="2:3" ht="12.75" customHeight="1">
      <c r="B842" s="27"/>
      <c r="C842" s="27"/>
    </row>
    <row r="843" spans="2:3" ht="12.75" customHeight="1">
      <c r="B843" s="27"/>
      <c r="C843" s="27"/>
    </row>
    <row r="844" spans="2:3" ht="12.75" customHeight="1">
      <c r="B844" s="27"/>
      <c r="C844" s="27"/>
    </row>
    <row r="845" spans="2:3" ht="12.75" customHeight="1">
      <c r="B845" s="27"/>
      <c r="C845" s="27"/>
    </row>
    <row r="846" spans="2:3" ht="12.75" customHeight="1">
      <c r="B846" s="27"/>
      <c r="C846" s="27"/>
    </row>
    <row r="847" spans="2:3" ht="12.75" customHeight="1">
      <c r="B847" s="27"/>
      <c r="C847" s="27"/>
    </row>
    <row r="848" spans="2:3" ht="12.75" customHeight="1">
      <c r="B848" s="27"/>
      <c r="C848" s="27"/>
    </row>
    <row r="849" spans="2:3" ht="12.75" customHeight="1">
      <c r="B849" s="27"/>
      <c r="C849" s="27"/>
    </row>
    <row r="850" spans="2:3" ht="12.75" customHeight="1">
      <c r="B850" s="27"/>
      <c r="C850" s="27"/>
    </row>
    <row r="851" spans="2:3" ht="12.75" customHeight="1">
      <c r="B851" s="27"/>
      <c r="C851" s="27"/>
    </row>
    <row r="852" spans="2:3" ht="12.75" customHeight="1">
      <c r="B852" s="27"/>
      <c r="C852" s="27"/>
    </row>
    <row r="853" spans="2:3" ht="12.75" customHeight="1">
      <c r="B853" s="27"/>
      <c r="C853" s="27"/>
    </row>
    <row r="854" spans="2:3" ht="12.75" customHeight="1">
      <c r="B854" s="27"/>
      <c r="C854" s="27"/>
    </row>
    <row r="855" spans="2:3" ht="12.75" customHeight="1">
      <c r="B855" s="27"/>
      <c r="C855" s="27"/>
    </row>
    <row r="856" spans="2:3" ht="12.75" customHeight="1">
      <c r="B856" s="27"/>
      <c r="C856" s="27"/>
    </row>
    <row r="857" spans="2:3" ht="12.75" customHeight="1">
      <c r="B857" s="27"/>
      <c r="C857" s="27"/>
    </row>
    <row r="858" spans="2:3" ht="12.75" customHeight="1">
      <c r="B858" s="27"/>
      <c r="C858" s="27"/>
    </row>
    <row r="859" spans="2:3" ht="12.75" customHeight="1">
      <c r="B859" s="27"/>
      <c r="C859" s="27"/>
    </row>
    <row r="860" spans="2:3" ht="12.75" customHeight="1">
      <c r="B860" s="27"/>
      <c r="C860" s="27"/>
    </row>
    <row r="861" spans="2:3" ht="12.75" customHeight="1">
      <c r="B861" s="27"/>
      <c r="C861" s="27"/>
    </row>
    <row r="862" spans="2:3" ht="12.75" customHeight="1">
      <c r="B862" s="27"/>
      <c r="C862" s="27"/>
    </row>
    <row r="863" spans="2:3" ht="12.75" customHeight="1">
      <c r="B863" s="27"/>
      <c r="C863" s="27"/>
    </row>
    <row r="864" spans="2:3" ht="12.75" customHeight="1">
      <c r="B864" s="27"/>
      <c r="C864" s="27"/>
    </row>
    <row r="865" spans="2:3" ht="12.75" customHeight="1">
      <c r="B865" s="27"/>
      <c r="C865" s="27"/>
    </row>
    <row r="866" spans="2:3" ht="12.75" customHeight="1">
      <c r="B866" s="27"/>
      <c r="C866" s="27"/>
    </row>
    <row r="867" spans="2:3" ht="12.75" customHeight="1">
      <c r="B867" s="27"/>
      <c r="C867" s="27"/>
    </row>
    <row r="868" spans="2:3" ht="12.75" customHeight="1">
      <c r="B868" s="27"/>
      <c r="C868" s="27"/>
    </row>
    <row r="869" spans="2:3" ht="12.75" customHeight="1">
      <c r="B869" s="27"/>
      <c r="C869" s="27"/>
    </row>
    <row r="870" spans="2:3" ht="12.75" customHeight="1">
      <c r="B870" s="27"/>
      <c r="C870" s="27"/>
    </row>
    <row r="871" spans="2:3" ht="12.75" customHeight="1">
      <c r="B871" s="27"/>
      <c r="C871" s="27"/>
    </row>
    <row r="872" spans="2:3" ht="12.75" customHeight="1">
      <c r="B872" s="27"/>
      <c r="C872" s="27"/>
    </row>
    <row r="873" spans="2:3" ht="12.75" customHeight="1">
      <c r="B873" s="27"/>
      <c r="C873" s="27"/>
    </row>
    <row r="874" spans="2:3" ht="12.75" customHeight="1">
      <c r="B874" s="27"/>
      <c r="C874" s="27"/>
    </row>
    <row r="875" spans="2:3" ht="12.75" customHeight="1">
      <c r="B875" s="27"/>
      <c r="C875" s="27"/>
    </row>
    <row r="876" spans="2:3" ht="12.75" customHeight="1">
      <c r="B876" s="27"/>
      <c r="C876" s="27"/>
    </row>
    <row r="877" spans="2:3" ht="12.75" customHeight="1">
      <c r="B877" s="27"/>
      <c r="C877" s="27"/>
    </row>
    <row r="878" spans="2:3" ht="12.75" customHeight="1">
      <c r="B878" s="27"/>
      <c r="C878" s="27"/>
    </row>
    <row r="879" spans="2:3" ht="12.75" customHeight="1">
      <c r="B879" s="27"/>
      <c r="C879" s="27"/>
    </row>
    <row r="880" spans="2:3" ht="12.75" customHeight="1">
      <c r="B880" s="27"/>
      <c r="C880" s="27"/>
    </row>
    <row r="881" spans="2:3" ht="12.75" customHeight="1">
      <c r="B881" s="27"/>
      <c r="C881" s="27"/>
    </row>
    <row r="882" spans="2:3" ht="12.75" customHeight="1">
      <c r="B882" s="27"/>
      <c r="C882" s="27"/>
    </row>
    <row r="883" spans="2:3" ht="12.75" customHeight="1">
      <c r="B883" s="27"/>
      <c r="C883" s="27"/>
    </row>
    <row r="884" spans="2:3" ht="12.75" customHeight="1">
      <c r="B884" s="27"/>
      <c r="C884" s="27"/>
    </row>
    <row r="885" spans="2:3" ht="12.75" customHeight="1">
      <c r="B885" s="27"/>
      <c r="C885" s="27"/>
    </row>
    <row r="886" spans="2:3" ht="12.75" customHeight="1">
      <c r="B886" s="27"/>
      <c r="C886" s="27"/>
    </row>
    <row r="887" spans="2:3" ht="12.75" customHeight="1">
      <c r="B887" s="27"/>
      <c r="C887" s="27"/>
    </row>
    <row r="888" spans="2:3" ht="12.75" customHeight="1">
      <c r="B888" s="27"/>
      <c r="C888" s="27"/>
    </row>
    <row r="889" spans="2:3" ht="12.75" customHeight="1">
      <c r="B889" s="27"/>
      <c r="C889" s="27"/>
    </row>
    <row r="890" spans="2:3" ht="12.75" customHeight="1">
      <c r="B890" s="27"/>
      <c r="C890" s="27"/>
    </row>
    <row r="891" spans="2:3" ht="12.75" customHeight="1">
      <c r="B891" s="27"/>
      <c r="C891" s="27"/>
    </row>
    <row r="892" spans="2:3" ht="12.75" customHeight="1">
      <c r="B892" s="27"/>
      <c r="C892" s="27"/>
    </row>
    <row r="893" spans="2:3" ht="12.75" customHeight="1">
      <c r="B893" s="27"/>
      <c r="C893" s="27"/>
    </row>
    <row r="894" spans="2:3" ht="12.75" customHeight="1">
      <c r="B894" s="27"/>
      <c r="C894" s="27"/>
    </row>
    <row r="895" spans="2:3" ht="12.75" customHeight="1">
      <c r="B895" s="27"/>
      <c r="C895" s="27"/>
    </row>
    <row r="896" spans="2:3" ht="12.75" customHeight="1">
      <c r="B896" s="27"/>
      <c r="C896" s="27"/>
    </row>
    <row r="897" spans="2:3" ht="12.75" customHeight="1">
      <c r="B897" s="27"/>
      <c r="C897" s="27"/>
    </row>
    <row r="898" spans="2:3" ht="12.75" customHeight="1">
      <c r="B898" s="27"/>
      <c r="C898" s="27"/>
    </row>
    <row r="899" spans="2:3" ht="12.75" customHeight="1">
      <c r="B899" s="27"/>
      <c r="C899" s="27"/>
    </row>
    <row r="900" spans="2:3" ht="12.75" customHeight="1">
      <c r="B900" s="27"/>
      <c r="C900" s="27"/>
    </row>
    <row r="901" spans="2:3" ht="12.75" customHeight="1">
      <c r="B901" s="27"/>
      <c r="C901" s="27"/>
    </row>
    <row r="902" spans="2:3" ht="12.75" customHeight="1">
      <c r="B902" s="27"/>
      <c r="C902" s="27"/>
    </row>
    <row r="903" spans="2:3" ht="12.75" customHeight="1">
      <c r="B903" s="27"/>
      <c r="C903" s="27"/>
    </row>
    <row r="904" spans="2:3" ht="12.75" customHeight="1">
      <c r="B904" s="27"/>
      <c r="C904" s="27"/>
    </row>
    <row r="905" spans="2:3" ht="12.75" customHeight="1">
      <c r="B905" s="27"/>
      <c r="C905" s="27"/>
    </row>
    <row r="906" spans="2:3" ht="12.75" customHeight="1">
      <c r="B906" s="27"/>
      <c r="C906" s="27"/>
    </row>
    <row r="907" spans="2:3" ht="12.75" customHeight="1">
      <c r="B907" s="27"/>
      <c r="C907" s="27"/>
    </row>
    <row r="908" spans="2:3" ht="12.75" customHeight="1">
      <c r="B908" s="27"/>
      <c r="C908" s="27"/>
    </row>
    <row r="909" spans="2:3" ht="12.75" customHeight="1">
      <c r="B909" s="27"/>
      <c r="C909" s="27"/>
    </row>
    <row r="910" spans="2:3" ht="12.75" customHeight="1">
      <c r="B910" s="27"/>
      <c r="C910" s="27"/>
    </row>
    <row r="911" spans="2:3" ht="12.75" customHeight="1">
      <c r="B911" s="27"/>
      <c r="C911" s="27"/>
    </row>
    <row r="912" spans="2:3" ht="12.75" customHeight="1">
      <c r="B912" s="27"/>
      <c r="C912" s="27"/>
    </row>
    <row r="913" spans="2:3" ht="12.75" customHeight="1">
      <c r="B913" s="27"/>
      <c r="C913" s="27"/>
    </row>
    <row r="914" spans="2:3" ht="12.75" customHeight="1">
      <c r="B914" s="27"/>
      <c r="C914" s="27"/>
    </row>
    <row r="915" spans="2:3" ht="12.75" customHeight="1">
      <c r="B915" s="27"/>
      <c r="C915" s="27"/>
    </row>
    <row r="916" spans="2:3" ht="12.75" customHeight="1">
      <c r="B916" s="27"/>
      <c r="C916" s="27"/>
    </row>
    <row r="917" spans="2:3" ht="12.75" customHeight="1">
      <c r="B917" s="27"/>
      <c r="C917" s="27"/>
    </row>
    <row r="918" spans="2:3" ht="12.75" customHeight="1">
      <c r="B918" s="27"/>
      <c r="C918" s="27"/>
    </row>
    <row r="919" spans="2:3" ht="12.75" customHeight="1">
      <c r="B919" s="27"/>
      <c r="C919" s="27"/>
    </row>
    <row r="920" spans="2:3" ht="12.75" customHeight="1">
      <c r="B920" s="27"/>
      <c r="C920" s="27"/>
    </row>
    <row r="921" spans="2:3" ht="12.75" customHeight="1">
      <c r="B921" s="27"/>
      <c r="C921" s="27"/>
    </row>
    <row r="922" spans="2:3" ht="12.75" customHeight="1">
      <c r="B922" s="27"/>
      <c r="C922" s="27"/>
    </row>
    <row r="923" spans="2:3" ht="12.75" customHeight="1">
      <c r="B923" s="27"/>
      <c r="C923" s="27"/>
    </row>
    <row r="924" spans="2:3" ht="12.75" customHeight="1">
      <c r="B924" s="27"/>
      <c r="C924" s="27"/>
    </row>
    <row r="925" spans="2:3" ht="12.75" customHeight="1">
      <c r="B925" s="27"/>
      <c r="C925" s="27"/>
    </row>
    <row r="926" spans="2:3" ht="12.75" customHeight="1">
      <c r="B926" s="27"/>
      <c r="C926" s="27"/>
    </row>
    <row r="927" spans="2:3" ht="12.75" customHeight="1">
      <c r="B927" s="27"/>
      <c r="C927" s="27"/>
    </row>
    <row r="928" spans="2:3" ht="12.75" customHeight="1">
      <c r="B928" s="27"/>
      <c r="C928" s="27"/>
    </row>
    <row r="929" spans="2:3" ht="12.75" customHeight="1">
      <c r="B929" s="27"/>
      <c r="C929" s="27"/>
    </row>
    <row r="930" spans="2:3" ht="12.75" customHeight="1">
      <c r="B930" s="27"/>
      <c r="C930" s="27"/>
    </row>
    <row r="931" spans="2:3" ht="12.75" customHeight="1">
      <c r="B931" s="27"/>
      <c r="C931" s="27"/>
    </row>
    <row r="932" spans="2:3" ht="12.75" customHeight="1">
      <c r="B932" s="27"/>
      <c r="C932" s="27"/>
    </row>
    <row r="933" spans="2:3" ht="12.75" customHeight="1">
      <c r="B933" s="27"/>
      <c r="C933" s="27"/>
    </row>
    <row r="934" spans="2:3" ht="12.75" customHeight="1">
      <c r="B934" s="27"/>
      <c r="C934" s="27"/>
    </row>
    <row r="935" spans="2:3" ht="12.75" customHeight="1">
      <c r="B935" s="27"/>
      <c r="C935" s="27"/>
    </row>
    <row r="936" spans="2:3" ht="12.75" customHeight="1">
      <c r="B936" s="27"/>
      <c r="C936" s="27"/>
    </row>
    <row r="937" spans="2:3" ht="12.75" customHeight="1">
      <c r="B937" s="27"/>
      <c r="C937" s="27"/>
    </row>
    <row r="938" spans="2:3" ht="12.75" customHeight="1">
      <c r="B938" s="27"/>
      <c r="C938" s="27"/>
    </row>
    <row r="939" spans="2:3" ht="12.75" customHeight="1">
      <c r="B939" s="27"/>
      <c r="C939" s="27"/>
    </row>
    <row r="940" spans="2:3" ht="12.75" customHeight="1">
      <c r="B940" s="27"/>
      <c r="C940" s="27"/>
    </row>
    <row r="941" spans="2:3" ht="12.75" customHeight="1">
      <c r="B941" s="27"/>
      <c r="C941" s="27"/>
    </row>
    <row r="942" spans="2:3" ht="12.75" customHeight="1">
      <c r="B942" s="27"/>
      <c r="C942" s="27"/>
    </row>
    <row r="943" spans="2:3" ht="12.75" customHeight="1">
      <c r="B943" s="27"/>
      <c r="C943" s="27"/>
    </row>
    <row r="944" spans="2:3" ht="12.75" customHeight="1">
      <c r="B944" s="27"/>
      <c r="C944" s="27"/>
    </row>
    <row r="945" spans="2:3" ht="12.75" customHeight="1">
      <c r="B945" s="27"/>
      <c r="C945" s="27"/>
    </row>
    <row r="946" spans="2:3" ht="12.75" customHeight="1">
      <c r="B946" s="27"/>
      <c r="C946" s="27"/>
    </row>
    <row r="947" spans="2:3" ht="12.75" customHeight="1">
      <c r="B947" s="27"/>
      <c r="C947" s="27"/>
    </row>
    <row r="948" spans="2:3" ht="12.75" customHeight="1">
      <c r="B948" s="27"/>
      <c r="C948" s="27"/>
    </row>
    <row r="949" spans="2:3" ht="12.75" customHeight="1">
      <c r="B949" s="27"/>
      <c r="C949" s="27"/>
    </row>
    <row r="950" spans="2:3" ht="12.75" customHeight="1">
      <c r="B950" s="27"/>
      <c r="C950" s="27"/>
    </row>
    <row r="951" spans="2:3" ht="12.75" customHeight="1">
      <c r="B951" s="27"/>
      <c r="C951" s="27"/>
    </row>
    <row r="952" spans="2:3" ht="12.75" customHeight="1">
      <c r="B952" s="27"/>
      <c r="C952" s="27"/>
    </row>
    <row r="953" spans="2:3" ht="12.75" customHeight="1">
      <c r="B953" s="27"/>
      <c r="C953" s="27"/>
    </row>
    <row r="954" spans="2:3" ht="12.75" customHeight="1">
      <c r="B954" s="27"/>
      <c r="C954" s="27"/>
    </row>
    <row r="955" spans="2:3" ht="12.75" customHeight="1">
      <c r="B955" s="27"/>
      <c r="C955" s="27"/>
    </row>
    <row r="956" spans="2:3" ht="12.75" customHeight="1">
      <c r="B956" s="27"/>
      <c r="C956" s="27"/>
    </row>
    <row r="957" spans="2:3" ht="12.75" customHeight="1">
      <c r="B957" s="27"/>
      <c r="C957" s="27"/>
    </row>
    <row r="958" spans="2:3" ht="12.75" customHeight="1">
      <c r="B958" s="27"/>
      <c r="C958" s="27"/>
    </row>
    <row r="959" spans="2:3" ht="12.75" customHeight="1">
      <c r="B959" s="27"/>
      <c r="C959" s="27"/>
    </row>
    <row r="960" spans="2:3" ht="12.75" customHeight="1">
      <c r="B960" s="27"/>
      <c r="C960" s="27"/>
    </row>
    <row r="961" spans="2:3" ht="12.75" customHeight="1">
      <c r="B961" s="27"/>
      <c r="C961" s="27"/>
    </row>
    <row r="962" spans="2:3" ht="12.75" customHeight="1">
      <c r="B962" s="27"/>
      <c r="C962" s="27"/>
    </row>
    <row r="963" spans="2:3" ht="12.75" customHeight="1">
      <c r="B963" s="27"/>
      <c r="C963" s="27"/>
    </row>
    <row r="964" spans="2:3" ht="12.75" customHeight="1">
      <c r="B964" s="27"/>
      <c r="C964" s="27"/>
    </row>
    <row r="965" spans="2:3" ht="12.75" customHeight="1">
      <c r="B965" s="27"/>
      <c r="C965" s="27"/>
    </row>
    <row r="966" spans="2:3" ht="12.75" customHeight="1">
      <c r="B966" s="27"/>
      <c r="C966" s="27"/>
    </row>
    <row r="967" spans="2:3" ht="12.75" customHeight="1">
      <c r="B967" s="27"/>
      <c r="C967" s="27"/>
    </row>
    <row r="968" spans="2:3" ht="12.75" customHeight="1">
      <c r="B968" s="27"/>
      <c r="C968" s="27"/>
    </row>
    <row r="969" spans="2:3" ht="12.75" customHeight="1">
      <c r="B969" s="27"/>
      <c r="C969" s="27"/>
    </row>
    <row r="970" spans="2:3" ht="12.75" customHeight="1">
      <c r="B970" s="27"/>
      <c r="C970" s="27"/>
    </row>
    <row r="971" spans="2:3" ht="12.75" customHeight="1">
      <c r="B971" s="27"/>
      <c r="C971" s="27"/>
    </row>
    <row r="972" spans="2:3" ht="12.75" customHeight="1">
      <c r="B972" s="27"/>
      <c r="C972" s="27"/>
    </row>
    <row r="973" spans="2:3" ht="12.75" customHeight="1">
      <c r="B973" s="27"/>
      <c r="C973" s="27"/>
    </row>
    <row r="974" spans="2:3" ht="12.75" customHeight="1">
      <c r="B974" s="27"/>
      <c r="C974" s="27"/>
    </row>
    <row r="975" spans="2:3" ht="12.75" customHeight="1">
      <c r="B975" s="27"/>
      <c r="C975" s="27"/>
    </row>
    <row r="976" spans="2:3" ht="12.75" customHeight="1">
      <c r="B976" s="27"/>
      <c r="C976" s="27"/>
    </row>
    <row r="977" spans="2:3" ht="12.75" customHeight="1">
      <c r="B977" s="27"/>
      <c r="C977" s="27"/>
    </row>
    <row r="978" spans="2:3" ht="12.75" customHeight="1">
      <c r="B978" s="27"/>
      <c r="C978" s="27"/>
    </row>
    <row r="979" spans="2:3" ht="12.75" customHeight="1">
      <c r="B979" s="27"/>
      <c r="C979" s="27"/>
    </row>
    <row r="980" spans="2:3" ht="12.75" customHeight="1">
      <c r="B980" s="27"/>
      <c r="C980" s="27"/>
    </row>
    <row r="981" spans="2:3" ht="12.75" customHeight="1">
      <c r="B981" s="27"/>
      <c r="C981" s="27"/>
    </row>
    <row r="982" spans="2:3" ht="12.75" customHeight="1">
      <c r="B982" s="27"/>
      <c r="C982" s="27"/>
    </row>
    <row r="983" spans="2:3" ht="12.75" customHeight="1">
      <c r="B983" s="27"/>
      <c r="C983" s="27"/>
    </row>
    <row r="984" spans="2:3" ht="12.75" customHeight="1">
      <c r="B984" s="27"/>
      <c r="C984" s="27"/>
    </row>
    <row r="985" spans="2:3" ht="12.75" customHeight="1">
      <c r="B985" s="27"/>
      <c r="C985" s="27"/>
    </row>
    <row r="986" spans="2:3" ht="12.75" customHeight="1">
      <c r="B986" s="27"/>
      <c r="C986" s="27"/>
    </row>
    <row r="987" spans="2:3" ht="12.75" customHeight="1">
      <c r="B987" s="27"/>
      <c r="C987" s="27"/>
    </row>
    <row r="988" spans="2:3" ht="12.75" customHeight="1">
      <c r="B988" s="27"/>
      <c r="C988" s="27"/>
    </row>
    <row r="989" spans="2:3" ht="12.75" customHeight="1">
      <c r="B989" s="27"/>
      <c r="C989" s="27"/>
    </row>
    <row r="990" spans="2:3" ht="12.75" customHeight="1">
      <c r="B990" s="27"/>
      <c r="C990" s="27"/>
    </row>
    <row r="991" spans="2:3" ht="12.75" customHeight="1">
      <c r="B991" s="27"/>
      <c r="C991" s="27"/>
    </row>
    <row r="992" spans="2:3" ht="12.75" customHeight="1">
      <c r="B992" s="27"/>
      <c r="C992" s="27"/>
    </row>
    <row r="993" spans="2:3" ht="12.75" customHeight="1">
      <c r="B993" s="27"/>
      <c r="C993" s="27"/>
    </row>
    <row r="994" spans="2:3" ht="12.75" customHeight="1">
      <c r="B994" s="27"/>
      <c r="C994" s="27"/>
    </row>
    <row r="995" spans="2:3" ht="12.75" customHeight="1">
      <c r="B995" s="27"/>
      <c r="C995" s="27"/>
    </row>
    <row r="996" spans="2:3" ht="12.75" customHeight="1">
      <c r="B996" s="27"/>
      <c r="C996" s="27"/>
    </row>
    <row r="997" spans="2:3" ht="12.75" customHeight="1">
      <c r="B997" s="27"/>
      <c r="C997" s="27"/>
    </row>
    <row r="998" spans="2:3" ht="12.75" customHeight="1">
      <c r="B998" s="27"/>
      <c r="C998" s="27"/>
    </row>
    <row r="999" spans="2:3" ht="12.75" customHeight="1">
      <c r="B999" s="27"/>
      <c r="C999" s="27"/>
    </row>
    <row r="1000" spans="2:3" ht="12.75" customHeight="1">
      <c r="B1000" s="27"/>
      <c r="C1000" s="27"/>
    </row>
  </sheetData>
  <pageMargins left="0.7" right="0.7" top="0.75" bottom="0.75" header="0" footer="0"/>
  <pageSetup orientation="landscape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2"/>
  <dimension ref="A1:C1000"/>
  <sheetViews>
    <sheetView workbookViewId="0"/>
  </sheetViews>
  <sheetFormatPr defaultColWidth="12.28515625" defaultRowHeight="15" customHeight="1"/>
  <cols>
    <col min="1" max="26" width="10.28515625" customWidth="1"/>
  </cols>
  <sheetData>
    <row r="1" spans="1:3" ht="12.75" customHeight="1">
      <c r="A1" s="16" t="s">
        <v>22</v>
      </c>
      <c r="C1" s="16" t="s">
        <v>38</v>
      </c>
    </row>
    <row r="2" spans="1:3" ht="12.75" customHeight="1">
      <c r="A2" s="16" t="s">
        <v>13</v>
      </c>
      <c r="C2" s="16" t="s">
        <v>14</v>
      </c>
    </row>
    <row r="3" spans="1:3" ht="12.75" customHeight="1">
      <c r="A3" s="16" t="s">
        <v>25</v>
      </c>
      <c r="C3" s="16" t="s">
        <v>144</v>
      </c>
    </row>
    <row r="4" spans="1:3" ht="12.75" customHeight="1">
      <c r="A4" s="16" t="s">
        <v>460</v>
      </c>
      <c r="C4" s="16" t="s">
        <v>1606</v>
      </c>
    </row>
    <row r="5" spans="1:3" ht="12.75" customHeight="1">
      <c r="A5" s="16" t="s">
        <v>43</v>
      </c>
    </row>
    <row r="6" spans="1:3" ht="12.75" customHeight="1">
      <c r="A6" s="16" t="s">
        <v>65</v>
      </c>
    </row>
    <row r="7" spans="1:3" ht="12.75" customHeight="1">
      <c r="A7" s="16" t="s">
        <v>263</v>
      </c>
    </row>
    <row r="8" spans="1:3" ht="12.75" customHeight="1">
      <c r="A8" s="16" t="s">
        <v>1597</v>
      </c>
    </row>
    <row r="9" spans="1:3" ht="12.75" customHeight="1">
      <c r="A9" s="16" t="s">
        <v>1607</v>
      </c>
    </row>
    <row r="10" spans="1:3" ht="12.75" customHeight="1">
      <c r="A10" s="16" t="s">
        <v>17</v>
      </c>
    </row>
    <row r="11" spans="1:3" ht="12.75" customHeight="1">
      <c r="A11" s="16" t="s">
        <v>571</v>
      </c>
    </row>
    <row r="12" spans="1:3" ht="12.75" customHeight="1">
      <c r="A12" s="16" t="s">
        <v>825</v>
      </c>
    </row>
    <row r="13" spans="1:3" ht="12.75" customHeight="1">
      <c r="A13" s="16" t="s">
        <v>238</v>
      </c>
    </row>
    <row r="14" spans="1:3" ht="12.75" customHeight="1">
      <c r="A14" s="16" t="s">
        <v>805</v>
      </c>
    </row>
    <row r="15" spans="1:3" ht="12.75" customHeight="1">
      <c r="A15" s="16" t="s">
        <v>77</v>
      </c>
    </row>
    <row r="16" spans="1:3" ht="12.75" customHeight="1">
      <c r="A16" s="16" t="s">
        <v>1608</v>
      </c>
    </row>
    <row r="17" spans="1:1" ht="12.75" customHeight="1">
      <c r="A17" s="16" t="s">
        <v>406</v>
      </c>
    </row>
    <row r="18" spans="1:1" ht="12.75" customHeight="1">
      <c r="A18" s="16" t="s">
        <v>1605</v>
      </c>
    </row>
    <row r="19" spans="1:1" ht="12.75" customHeight="1">
      <c r="A19" s="16" t="s">
        <v>19</v>
      </c>
    </row>
    <row r="20" spans="1:1" ht="12.75" customHeight="1"/>
    <row r="21" spans="1:1" ht="12.75" customHeight="1"/>
    <row r="22" spans="1:1" ht="12.75" customHeight="1"/>
    <row r="23" spans="1:1" ht="12.75" customHeight="1"/>
    <row r="24" spans="1:1" ht="12.75" customHeight="1"/>
    <row r="25" spans="1:1" ht="12.75" customHeight="1"/>
    <row r="26" spans="1:1" ht="12.75" customHeight="1"/>
    <row r="27" spans="1:1" ht="12.75" customHeight="1"/>
    <row r="28" spans="1:1" ht="12.75" customHeight="1"/>
    <row r="29" spans="1:1" ht="12.75" customHeight="1"/>
    <row r="30" spans="1:1" ht="12.75" customHeight="1"/>
    <row r="31" spans="1:1" ht="12.75" customHeight="1"/>
    <row r="32" spans="1:1" ht="12.75" customHeight="1"/>
    <row r="33" ht="12.75" customHeight="1"/>
    <row r="34" ht="12.75" customHeight="1"/>
    <row r="35" ht="12.75" customHeight="1"/>
    <row r="36" ht="12.75" customHeight="1"/>
    <row r="37" ht="12.75" customHeight="1"/>
    <row r="38" ht="12.75" customHeight="1"/>
    <row r="39" ht="12.75" customHeight="1"/>
    <row r="40" ht="12.75" customHeight="1"/>
    <row r="41" ht="12.75" customHeight="1"/>
    <row r="42" ht="12.75" customHeight="1"/>
    <row r="43" ht="12.75" customHeight="1"/>
    <row r="44" ht="12.75" customHeight="1"/>
    <row r="45" ht="12.75" customHeight="1"/>
    <row r="46" ht="12.75" customHeight="1"/>
    <row r="47" ht="12.75" customHeight="1"/>
    <row r="48" ht="12.75" customHeight="1"/>
    <row r="49" spans="3:3" ht="12.75" customHeight="1"/>
    <row r="50" spans="3:3" ht="12.75" customHeight="1"/>
    <row r="51" spans="3:3" ht="12.75" customHeight="1"/>
    <row r="52" spans="3:3" ht="12.75" customHeight="1"/>
    <row r="53" spans="3:3" ht="12.75" customHeight="1"/>
    <row r="54" spans="3:3" ht="12.75" customHeight="1"/>
    <row r="55" spans="3:3" ht="12.75" customHeight="1"/>
    <row r="56" spans="3:3" ht="12.75" customHeight="1"/>
    <row r="57" spans="3:3" ht="12.75" customHeight="1"/>
    <row r="58" spans="3:3" ht="12.75" customHeight="1">
      <c r="C58" s="34" t="s">
        <v>1609</v>
      </c>
    </row>
    <row r="59" spans="3:3" ht="12.75" customHeight="1"/>
    <row r="60" spans="3:3" ht="12.75" customHeight="1"/>
    <row r="61" spans="3:3" ht="12.75" customHeight="1"/>
    <row r="62" spans="3:3" ht="12.75" customHeight="1"/>
    <row r="63" spans="3:3" ht="12.75" customHeight="1"/>
    <row r="64" spans="3:3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pageMargins left="0.7" right="0.7" top="0.75" bottom="0.75" header="0" footer="0"/>
  <pageSetup orientation="landscape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69E481ADF3EA384FAC17A8C727045D15" ma:contentTypeVersion="9" ma:contentTypeDescription="Crear nuevo documento." ma:contentTypeScope="" ma:versionID="ac90e54b64bd01874dc8ae1bd0be50c9">
  <xsd:schema xmlns:xsd="http://www.w3.org/2001/XMLSchema" xmlns:xs="http://www.w3.org/2001/XMLSchema" xmlns:p="http://schemas.microsoft.com/office/2006/metadata/properties" xmlns:ns3="7c1c6dc7-05c7-4064-b8e1-2fad12edfc22" targetNamespace="http://schemas.microsoft.com/office/2006/metadata/properties" ma:root="true" ma:fieldsID="9591ec807ccb6d3cfbf85dbc961cd7d2" ns3:_="">
    <xsd:import namespace="7c1c6dc7-05c7-4064-b8e1-2fad12edfc2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DateTaken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1c6dc7-05c7-4064-b8e1-2fad12edfc2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ystemTags" ma:index="13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9B46BAD-EB2B-4D2D-A043-617F484F1DD7}"/>
</file>

<file path=customXml/itemProps2.xml><?xml version="1.0" encoding="utf-8"?>
<ds:datastoreItem xmlns:ds="http://schemas.openxmlformats.org/officeDocument/2006/customXml" ds:itemID="{5D44A799-7827-47AD-A71C-47548BCD0D0B}"/>
</file>

<file path=customXml/itemProps3.xml><?xml version="1.0" encoding="utf-8"?>
<ds:datastoreItem xmlns:ds="http://schemas.openxmlformats.org/officeDocument/2006/customXml" ds:itemID="{461EA07C-70F1-4BFB-97E6-61BE51A1E05A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Valentina</dc:creator>
  <cp:keywords/>
  <dc:description/>
  <cp:lastModifiedBy>Valentina  Nitola Alarcon</cp:lastModifiedBy>
  <cp:revision/>
  <dcterms:created xsi:type="dcterms:W3CDTF">2024-05-18T02:06:04Z</dcterms:created>
  <dcterms:modified xsi:type="dcterms:W3CDTF">2026-07-28T22:27:39Z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0x01010069E481ADF3EA384FAC17A8C727045D15</vt:lpwstr>
  </property>
</Properties>
</file>